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tgc-my.sharepoint.com/personal/jcarrington_htgc_com/Documents/Documents/"/>
    </mc:Choice>
  </mc:AlternateContent>
  <xr:revisionPtr revIDLastSave="0" documentId="8_{467BB271-89EB-4BE8-9D9C-87D872F711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tailed Cap" sheetId="1" r:id="rId1"/>
  </sheets>
  <definedNames>
    <definedName name="DetailedCapShares">'Detailed Cap'!$I$61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45981.7557523148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I5" i="1"/>
  <c r="C63" i="1"/>
  <c r="D63" i="1"/>
  <c r="E63" i="1"/>
  <c r="E64" i="1" s="1"/>
  <c r="H63" i="1"/>
  <c r="J9" i="1" s="1"/>
  <c r="J5" i="1"/>
  <c r="C61" i="1"/>
  <c r="I61" i="1" s="1"/>
  <c r="D61" i="1"/>
  <c r="E61" i="1"/>
  <c r="E62" i="1" s="1"/>
  <c r="F61" i="1"/>
  <c r="G61" i="1"/>
  <c r="H6" i="1"/>
  <c r="J6" i="1" s="1"/>
  <c r="I6" i="1"/>
  <c r="H7" i="1"/>
  <c r="I7" i="1"/>
  <c r="J7" i="1"/>
  <c r="H8" i="1"/>
  <c r="J8" i="1" s="1"/>
  <c r="I8" i="1"/>
  <c r="H9" i="1"/>
  <c r="I9" i="1"/>
  <c r="H10" i="1"/>
  <c r="I10" i="1"/>
  <c r="J10" i="1"/>
  <c r="H11" i="1"/>
  <c r="J11" i="1" s="1"/>
  <c r="I11" i="1"/>
  <c r="H12" i="1"/>
  <c r="I12" i="1"/>
  <c r="H13" i="1"/>
  <c r="I13" i="1"/>
  <c r="J13" i="1"/>
  <c r="H14" i="1"/>
  <c r="J14" i="1" s="1"/>
  <c r="I14" i="1"/>
  <c r="H15" i="1"/>
  <c r="I15" i="1"/>
  <c r="H16" i="1"/>
  <c r="I16" i="1"/>
  <c r="J16" i="1"/>
  <c r="H17" i="1"/>
  <c r="J17" i="1" s="1"/>
  <c r="I17" i="1"/>
  <c r="H18" i="1"/>
  <c r="I18" i="1"/>
  <c r="H19" i="1"/>
  <c r="I19" i="1"/>
  <c r="J19" i="1"/>
  <c r="H20" i="1"/>
  <c r="J20" i="1" s="1"/>
  <c r="I20" i="1"/>
  <c r="K20" i="1" s="1"/>
  <c r="H21" i="1"/>
  <c r="I21" i="1"/>
  <c r="H22" i="1"/>
  <c r="I22" i="1"/>
  <c r="J22" i="1"/>
  <c r="H23" i="1"/>
  <c r="J23" i="1" s="1"/>
  <c r="I23" i="1"/>
  <c r="H24" i="1"/>
  <c r="I24" i="1"/>
  <c r="H25" i="1"/>
  <c r="I25" i="1"/>
  <c r="J25" i="1"/>
  <c r="H26" i="1"/>
  <c r="J26" i="1" s="1"/>
  <c r="I26" i="1"/>
  <c r="K26" i="1" s="1"/>
  <c r="H27" i="1"/>
  <c r="I27" i="1"/>
  <c r="H28" i="1"/>
  <c r="I28" i="1"/>
  <c r="J28" i="1"/>
  <c r="H29" i="1"/>
  <c r="J29" i="1" s="1"/>
  <c r="I29" i="1"/>
  <c r="H30" i="1"/>
  <c r="I30" i="1"/>
  <c r="H31" i="1"/>
  <c r="I31" i="1"/>
  <c r="J31" i="1"/>
  <c r="H32" i="1"/>
  <c r="J32" i="1" s="1"/>
  <c r="I32" i="1"/>
  <c r="H33" i="1"/>
  <c r="I33" i="1"/>
  <c r="H34" i="1"/>
  <c r="I34" i="1"/>
  <c r="J34" i="1"/>
  <c r="H35" i="1"/>
  <c r="J35" i="1" s="1"/>
  <c r="I35" i="1"/>
  <c r="K35" i="1" s="1"/>
  <c r="H36" i="1"/>
  <c r="I36" i="1"/>
  <c r="H37" i="1"/>
  <c r="I37" i="1"/>
  <c r="J37" i="1"/>
  <c r="H38" i="1"/>
  <c r="J38" i="1" s="1"/>
  <c r="I38" i="1"/>
  <c r="H39" i="1"/>
  <c r="I39" i="1"/>
  <c r="H40" i="1"/>
  <c r="I40" i="1"/>
  <c r="J40" i="1"/>
  <c r="H41" i="1"/>
  <c r="J41" i="1" s="1"/>
  <c r="I41" i="1"/>
  <c r="K41" i="1" s="1"/>
  <c r="H42" i="1"/>
  <c r="I42" i="1"/>
  <c r="H43" i="1"/>
  <c r="I43" i="1"/>
  <c r="J43" i="1"/>
  <c r="H44" i="1"/>
  <c r="J44" i="1" s="1"/>
  <c r="I44" i="1"/>
  <c r="H45" i="1"/>
  <c r="I45" i="1"/>
  <c r="H46" i="1"/>
  <c r="I46" i="1"/>
  <c r="J46" i="1"/>
  <c r="H47" i="1"/>
  <c r="J47" i="1" s="1"/>
  <c r="I47" i="1"/>
  <c r="H48" i="1"/>
  <c r="I48" i="1"/>
  <c r="H49" i="1"/>
  <c r="I49" i="1"/>
  <c r="J49" i="1"/>
  <c r="H50" i="1"/>
  <c r="J50" i="1" s="1"/>
  <c r="I50" i="1"/>
  <c r="K50" i="1" s="1"/>
  <c r="H51" i="1"/>
  <c r="I51" i="1"/>
  <c r="H52" i="1"/>
  <c r="I52" i="1"/>
  <c r="J52" i="1"/>
  <c r="H53" i="1"/>
  <c r="J53" i="1" s="1"/>
  <c r="I53" i="1"/>
  <c r="H54" i="1"/>
  <c r="I54" i="1"/>
  <c r="H55" i="1"/>
  <c r="I55" i="1"/>
  <c r="J55" i="1"/>
  <c r="H56" i="1"/>
  <c r="J56" i="1" s="1"/>
  <c r="I56" i="1"/>
  <c r="K56" i="1" s="1"/>
  <c r="H57" i="1"/>
  <c r="I57" i="1"/>
  <c r="H58" i="1"/>
  <c r="I58" i="1"/>
  <c r="J58" i="1"/>
  <c r="I60" i="1"/>
  <c r="C64" i="1"/>
  <c r="H64" i="1" s="1"/>
  <c r="D64" i="1"/>
  <c r="K44" i="1" l="1"/>
  <c r="F62" i="1"/>
  <c r="K6" i="1"/>
  <c r="K18" i="1"/>
  <c r="K24" i="1"/>
  <c r="K27" i="1"/>
  <c r="K30" i="1"/>
  <c r="K33" i="1"/>
  <c r="K36" i="1"/>
  <c r="K39" i="1"/>
  <c r="K42" i="1"/>
  <c r="K45" i="1"/>
  <c r="K48" i="1"/>
  <c r="K51" i="1"/>
  <c r="K54" i="1"/>
  <c r="K57" i="1"/>
  <c r="G62" i="1"/>
  <c r="K7" i="1"/>
  <c r="K19" i="1"/>
  <c r="K31" i="1"/>
  <c r="K37" i="1"/>
  <c r="K40" i="1"/>
  <c r="K43" i="1"/>
  <c r="K55" i="1"/>
  <c r="K12" i="1"/>
  <c r="K28" i="1"/>
  <c r="K52" i="1"/>
  <c r="K9" i="1"/>
  <c r="K22" i="1"/>
  <c r="K46" i="1"/>
  <c r="K10" i="1"/>
  <c r="K15" i="1"/>
  <c r="K16" i="1"/>
  <c r="K49" i="1"/>
  <c r="K21" i="1"/>
  <c r="K25" i="1"/>
  <c r="K58" i="1"/>
  <c r="K13" i="1"/>
  <c r="K60" i="1"/>
  <c r="K34" i="1"/>
  <c r="K8" i="1"/>
  <c r="K23" i="1"/>
  <c r="K38" i="1"/>
  <c r="K53" i="1"/>
  <c r="K17" i="1"/>
  <c r="K14" i="1"/>
  <c r="D62" i="1"/>
  <c r="K29" i="1"/>
  <c r="K32" i="1"/>
  <c r="K47" i="1"/>
  <c r="K11" i="1"/>
  <c r="K5" i="1"/>
  <c r="J57" i="1"/>
  <c r="J54" i="1"/>
  <c r="J51" i="1"/>
  <c r="J48" i="1"/>
  <c r="J45" i="1"/>
  <c r="J42" i="1"/>
  <c r="J39" i="1"/>
  <c r="J63" i="1" s="1"/>
  <c r="J36" i="1"/>
  <c r="J33" i="1"/>
  <c r="J30" i="1"/>
  <c r="J27" i="1"/>
  <c r="J24" i="1"/>
  <c r="J21" i="1"/>
  <c r="J18" i="1"/>
  <c r="J15" i="1"/>
  <c r="J12" i="1"/>
  <c r="C62" i="1"/>
  <c r="K61" i="1"/>
  <c r="I62" i="1" l="1"/>
</calcChain>
</file>

<file path=xl/sharedStrings.xml><?xml version="1.0" encoding="utf-8"?>
<sst xmlns="http://schemas.openxmlformats.org/spreadsheetml/2006/main" count="128" uniqueCount="127">
  <si>
    <t>Stakeholder ID</t>
  </si>
  <si>
    <t>Name</t>
  </si>
  <si>
    <t>Class A Units (CA)</t>
  </si>
  <si>
    <t>Class B Units (CB)</t>
  </si>
  <si>
    <t>Class Z Units (CZ)</t>
  </si>
  <si>
    <t>Options and RSU's Outstanding Under 2021 Stock Option and Grant Plan</t>
  </si>
  <si>
    <t>Options and RSU's Outstanding Under Management Equity Plan</t>
  </si>
  <si>
    <t>Outstanding Units</t>
  </si>
  <si>
    <t>Fully Diluted Units</t>
  </si>
  <si>
    <t>Outstanding Ownership</t>
  </si>
  <si>
    <t>Fully Diluted Ownership</t>
  </si>
  <si>
    <t>bd784fa2516daa0573f54f7ba77aa462</t>
  </si>
  <si>
    <t>d1660f7c320c1a8c441e8ffbb71a1263</t>
  </si>
  <si>
    <t>7e0440f55c4d3da89d97bf1c7d28af27</t>
  </si>
  <si>
    <t>a5bd5a6c8427e21160fd16a253b011cc</t>
  </si>
  <si>
    <t>1a08b1cc539ada11978ad6aeaf4324b7</t>
  </si>
  <si>
    <t>5b6eaa69cf057750778238c57be644d3</t>
  </si>
  <si>
    <t>1cd9fdad5d11be41f065cbff36685aff</t>
  </si>
  <si>
    <t>fed0a4b9257516aa20d448756dd9541e</t>
  </si>
  <si>
    <t>00f29cfa41c75f7c4f8e5c5f6de60121</t>
  </si>
  <si>
    <t>7a79dd78dc86badc87b93b6b9a22e10d</t>
  </si>
  <si>
    <t>cb842096ac8d19bb4aa4c841fcabe729</t>
  </si>
  <si>
    <t>55726e3da309ce81f219cb93e92705ef</t>
  </si>
  <si>
    <t>bd988926267d6ce48e3ae5e00ebf461f</t>
  </si>
  <si>
    <t>fbca2c3a355d9f95898f419309ddb2aa</t>
  </si>
  <si>
    <t>324c4353b80225c9ffe6f724b47b1bd1</t>
  </si>
  <si>
    <t>16013415a56db37dba8219175b2576c4</t>
  </si>
  <si>
    <t>068bcf7221f7bebc476bd29d2e5655c4</t>
  </si>
  <si>
    <t>099ffea4a08db2672444b24d42693cf9</t>
  </si>
  <si>
    <t>529caf501a1d87c04dca22776154f885</t>
  </si>
  <si>
    <t>8570c389c20e23dde1f19a960108c1eb</t>
  </si>
  <si>
    <t>3a432e808330ac7f064577b06e72f0b1</t>
  </si>
  <si>
    <t>ac2bb8497f9b53439b64c36b479f1086</t>
  </si>
  <si>
    <t>ccf2579b02735590f3679b60ace7c757</t>
  </si>
  <si>
    <t>443e254c5b6a541896e8de3d22e29a67</t>
  </si>
  <si>
    <t>e1998c91969f5fc430e184c8dbcc5bc6</t>
  </si>
  <si>
    <t>f6bdb428f2d86b3e4cfb3466ce83477c</t>
  </si>
  <si>
    <t>d6150d8dc88035b9226a5ef3e71d4a10</t>
  </si>
  <si>
    <t>62ca3dc03c7470bbd6ad84ea9da0ebe9</t>
  </si>
  <si>
    <t>40dc48cc7262ae12fb6ad4fb40097cfa</t>
  </si>
  <si>
    <t>ad5a67c61daa782fcc3c5f27aa517abb</t>
  </si>
  <si>
    <t>ee2ba95f9c932aa1a19f1b95ee41b5a6</t>
  </si>
  <si>
    <t>2c6b2414f030d591c3c4adfcca9f6ba2</t>
  </si>
  <si>
    <t>5d5bb0fb4745d6339572e5bfbc651714</t>
  </si>
  <si>
    <t>9835939d92b9da5782da796049ee7281</t>
  </si>
  <si>
    <t>7b66f95fcceedc1a17e5b532e6716721</t>
  </si>
  <si>
    <t>7dd146dec1db83508765d576c42c8868</t>
  </si>
  <si>
    <t>46327e4969b3c3b06c2ce72a319ea03d</t>
  </si>
  <si>
    <t>58c298d871ed68027dce4ba9d81ab34b</t>
  </si>
  <si>
    <t>52c16a2c11a6bafa5a96069e526928b7</t>
  </si>
  <si>
    <t>ef41c765313d19c22c2a8228e77bbc57</t>
  </si>
  <si>
    <t>77e2d64bd41c5aff3df0e511b8b12954</t>
  </si>
  <si>
    <t>bfda378f45b2a08150dde8d294c5b174</t>
  </si>
  <si>
    <t>d790a0dcd79ddd13c5aa225f57a7451a</t>
  </si>
  <si>
    <t>cbb9cfefa819003646b3ce2350c7a342</t>
  </si>
  <si>
    <t>570b2075fe85c099af2808de912e350e</t>
  </si>
  <si>
    <t>850b7059731e687eefb2a9a1f673f043</t>
  </si>
  <si>
    <t>ecec34c8971880a98dddcaa3819a559b</t>
  </si>
  <si>
    <t>45334aee0a0cde7edcaf976007d56ed6</t>
  </si>
  <si>
    <t>8e136b0bf46eee9192a0491efc46e2df</t>
  </si>
  <si>
    <t>b7c35f75d0e1743b8e44932a13c06fbd</t>
  </si>
  <si>
    <t>d958a95523f520fe8d1e446aefa5d1f2</t>
  </si>
  <si>
    <t>365fcb7e258ed8127a0fd64cbeb78159</t>
  </si>
  <si>
    <t>0ac01d6830d39e3cd3f0868779ce7c49</t>
  </si>
  <si>
    <t>d582c4e4ba066deb6775ef7890dc663b</t>
  </si>
  <si>
    <t>Options and RSU's issued and outstanding</t>
  </si>
  <si>
    <t>Units available for issuance under the plan</t>
  </si>
  <si>
    <t>Fully diluted units</t>
  </si>
  <si>
    <t>Total Units Outstanding</t>
  </si>
  <si>
    <t>Percentage Outstanding</t>
  </si>
  <si>
    <t>Price per unit</t>
  </si>
  <si>
    <t xml:space="preserve">As of 08/20/2025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</si>
  <si>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</si>
  <si>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</si>
  <si>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</si>
  <si>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</si>
  <si>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</si>
  <si>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</si>
  <si>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</si>
  <si>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</si>
  <si>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</si>
  <si>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</si>
  <si>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</si>
  <si>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</si>
  <si>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</si>
  <si>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</si>
  <si>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</si>
  <si>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</si>
  <si>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o</t>
  </si>
  <si>
    <t>r</t>
  </si>
  <si>
    <t>s</t>
  </si>
  <si>
    <t>v</t>
  </si>
  <si>
    <t>t</t>
  </si>
  <si>
    <t>u</t>
  </si>
  <si>
    <t>w</t>
  </si>
  <si>
    <t>x</t>
  </si>
  <si>
    <t>y</t>
  </si>
  <si>
    <t>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</si>
  <si>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</si>
  <si>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</si>
  <si>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</si>
  <si>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</si>
  <si>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</si>
  <si>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</si>
  <si>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</si>
  <si>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</si>
  <si>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</si>
  <si>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</si>
  <si>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</si>
  <si>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</si>
  <si>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</si>
  <si>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</si>
  <si>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</si>
  <si>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</si>
  <si>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</si>
  <si>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</si>
  <si>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</si>
  <si>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</si>
  <si>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</si>
  <si>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</si>
  <si>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</si>
  <si>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</si>
  <si>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</si>
  <si>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>zz</t>
  </si>
  <si>
    <t>aaa</t>
  </si>
  <si>
    <t>bbb</t>
  </si>
  <si>
    <t>Apple Detailed Capitalization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</si>
</sst>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000%"/>
    <numFmt numFmtId="165" formatCode="0.0000%"/>
  </numFmts>
  <fonts count="4" x14ac:knownFonts="1">
    <font>
      <sz val="11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4"/>
      <color rgb="FF1F1F1F"/>
      <name val="Arial"/>
      <family val="2"/>
    </font>
    <font>
      <b/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BF4"/>
      </patternFill>
    </fill>
    <fill>
      <patternFill patternType="solid">
        <fgColor rgb="FFEFEDF3"/>
      </patternFill>
    </fill>
    <fill>
      <patternFill patternType="solid">
        <fgColor rgb="FFD8D8D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888A85"/>
      </bottom>
      <diagonal/>
    </border>
    <border>
      <left/>
      <right/>
      <top style="thin">
        <color rgb="FFEEEEEC"/>
      </top>
      <bottom/>
      <diagonal/>
    </border>
    <border>
      <left/>
      <right/>
      <top style="thin">
        <color rgb="FF888A85"/>
      </top>
      <bottom/>
      <diagonal/>
    </border>
    <border>
      <left/>
      <right/>
      <top style="medium">
        <color rgb="FF888A85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3" fillId="2" borderId="2" xfId="0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right" vertical="center" wrapText="1"/>
    </xf>
    <xf numFmtId="4" fontId="1" fillId="3" borderId="3" xfId="0" applyNumberFormat="1" applyFont="1" applyFill="1" applyBorder="1" applyAlignment="1">
      <alignment horizontal="right" vertical="center" wrapText="1"/>
    </xf>
    <xf numFmtId="164" fontId="1" fillId="3" borderId="3" xfId="0" applyNumberFormat="1" applyFont="1" applyFill="1" applyBorder="1" applyAlignment="1">
      <alignment horizontal="right" vertical="center" wrapText="1"/>
    </xf>
    <xf numFmtId="165" fontId="1" fillId="3" borderId="3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4" fontId="1" fillId="3" borderId="4" xfId="0" applyNumberFormat="1" applyFont="1" applyFill="1" applyBorder="1" applyAlignment="1">
      <alignment horizontal="right" vertical="center" wrapText="1"/>
    </xf>
    <xf numFmtId="164" fontId="1" fillId="3" borderId="4" xfId="0" applyNumberFormat="1" applyFont="1" applyFill="1" applyBorder="1" applyAlignment="1">
      <alignment horizontal="right" vertical="center" wrapText="1"/>
    </xf>
    <xf numFmtId="165" fontId="1" fillId="3" borderId="4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165" fontId="1" fillId="3" borderId="1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left" vertical="center"/>
    </xf>
    <xf numFmtId="4" fontId="3" fillId="4" borderId="5" xfId="0" applyNumberFormat="1" applyFont="1" applyFill="1" applyBorder="1" applyAlignment="1">
      <alignment horizontal="right" vertical="center" wrapText="1"/>
    </xf>
    <xf numFmtId="164" fontId="3" fillId="4" borderId="5" xfId="0" applyNumberFormat="1" applyFont="1" applyFill="1" applyBorder="1" applyAlignment="1">
      <alignment horizontal="right" vertical="center" wrapText="1"/>
    </xf>
    <xf numFmtId="165" fontId="3" fillId="4" borderId="5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9525" cy="9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tabSelected="1" topLeftCell="A22" zoomScale="70" zoomScaleNormal="70" workbookViewId="0">
      <selection activeCell="E11" sqref="E11"/>
    </sheetView>
  </sheetViews>
  <sheetFormatPr defaultRowHeight="15" x14ac:dyDescent="0.25"/>
  <cols>
    <col min="1" max="1" width="15" customWidth="1"/>
    <col min="2" max="2" width="45" customWidth="1"/>
    <col min="3" max="7" width="20" customWidth="1"/>
    <col min="8" max="9" width="30" customWidth="1"/>
    <col min="10" max="11" width="20" customWidth="1"/>
  </cols>
  <sheetData>
    <row r="1" spans="1:11" ht="20.100000000000001" customHeight="1" x14ac:dyDescent="0.25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0.100000000000001" customHeight="1" x14ac:dyDescent="0.25">
      <c r="A2" s="3" t="s">
        <v>71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95.25" thickBot="1" x14ac:dyDescent="0.3">
      <c r="A4" s="4" t="s">
        <v>0</v>
      </c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6" t="s">
        <v>9</v>
      </c>
      <c r="K4" s="7" t="s">
        <v>10</v>
      </c>
    </row>
    <row r="5" spans="1:11" ht="20.100000000000001" customHeight="1" x14ac:dyDescent="0.25">
      <c r="A5" s="8" t="s">
        <v>11</v>
      </c>
      <c r="B5" s="8" t="s">
        <v>72</v>
      </c>
      <c r="C5" s="9"/>
      <c r="D5" s="9"/>
      <c r="E5" s="9">
        <v>30000</v>
      </c>
      <c r="F5" s="9">
        <v>0</v>
      </c>
      <c r="G5" s="9">
        <v>0</v>
      </c>
      <c r="H5" s="10">
        <f t="shared" ref="H5:H36" si="0">SUM(C5,D5,E5,)</f>
        <v>30000</v>
      </c>
      <c r="I5" s="10">
        <f t="shared" ref="I5:I36" si="1">SUM(C5,D5,E5,F5,G5,)</f>
        <v>30000</v>
      </c>
      <c r="J5" s="11">
        <f>IFERROR(H5/H63, 0)</f>
        <v>4.1096998340996372E-4</v>
      </c>
      <c r="K5" s="12">
        <f t="shared" ref="K5:K36" si="2">IFERROR(I5 / DetailedCapShares, 0)</f>
        <v>3.9808237351360521E-4</v>
      </c>
    </row>
    <row r="6" spans="1:11" ht="20.100000000000001" customHeight="1" x14ac:dyDescent="0.25">
      <c r="A6" s="8" t="s">
        <v>12</v>
      </c>
      <c r="B6" s="8" t="s">
        <v>73</v>
      </c>
      <c r="C6" s="9"/>
      <c r="D6" s="9"/>
      <c r="E6" s="9">
        <v>5000</v>
      </c>
      <c r="F6" s="9">
        <v>0</v>
      </c>
      <c r="G6" s="9">
        <v>0</v>
      </c>
      <c r="H6" s="10">
        <f t="shared" si="0"/>
        <v>5000</v>
      </c>
      <c r="I6" s="10">
        <f t="shared" si="1"/>
        <v>5000</v>
      </c>
      <c r="J6" s="11">
        <f>IFERROR(H6/H63, 0)</f>
        <v>6.8494997234993949E-5</v>
      </c>
      <c r="K6" s="12">
        <f t="shared" si="2"/>
        <v>6.634706225226753E-5</v>
      </c>
    </row>
    <row r="7" spans="1:11" ht="20.100000000000001" customHeight="1" x14ac:dyDescent="0.25">
      <c r="A7" s="8" t="s">
        <v>13</v>
      </c>
      <c r="B7" s="8" t="s">
        <v>74</v>
      </c>
      <c r="C7" s="9"/>
      <c r="D7" s="9"/>
      <c r="E7" s="9">
        <v>5000</v>
      </c>
      <c r="F7" s="9">
        <v>30393</v>
      </c>
      <c r="G7" s="9">
        <v>10000</v>
      </c>
      <c r="H7" s="10">
        <f t="shared" si="0"/>
        <v>5000</v>
      </c>
      <c r="I7" s="10">
        <f t="shared" si="1"/>
        <v>45393</v>
      </c>
      <c r="J7" s="11">
        <f>IFERROR(H7/H63, 0)</f>
        <v>6.8494997234993949E-5</v>
      </c>
      <c r="K7" s="12">
        <f t="shared" si="2"/>
        <v>6.0233843936343605E-4</v>
      </c>
    </row>
    <row r="8" spans="1:11" ht="20.100000000000001" customHeight="1" x14ac:dyDescent="0.25">
      <c r="A8" s="8" t="s">
        <v>14</v>
      </c>
      <c r="B8" s="8" t="s">
        <v>75</v>
      </c>
      <c r="C8" s="9"/>
      <c r="D8" s="9">
        <v>2074</v>
      </c>
      <c r="E8" s="9">
        <v>5000</v>
      </c>
      <c r="F8" s="9">
        <v>4004</v>
      </c>
      <c r="G8" s="9"/>
      <c r="H8" s="10">
        <f t="shared" si="0"/>
        <v>7074</v>
      </c>
      <c r="I8" s="10">
        <f t="shared" si="1"/>
        <v>11078</v>
      </c>
      <c r="J8" s="11">
        <f>IFERROR(H8/H63, 0)</f>
        <v>9.6906722088069443E-5</v>
      </c>
      <c r="K8" s="12">
        <f t="shared" si="2"/>
        <v>1.4699855112612395E-4</v>
      </c>
    </row>
    <row r="9" spans="1:11" ht="20.100000000000001" customHeight="1" x14ac:dyDescent="0.25">
      <c r="A9" s="8" t="s">
        <v>15</v>
      </c>
      <c r="B9" s="8" t="s">
        <v>76</v>
      </c>
      <c r="C9" s="9"/>
      <c r="D9" s="9">
        <v>923417</v>
      </c>
      <c r="E9" s="9"/>
      <c r="F9" s="9">
        <v>0</v>
      </c>
      <c r="G9" s="9">
        <v>0</v>
      </c>
      <c r="H9" s="10">
        <f t="shared" si="0"/>
        <v>923417</v>
      </c>
      <c r="I9" s="10">
        <f t="shared" si="1"/>
        <v>923417</v>
      </c>
      <c r="J9" s="11">
        <f>IFERROR(H9/H63, 0)</f>
        <v>1.2649888972349282E-2</v>
      </c>
      <c r="K9" s="12">
        <f t="shared" si="2"/>
        <v>1.2253201036760426E-2</v>
      </c>
    </row>
    <row r="10" spans="1:11" ht="20.100000000000001" customHeight="1" x14ac:dyDescent="0.25">
      <c r="A10" s="8" t="s">
        <v>16</v>
      </c>
      <c r="B10" s="8" t="s">
        <v>77</v>
      </c>
      <c r="C10" s="9"/>
      <c r="D10" s="9"/>
      <c r="E10" s="9">
        <v>10000</v>
      </c>
      <c r="F10" s="9">
        <v>12157</v>
      </c>
      <c r="G10" s="9">
        <v>10000</v>
      </c>
      <c r="H10" s="10">
        <f t="shared" si="0"/>
        <v>10000</v>
      </c>
      <c r="I10" s="10">
        <f t="shared" si="1"/>
        <v>32157</v>
      </c>
      <c r="J10" s="11">
        <f>IFERROR(H10/H63, 0)</f>
        <v>1.369899944699879E-4</v>
      </c>
      <c r="K10" s="12">
        <f t="shared" si="2"/>
        <v>4.2670449616923344E-4</v>
      </c>
    </row>
    <row r="11" spans="1:11" ht="20.100000000000001" customHeight="1" x14ac:dyDescent="0.25">
      <c r="A11" s="8" t="s">
        <v>17</v>
      </c>
      <c r="B11" s="8" t="s">
        <v>78</v>
      </c>
      <c r="C11" s="9"/>
      <c r="D11" s="9"/>
      <c r="E11" s="9">
        <v>1000</v>
      </c>
      <c r="F11" s="9">
        <v>0</v>
      </c>
      <c r="G11" s="9">
        <v>0</v>
      </c>
      <c r="H11" s="10">
        <f t="shared" si="0"/>
        <v>1000</v>
      </c>
      <c r="I11" s="10">
        <f t="shared" si="1"/>
        <v>1000</v>
      </c>
      <c r="J11" s="11">
        <f>IFERROR(H11/H63, 0)</f>
        <v>1.3698999446998791E-5</v>
      </c>
      <c r="K11" s="12">
        <f t="shared" si="2"/>
        <v>1.3269412450453507E-5</v>
      </c>
    </row>
    <row r="12" spans="1:11" ht="20.100000000000001" customHeight="1" x14ac:dyDescent="0.25">
      <c r="A12" s="8" t="s">
        <v>18</v>
      </c>
      <c r="B12" s="8" t="s">
        <v>79</v>
      </c>
      <c r="C12" s="9"/>
      <c r="D12" s="9"/>
      <c r="E12" s="9">
        <v>1000</v>
      </c>
      <c r="F12" s="9">
        <v>0</v>
      </c>
      <c r="G12" s="9">
        <v>0</v>
      </c>
      <c r="H12" s="10">
        <f t="shared" si="0"/>
        <v>1000</v>
      </c>
      <c r="I12" s="10">
        <f t="shared" si="1"/>
        <v>1000</v>
      </c>
      <c r="J12" s="11">
        <f>IFERROR(H12/H63, 0)</f>
        <v>1.3698999446998791E-5</v>
      </c>
      <c r="K12" s="12">
        <f t="shared" si="2"/>
        <v>1.3269412450453507E-5</v>
      </c>
    </row>
    <row r="13" spans="1:11" ht="20.100000000000001" customHeight="1" x14ac:dyDescent="0.25">
      <c r="A13" s="8" t="s">
        <v>19</v>
      </c>
      <c r="B13" s="8" t="s">
        <v>80</v>
      </c>
      <c r="C13" s="9">
        <v>0</v>
      </c>
      <c r="D13" s="9">
        <v>0</v>
      </c>
      <c r="E13" s="9">
        <v>0</v>
      </c>
      <c r="F13" s="9"/>
      <c r="G13" s="9">
        <v>1000</v>
      </c>
      <c r="H13" s="10">
        <f t="shared" si="0"/>
        <v>0</v>
      </c>
      <c r="I13" s="10">
        <f t="shared" si="1"/>
        <v>1000</v>
      </c>
      <c r="J13" s="11">
        <f>IFERROR(H13/H63, 0)</f>
        <v>0</v>
      </c>
      <c r="K13" s="12">
        <f t="shared" si="2"/>
        <v>1.3269412450453507E-5</v>
      </c>
    </row>
    <row r="14" spans="1:11" ht="20.100000000000001" customHeight="1" x14ac:dyDescent="0.25">
      <c r="A14" s="8" t="s">
        <v>20</v>
      </c>
      <c r="B14" s="8" t="s">
        <v>81</v>
      </c>
      <c r="C14" s="9"/>
      <c r="D14" s="9">
        <v>759826</v>
      </c>
      <c r="E14" s="9"/>
      <c r="F14" s="9">
        <v>0</v>
      </c>
      <c r="G14" s="9">
        <v>0</v>
      </c>
      <c r="H14" s="10">
        <f t="shared" si="0"/>
        <v>759826</v>
      </c>
      <c r="I14" s="10">
        <f t="shared" si="1"/>
        <v>759826</v>
      </c>
      <c r="J14" s="11">
        <f>IFERROR(H14/H63, 0)</f>
        <v>1.0408855953815303E-2</v>
      </c>
      <c r="K14" s="12">
        <f t="shared" si="2"/>
        <v>1.0082444584578286E-2</v>
      </c>
    </row>
    <row r="15" spans="1:11" ht="20.100000000000001" customHeight="1" x14ac:dyDescent="0.25">
      <c r="A15" s="8" t="s">
        <v>21</v>
      </c>
      <c r="B15" s="8" t="s">
        <v>82</v>
      </c>
      <c r="C15" s="9"/>
      <c r="D15" s="9">
        <v>42732</v>
      </c>
      <c r="E15" s="9"/>
      <c r="F15" s="9">
        <v>0</v>
      </c>
      <c r="G15" s="9">
        <v>0</v>
      </c>
      <c r="H15" s="10">
        <f t="shared" si="0"/>
        <v>42732</v>
      </c>
      <c r="I15" s="10">
        <f t="shared" si="1"/>
        <v>42732</v>
      </c>
      <c r="J15" s="11">
        <f>IFERROR(H15/H63, 0)</f>
        <v>5.8538564436915234E-4</v>
      </c>
      <c r="K15" s="12">
        <f t="shared" si="2"/>
        <v>5.6702853283277922E-4</v>
      </c>
    </row>
    <row r="16" spans="1:11" ht="20.100000000000001" customHeight="1" x14ac:dyDescent="0.25">
      <c r="A16" s="8" t="s">
        <v>22</v>
      </c>
      <c r="B16" s="8" t="s">
        <v>83</v>
      </c>
      <c r="C16" s="9"/>
      <c r="D16" s="9"/>
      <c r="E16" s="9">
        <v>5000</v>
      </c>
      <c r="F16" s="9">
        <v>30393</v>
      </c>
      <c r="G16" s="9"/>
      <c r="H16" s="10">
        <f t="shared" si="0"/>
        <v>5000</v>
      </c>
      <c r="I16" s="10">
        <f t="shared" si="1"/>
        <v>35393</v>
      </c>
      <c r="J16" s="11">
        <f>IFERROR(H16/H63, 0)</f>
        <v>6.8494997234993949E-5</v>
      </c>
      <c r="K16" s="12">
        <f t="shared" si="2"/>
        <v>4.6964431485890096E-4</v>
      </c>
    </row>
    <row r="17" spans="1:11" ht="20.100000000000001" customHeight="1" x14ac:dyDescent="0.25">
      <c r="A17" s="8" t="s">
        <v>23</v>
      </c>
      <c r="B17" s="8" t="s">
        <v>84</v>
      </c>
      <c r="C17" s="9"/>
      <c r="D17" s="9">
        <v>267239</v>
      </c>
      <c r="E17" s="9"/>
      <c r="F17" s="9">
        <v>0</v>
      </c>
      <c r="G17" s="9">
        <v>0</v>
      </c>
      <c r="H17" s="10">
        <f t="shared" si="0"/>
        <v>267239</v>
      </c>
      <c r="I17" s="10">
        <f t="shared" si="1"/>
        <v>267239</v>
      </c>
      <c r="J17" s="11">
        <f>IFERROR(H17/H63, 0)</f>
        <v>3.6609069132165096E-3</v>
      </c>
      <c r="K17" s="12">
        <f t="shared" si="2"/>
        <v>3.5461045138467447E-3</v>
      </c>
    </row>
    <row r="18" spans="1:11" ht="20.100000000000001" customHeight="1" x14ac:dyDescent="0.25">
      <c r="A18" s="8" t="s">
        <v>24</v>
      </c>
      <c r="B18" s="8" t="s">
        <v>85</v>
      </c>
      <c r="C18" s="9"/>
      <c r="D18" s="9"/>
      <c r="E18" s="9">
        <v>30000</v>
      </c>
      <c r="F18" s="9">
        <v>1215721</v>
      </c>
      <c r="G18" s="9">
        <v>10000</v>
      </c>
      <c r="H18" s="10">
        <f t="shared" si="0"/>
        <v>30000</v>
      </c>
      <c r="I18" s="10">
        <f t="shared" si="1"/>
        <v>1255721</v>
      </c>
      <c r="J18" s="11">
        <f>IFERROR(H18/H63, 0)</f>
        <v>4.1096998340996372E-4</v>
      </c>
      <c r="K18" s="12">
        <f t="shared" si="2"/>
        <v>1.6662679871695927E-2</v>
      </c>
    </row>
    <row r="19" spans="1:11" ht="20.100000000000001" customHeight="1" x14ac:dyDescent="0.25">
      <c r="A19" s="8" t="s">
        <v>25</v>
      </c>
      <c r="B19" s="8" t="s">
        <v>88</v>
      </c>
      <c r="C19" s="9"/>
      <c r="D19" s="9"/>
      <c r="E19" s="9">
        <v>10000</v>
      </c>
      <c r="F19" s="9"/>
      <c r="G19" s="9">
        <v>10000</v>
      </c>
      <c r="H19" s="10">
        <f t="shared" si="0"/>
        <v>10000</v>
      </c>
      <c r="I19" s="10">
        <f t="shared" si="1"/>
        <v>20000</v>
      </c>
      <c r="J19" s="11">
        <f>IFERROR(H19/H63, 0)</f>
        <v>1.369899944699879E-4</v>
      </c>
      <c r="K19" s="12">
        <f t="shared" si="2"/>
        <v>2.6538824900907012E-4</v>
      </c>
    </row>
    <row r="20" spans="1:11" ht="20.100000000000001" customHeight="1" x14ac:dyDescent="0.25">
      <c r="A20" s="8" t="s">
        <v>26</v>
      </c>
      <c r="B20" s="8" t="s">
        <v>86</v>
      </c>
      <c r="C20" s="9"/>
      <c r="D20" s="9">
        <v>133620</v>
      </c>
      <c r="E20" s="9"/>
      <c r="F20" s="9">
        <v>0</v>
      </c>
      <c r="G20" s="9">
        <v>0</v>
      </c>
      <c r="H20" s="10">
        <f t="shared" si="0"/>
        <v>133620</v>
      </c>
      <c r="I20" s="10">
        <f t="shared" si="1"/>
        <v>133620</v>
      </c>
      <c r="J20" s="11">
        <f>IFERROR(H20/H63, 0)</f>
        <v>1.8304603061079783E-3</v>
      </c>
      <c r="K20" s="12">
        <f t="shared" si="2"/>
        <v>1.7730588916295975E-3</v>
      </c>
    </row>
    <row r="21" spans="1:11" ht="20.100000000000001" customHeight="1" x14ac:dyDescent="0.25">
      <c r="A21" s="8" t="s">
        <v>27</v>
      </c>
      <c r="B21" s="8" t="s">
        <v>87</v>
      </c>
      <c r="C21" s="9"/>
      <c r="D21" s="9"/>
      <c r="E21" s="9">
        <v>1000</v>
      </c>
      <c r="F21" s="9">
        <v>0</v>
      </c>
      <c r="G21" s="9">
        <v>0</v>
      </c>
      <c r="H21" s="10">
        <f t="shared" si="0"/>
        <v>1000</v>
      </c>
      <c r="I21" s="10">
        <f t="shared" si="1"/>
        <v>1000</v>
      </c>
      <c r="J21" s="11">
        <f>IFERROR(H21/H63, 0)</f>
        <v>1.3698999446998791E-5</v>
      </c>
      <c r="K21" s="12">
        <f t="shared" si="2"/>
        <v>1.3269412450453507E-5</v>
      </c>
    </row>
    <row r="22" spans="1:11" ht="20.100000000000001" customHeight="1" x14ac:dyDescent="0.25">
      <c r="A22" s="8" t="s">
        <v>28</v>
      </c>
      <c r="B22" s="8" t="s">
        <v>89</v>
      </c>
      <c r="C22" s="9"/>
      <c r="D22" s="9"/>
      <c r="E22" s="9">
        <v>1500</v>
      </c>
      <c r="F22" s="9">
        <v>2431</v>
      </c>
      <c r="G22" s="9"/>
      <c r="H22" s="10">
        <f t="shared" si="0"/>
        <v>1500</v>
      </c>
      <c r="I22" s="10">
        <f t="shared" si="1"/>
        <v>3931</v>
      </c>
      <c r="J22" s="11">
        <f>IFERROR(H22/H63, 0)</f>
        <v>2.0548499170498187E-5</v>
      </c>
      <c r="K22" s="12">
        <f t="shared" si="2"/>
        <v>5.2162060342732736E-5</v>
      </c>
    </row>
    <row r="23" spans="1:11" ht="20.100000000000001" customHeight="1" x14ac:dyDescent="0.25">
      <c r="A23" s="8" t="s">
        <v>29</v>
      </c>
      <c r="B23" s="8" t="s">
        <v>90</v>
      </c>
      <c r="C23" s="9"/>
      <c r="D23" s="9"/>
      <c r="E23" s="9">
        <v>1000</v>
      </c>
      <c r="F23" s="9"/>
      <c r="G23" s="9">
        <v>2000</v>
      </c>
      <c r="H23" s="10">
        <f t="shared" si="0"/>
        <v>1000</v>
      </c>
      <c r="I23" s="10">
        <f t="shared" si="1"/>
        <v>3000</v>
      </c>
      <c r="J23" s="11">
        <f>IFERROR(H23/H63, 0)</f>
        <v>1.3698999446998791E-5</v>
      </c>
      <c r="K23" s="12">
        <f t="shared" si="2"/>
        <v>3.9808237351360519E-5</v>
      </c>
    </row>
    <row r="24" spans="1:11" ht="20.100000000000001" customHeight="1" x14ac:dyDescent="0.25">
      <c r="A24" s="8" t="s">
        <v>30</v>
      </c>
      <c r="B24" s="8" t="s">
        <v>92</v>
      </c>
      <c r="C24" s="9"/>
      <c r="D24" s="9"/>
      <c r="E24" s="9">
        <v>5000</v>
      </c>
      <c r="F24" s="9">
        <v>21882</v>
      </c>
      <c r="G24" s="9">
        <v>15000</v>
      </c>
      <c r="H24" s="10">
        <f t="shared" si="0"/>
        <v>5000</v>
      </c>
      <c r="I24" s="10">
        <f t="shared" si="1"/>
        <v>41882</v>
      </c>
      <c r="J24" s="11">
        <f>IFERROR(H24/H63, 0)</f>
        <v>6.8494997234993949E-5</v>
      </c>
      <c r="K24" s="12">
        <f t="shared" si="2"/>
        <v>5.5574953224989381E-4</v>
      </c>
    </row>
    <row r="25" spans="1:11" ht="20.100000000000001" customHeight="1" x14ac:dyDescent="0.25">
      <c r="A25" s="8" t="s">
        <v>31</v>
      </c>
      <c r="B25" s="8" t="s">
        <v>93</v>
      </c>
      <c r="C25" s="9"/>
      <c r="D25" s="9"/>
      <c r="E25" s="9">
        <v>15000</v>
      </c>
      <c r="F25" s="9">
        <v>0</v>
      </c>
      <c r="G25" s="9">
        <v>0</v>
      </c>
      <c r="H25" s="10">
        <f t="shared" si="0"/>
        <v>15000</v>
      </c>
      <c r="I25" s="10">
        <f t="shared" si="1"/>
        <v>15000</v>
      </c>
      <c r="J25" s="11">
        <f>IFERROR(H25/H63, 0)</f>
        <v>2.0548499170498186E-4</v>
      </c>
      <c r="K25" s="12">
        <f t="shared" si="2"/>
        <v>1.990411867568026E-4</v>
      </c>
    </row>
    <row r="26" spans="1:11" ht="20.100000000000001" customHeight="1" x14ac:dyDescent="0.25">
      <c r="A26" s="8" t="s">
        <v>32</v>
      </c>
      <c r="B26" s="8" t="s">
        <v>91</v>
      </c>
      <c r="C26" s="9">
        <v>4957910</v>
      </c>
      <c r="D26" s="9">
        <v>12124004</v>
      </c>
      <c r="E26" s="9"/>
      <c r="F26" s="9">
        <v>0</v>
      </c>
      <c r="G26" s="9">
        <v>0</v>
      </c>
      <c r="H26" s="10">
        <f t="shared" si="0"/>
        <v>17081914</v>
      </c>
      <c r="I26" s="10">
        <f t="shared" si="1"/>
        <v>17081914</v>
      </c>
      <c r="J26" s="11">
        <f>IFERROR(H26/H63, 0)</f>
        <v>0.23400513043968088</v>
      </c>
      <c r="K26" s="12">
        <f t="shared" si="2"/>
        <v>0.22666696230917607</v>
      </c>
    </row>
    <row r="27" spans="1:11" ht="20.100000000000001" customHeight="1" x14ac:dyDescent="0.25">
      <c r="A27" s="8" t="s">
        <v>33</v>
      </c>
      <c r="B27" s="8" t="s">
        <v>94</v>
      </c>
      <c r="C27" s="9"/>
      <c r="D27" s="9"/>
      <c r="E27" s="9">
        <v>5000</v>
      </c>
      <c r="F27" s="9">
        <v>9117</v>
      </c>
      <c r="G27" s="9"/>
      <c r="H27" s="10">
        <f t="shared" si="0"/>
        <v>5000</v>
      </c>
      <c r="I27" s="10">
        <f t="shared" si="1"/>
        <v>14117</v>
      </c>
      <c r="J27" s="11">
        <f>IFERROR(H27/H63, 0)</f>
        <v>6.8494997234993949E-5</v>
      </c>
      <c r="K27" s="12">
        <f t="shared" si="2"/>
        <v>1.8732429556305217E-4</v>
      </c>
    </row>
    <row r="28" spans="1:11" ht="20.100000000000001" customHeight="1" x14ac:dyDescent="0.25">
      <c r="A28" s="8" t="s">
        <v>34</v>
      </c>
      <c r="B28" s="8" t="s">
        <v>95</v>
      </c>
      <c r="C28" s="9">
        <v>1616655</v>
      </c>
      <c r="D28" s="9"/>
      <c r="E28" s="9"/>
      <c r="F28" s="9">
        <v>0</v>
      </c>
      <c r="G28" s="9">
        <v>0</v>
      </c>
      <c r="H28" s="10">
        <f t="shared" si="0"/>
        <v>1616655</v>
      </c>
      <c r="I28" s="10">
        <f t="shared" si="1"/>
        <v>1616655</v>
      </c>
      <c r="J28" s="11">
        <f>IFERROR(H28/H63, 0)</f>
        <v>2.2146555950987828E-2</v>
      </c>
      <c r="K28" s="12">
        <f t="shared" si="2"/>
        <v>2.1452061985087915E-2</v>
      </c>
    </row>
    <row r="29" spans="1:11" ht="20.100000000000001" customHeight="1" x14ac:dyDescent="0.25">
      <c r="A29" s="8" t="s">
        <v>35</v>
      </c>
      <c r="B29" s="8" t="s">
        <v>96</v>
      </c>
      <c r="C29" s="9"/>
      <c r="D29" s="9">
        <v>4169459</v>
      </c>
      <c r="E29" s="9"/>
      <c r="F29" s="9">
        <v>0</v>
      </c>
      <c r="G29" s="9">
        <v>0</v>
      </c>
      <c r="H29" s="10">
        <f t="shared" si="0"/>
        <v>4169459</v>
      </c>
      <c r="I29" s="10">
        <f t="shared" si="1"/>
        <v>4169459</v>
      </c>
      <c r="J29" s="11">
        <f>IFERROR(H29/H63, 0)</f>
        <v>5.7117416535284127E-2</v>
      </c>
      <c r="K29" s="12">
        <f t="shared" si="2"/>
        <v>5.5326271166255429E-2</v>
      </c>
    </row>
    <row r="30" spans="1:11" ht="20.100000000000001" customHeight="1" x14ac:dyDescent="0.25">
      <c r="A30" s="8" t="s">
        <v>36</v>
      </c>
      <c r="B30" s="8" t="s">
        <v>97</v>
      </c>
      <c r="C30" s="9"/>
      <c r="D30" s="9"/>
      <c r="E30" s="9">
        <v>50000</v>
      </c>
      <c r="F30" s="9">
        <v>0</v>
      </c>
      <c r="G30" s="9">
        <v>0</v>
      </c>
      <c r="H30" s="10">
        <f t="shared" si="0"/>
        <v>50000</v>
      </c>
      <c r="I30" s="10">
        <f t="shared" si="1"/>
        <v>50000</v>
      </c>
      <c r="J30" s="11">
        <f>IFERROR(H30/H63, 0)</f>
        <v>6.8494997234993952E-4</v>
      </c>
      <c r="K30" s="12">
        <f t="shared" si="2"/>
        <v>6.6347062252267532E-4</v>
      </c>
    </row>
    <row r="31" spans="1:11" ht="20.100000000000001" customHeight="1" x14ac:dyDescent="0.25">
      <c r="A31" s="8" t="s">
        <v>37</v>
      </c>
      <c r="B31" s="8" t="s">
        <v>98</v>
      </c>
      <c r="C31" s="9"/>
      <c r="D31" s="9">
        <v>43207</v>
      </c>
      <c r="E31" s="9">
        <v>975</v>
      </c>
      <c r="F31" s="9">
        <v>0</v>
      </c>
      <c r="G31" s="9">
        <v>0</v>
      </c>
      <c r="H31" s="10">
        <f t="shared" si="0"/>
        <v>44182</v>
      </c>
      <c r="I31" s="10">
        <f t="shared" si="1"/>
        <v>44182</v>
      </c>
      <c r="J31" s="11">
        <f>IFERROR(H31/H63, 0)</f>
        <v>6.0524919356730051E-4</v>
      </c>
      <c r="K31" s="12">
        <f t="shared" si="2"/>
        <v>5.8626918088593681E-4</v>
      </c>
    </row>
    <row r="32" spans="1:11" ht="20.100000000000001" customHeight="1" x14ac:dyDescent="0.25">
      <c r="A32" s="8" t="s">
        <v>38</v>
      </c>
      <c r="B32" s="8" t="s">
        <v>99</v>
      </c>
      <c r="C32" s="9"/>
      <c r="D32" s="9">
        <v>2025</v>
      </c>
      <c r="E32" s="9"/>
      <c r="F32" s="9">
        <v>0</v>
      </c>
      <c r="G32" s="9">
        <v>0</v>
      </c>
      <c r="H32" s="10">
        <f t="shared" si="0"/>
        <v>2025</v>
      </c>
      <c r="I32" s="10">
        <f t="shared" si="1"/>
        <v>2025</v>
      </c>
      <c r="J32" s="11">
        <f>IFERROR(H32/H63, 0)</f>
        <v>2.7740473880172552E-5</v>
      </c>
      <c r="K32" s="12">
        <f t="shared" si="2"/>
        <v>2.687056021216835E-5</v>
      </c>
    </row>
    <row r="33" spans="1:11" ht="20.100000000000001" customHeight="1" x14ac:dyDescent="0.25">
      <c r="A33" s="8" t="s">
        <v>39</v>
      </c>
      <c r="B33" s="8" t="s">
        <v>100</v>
      </c>
      <c r="C33" s="9"/>
      <c r="D33" s="9">
        <v>83856</v>
      </c>
      <c r="E33" s="9"/>
      <c r="F33" s="9">
        <v>0</v>
      </c>
      <c r="G33" s="9">
        <v>0</v>
      </c>
      <c r="H33" s="10">
        <f t="shared" si="0"/>
        <v>83856</v>
      </c>
      <c r="I33" s="10">
        <f t="shared" si="1"/>
        <v>83856</v>
      </c>
      <c r="J33" s="11">
        <f>IFERROR(H33/H63, 0)</f>
        <v>1.1487432976275305E-3</v>
      </c>
      <c r="K33" s="12">
        <f t="shared" si="2"/>
        <v>1.1127198504452293E-3</v>
      </c>
    </row>
    <row r="34" spans="1:11" ht="20.100000000000001" customHeight="1" x14ac:dyDescent="0.25">
      <c r="A34" s="8" t="s">
        <v>40</v>
      </c>
      <c r="B34" s="8" t="s">
        <v>101</v>
      </c>
      <c r="C34" s="9"/>
      <c r="D34" s="9">
        <v>7280</v>
      </c>
      <c r="E34" s="9"/>
      <c r="F34" s="9">
        <v>0</v>
      </c>
      <c r="G34" s="9">
        <v>0</v>
      </c>
      <c r="H34" s="10">
        <f t="shared" si="0"/>
        <v>7280</v>
      </c>
      <c r="I34" s="10">
        <f t="shared" si="1"/>
        <v>7280</v>
      </c>
      <c r="J34" s="11">
        <f>IFERROR(H34/H63, 0)</f>
        <v>9.9728715974151187E-5</v>
      </c>
      <c r="K34" s="12">
        <f t="shared" si="2"/>
        <v>9.6601322639301525E-5</v>
      </c>
    </row>
    <row r="35" spans="1:11" ht="20.100000000000001" customHeight="1" x14ac:dyDescent="0.25">
      <c r="A35" s="8" t="s">
        <v>41</v>
      </c>
      <c r="B35" s="8" t="s">
        <v>102</v>
      </c>
      <c r="C35" s="9"/>
      <c r="D35" s="9"/>
      <c r="E35" s="9">
        <v>2500</v>
      </c>
      <c r="F35" s="9">
        <v>0</v>
      </c>
      <c r="G35" s="9">
        <v>0</v>
      </c>
      <c r="H35" s="10">
        <f t="shared" si="0"/>
        <v>2500</v>
      </c>
      <c r="I35" s="10">
        <f t="shared" si="1"/>
        <v>2500</v>
      </c>
      <c r="J35" s="11">
        <f>IFERROR(H35/H63, 0)</f>
        <v>3.4247498617496974E-5</v>
      </c>
      <c r="K35" s="12">
        <f t="shared" si="2"/>
        <v>3.3173531126133765E-5</v>
      </c>
    </row>
    <row r="36" spans="1:11" ht="20.100000000000001" customHeight="1" x14ac:dyDescent="0.25">
      <c r="A36" s="8" t="s">
        <v>42</v>
      </c>
      <c r="B36" s="8" t="s">
        <v>103</v>
      </c>
      <c r="C36" s="9"/>
      <c r="D36" s="9"/>
      <c r="E36" s="9">
        <v>10000</v>
      </c>
      <c r="F36" s="9"/>
      <c r="G36" s="9">
        <v>5000</v>
      </c>
      <c r="H36" s="10">
        <f t="shared" si="0"/>
        <v>10000</v>
      </c>
      <c r="I36" s="10">
        <f t="shared" si="1"/>
        <v>15000</v>
      </c>
      <c r="J36" s="11">
        <f>IFERROR(H36/H63, 0)</f>
        <v>1.369899944699879E-4</v>
      </c>
      <c r="K36" s="12">
        <f t="shared" si="2"/>
        <v>1.990411867568026E-4</v>
      </c>
    </row>
    <row r="37" spans="1:11" ht="20.100000000000001" customHeight="1" x14ac:dyDescent="0.25">
      <c r="A37" s="8" t="s">
        <v>43</v>
      </c>
      <c r="B37" s="8" t="s">
        <v>104</v>
      </c>
      <c r="C37" s="9"/>
      <c r="D37" s="9"/>
      <c r="E37" s="9">
        <v>2500</v>
      </c>
      <c r="F37" s="9">
        <v>0</v>
      </c>
      <c r="G37" s="9">
        <v>0</v>
      </c>
      <c r="H37" s="10">
        <f t="shared" ref="H37:H58" si="3">SUM(C37,D37,E37,)</f>
        <v>2500</v>
      </c>
      <c r="I37" s="10">
        <f t="shared" ref="I37:I58" si="4">SUM(C37,D37,E37,F37,G37,)</f>
        <v>2500</v>
      </c>
      <c r="J37" s="11">
        <f>IFERROR(H37/H63, 0)</f>
        <v>3.4247498617496974E-5</v>
      </c>
      <c r="K37" s="12">
        <f t="shared" ref="K37:K58" si="5">IFERROR(I37 / DetailedCapShares, 0)</f>
        <v>3.3173531126133765E-5</v>
      </c>
    </row>
    <row r="38" spans="1:11" ht="20.100000000000001" customHeight="1" x14ac:dyDescent="0.25">
      <c r="A38" s="8" t="s">
        <v>44</v>
      </c>
      <c r="B38" s="8" t="s">
        <v>105</v>
      </c>
      <c r="C38" s="9"/>
      <c r="D38" s="9">
        <v>17020081</v>
      </c>
      <c r="E38" s="9">
        <v>200000</v>
      </c>
      <c r="F38" s="9">
        <v>0</v>
      </c>
      <c r="G38" s="9">
        <v>0</v>
      </c>
      <c r="H38" s="10">
        <f t="shared" si="3"/>
        <v>17220081</v>
      </c>
      <c r="I38" s="10">
        <f t="shared" si="4"/>
        <v>17220081</v>
      </c>
      <c r="J38" s="11">
        <f>IFERROR(H38/H63, 0)</f>
        <v>0.23589788009627438</v>
      </c>
      <c r="K38" s="12">
        <f t="shared" si="5"/>
        <v>0.22850035721921788</v>
      </c>
    </row>
    <row r="39" spans="1:11" ht="20.100000000000001" customHeight="1" x14ac:dyDescent="0.25">
      <c r="A39" s="8" t="s">
        <v>45</v>
      </c>
      <c r="B39" s="8" t="s">
        <v>106</v>
      </c>
      <c r="C39" s="9"/>
      <c r="D39" s="9"/>
      <c r="E39" s="9">
        <v>1000</v>
      </c>
      <c r="F39" s="9"/>
      <c r="G39" s="9">
        <v>1000</v>
      </c>
      <c r="H39" s="10">
        <f t="shared" si="3"/>
        <v>1000</v>
      </c>
      <c r="I39" s="10">
        <f t="shared" si="4"/>
        <v>2000</v>
      </c>
      <c r="J39" s="11">
        <f>IFERROR(H39/H63, 0)</f>
        <v>1.3698999446998791E-5</v>
      </c>
      <c r="K39" s="12">
        <f t="shared" si="5"/>
        <v>2.6538824900907014E-5</v>
      </c>
    </row>
    <row r="40" spans="1:11" ht="20.100000000000001" customHeight="1" x14ac:dyDescent="0.25">
      <c r="A40" s="8" t="s">
        <v>46</v>
      </c>
      <c r="B40" s="8" t="s">
        <v>107</v>
      </c>
      <c r="C40" s="9"/>
      <c r="D40" s="9"/>
      <c r="E40" s="9">
        <v>10000</v>
      </c>
      <c r="F40" s="9">
        <v>151966</v>
      </c>
      <c r="G40" s="9"/>
      <c r="H40" s="10">
        <f t="shared" si="3"/>
        <v>10000</v>
      </c>
      <c r="I40" s="10">
        <f t="shared" si="4"/>
        <v>161966</v>
      </c>
      <c r="J40" s="11">
        <f>IFERROR(H40/H63, 0)</f>
        <v>1.369899944699879E-4</v>
      </c>
      <c r="K40" s="12">
        <f t="shared" si="5"/>
        <v>2.1491936569501525E-3</v>
      </c>
    </row>
    <row r="41" spans="1:11" ht="20.100000000000001" customHeight="1" x14ac:dyDescent="0.25">
      <c r="A41" s="8" t="s">
        <v>47</v>
      </c>
      <c r="B41" s="8" t="s">
        <v>108</v>
      </c>
      <c r="C41" s="9"/>
      <c r="D41" s="9"/>
      <c r="E41" s="9">
        <v>5000</v>
      </c>
      <c r="F41" s="9">
        <v>2431</v>
      </c>
      <c r="G41" s="9"/>
      <c r="H41" s="10">
        <f t="shared" si="3"/>
        <v>5000</v>
      </c>
      <c r="I41" s="10">
        <f t="shared" si="4"/>
        <v>7431</v>
      </c>
      <c r="J41" s="11">
        <f>IFERROR(H41/H63, 0)</f>
        <v>6.8494997234993949E-5</v>
      </c>
      <c r="K41" s="12">
        <f t="shared" si="5"/>
        <v>9.860500391932001E-5</v>
      </c>
    </row>
    <row r="42" spans="1:11" ht="20.100000000000001" customHeight="1" x14ac:dyDescent="0.25">
      <c r="A42" s="8" t="s">
        <v>48</v>
      </c>
      <c r="B42" s="8" t="s">
        <v>109</v>
      </c>
      <c r="C42" s="9">
        <v>0</v>
      </c>
      <c r="D42" s="9">
        <v>0</v>
      </c>
      <c r="E42" s="9">
        <v>0</v>
      </c>
      <c r="F42" s="9">
        <v>75982</v>
      </c>
      <c r="G42" s="9"/>
      <c r="H42" s="10">
        <f t="shared" si="3"/>
        <v>0</v>
      </c>
      <c r="I42" s="10">
        <f t="shared" si="4"/>
        <v>75982</v>
      </c>
      <c r="J42" s="11">
        <f>IFERROR(H42/H63, 0)</f>
        <v>0</v>
      </c>
      <c r="K42" s="12">
        <f t="shared" si="5"/>
        <v>1.0082364968103583E-3</v>
      </c>
    </row>
    <row r="43" spans="1:11" ht="20.100000000000001" customHeight="1" x14ac:dyDescent="0.25">
      <c r="A43" s="8" t="s">
        <v>49</v>
      </c>
      <c r="B43" s="8" t="s">
        <v>110</v>
      </c>
      <c r="C43" s="9">
        <v>0</v>
      </c>
      <c r="D43" s="9">
        <v>0</v>
      </c>
      <c r="E43" s="9">
        <v>0</v>
      </c>
      <c r="F43" s="9">
        <v>48628</v>
      </c>
      <c r="G43" s="9"/>
      <c r="H43" s="10">
        <f t="shared" si="3"/>
        <v>0</v>
      </c>
      <c r="I43" s="10">
        <f t="shared" si="4"/>
        <v>48628</v>
      </c>
      <c r="J43" s="11">
        <f>IFERROR(H43/H63, 0)</f>
        <v>0</v>
      </c>
      <c r="K43" s="12">
        <f t="shared" si="5"/>
        <v>6.4526498864065317E-4</v>
      </c>
    </row>
    <row r="44" spans="1:11" ht="20.100000000000001" customHeight="1" x14ac:dyDescent="0.25">
      <c r="A44" s="8" t="s">
        <v>50</v>
      </c>
      <c r="B44" s="8" t="s">
        <v>111</v>
      </c>
      <c r="C44" s="9"/>
      <c r="D44" s="9">
        <v>2127</v>
      </c>
      <c r="E44" s="9"/>
      <c r="F44" s="9">
        <v>0</v>
      </c>
      <c r="G44" s="9">
        <v>0</v>
      </c>
      <c r="H44" s="10">
        <f t="shared" si="3"/>
        <v>2127</v>
      </c>
      <c r="I44" s="10">
        <f t="shared" si="4"/>
        <v>2127</v>
      </c>
      <c r="J44" s="11">
        <f>IFERROR(H44/H63, 0)</f>
        <v>2.9137771823766427E-5</v>
      </c>
      <c r="K44" s="12">
        <f t="shared" si="5"/>
        <v>2.8224040282114608E-5</v>
      </c>
    </row>
    <row r="45" spans="1:11" ht="20.100000000000001" customHeight="1" x14ac:dyDescent="0.25">
      <c r="A45" s="8" t="s">
        <v>51</v>
      </c>
      <c r="B45" s="8" t="s">
        <v>112</v>
      </c>
      <c r="C45" s="9"/>
      <c r="D45" s="9"/>
      <c r="E45" s="9">
        <v>5000</v>
      </c>
      <c r="F45" s="9"/>
      <c r="G45" s="9">
        <v>15000</v>
      </c>
      <c r="H45" s="10">
        <f t="shared" si="3"/>
        <v>5000</v>
      </c>
      <c r="I45" s="10">
        <f t="shared" si="4"/>
        <v>20000</v>
      </c>
      <c r="J45" s="11">
        <f>IFERROR(H45/H63, 0)</f>
        <v>6.8494997234993949E-5</v>
      </c>
      <c r="K45" s="12">
        <f t="shared" si="5"/>
        <v>2.6538824900907012E-4</v>
      </c>
    </row>
    <row r="46" spans="1:11" ht="20.100000000000001" customHeight="1" x14ac:dyDescent="0.25">
      <c r="A46" s="8" t="s">
        <v>52</v>
      </c>
      <c r="B46" s="8" t="s">
        <v>113</v>
      </c>
      <c r="C46" s="9"/>
      <c r="D46" s="9"/>
      <c r="E46" s="9">
        <v>1000</v>
      </c>
      <c r="F46" s="9">
        <v>0</v>
      </c>
      <c r="G46" s="9">
        <v>0</v>
      </c>
      <c r="H46" s="10">
        <f t="shared" si="3"/>
        <v>1000</v>
      </c>
      <c r="I46" s="10">
        <f t="shared" si="4"/>
        <v>1000</v>
      </c>
      <c r="J46" s="11">
        <f>IFERROR(H46/H63, 0)</f>
        <v>1.3698999446998791E-5</v>
      </c>
      <c r="K46" s="12">
        <f t="shared" si="5"/>
        <v>1.3269412450453507E-5</v>
      </c>
    </row>
    <row r="47" spans="1:11" ht="20.100000000000001" customHeight="1" x14ac:dyDescent="0.25">
      <c r="A47" s="8" t="s">
        <v>53</v>
      </c>
      <c r="B47" s="8" t="s">
        <v>114</v>
      </c>
      <c r="C47" s="9">
        <v>27484642</v>
      </c>
      <c r="D47" s="9"/>
      <c r="E47" s="9"/>
      <c r="F47" s="9">
        <v>0</v>
      </c>
      <c r="G47" s="9">
        <v>0</v>
      </c>
      <c r="H47" s="10">
        <f t="shared" si="3"/>
        <v>27484642</v>
      </c>
      <c r="I47" s="10">
        <f t="shared" si="4"/>
        <v>27484642</v>
      </c>
      <c r="J47" s="11">
        <f>IFERROR(H47/H63, 0)</f>
        <v>0.3765120955589597</v>
      </c>
      <c r="K47" s="12">
        <f t="shared" si="5"/>
        <v>0.36470505075105736</v>
      </c>
    </row>
    <row r="48" spans="1:11" ht="20.100000000000001" customHeight="1" x14ac:dyDescent="0.25">
      <c r="A48" s="8" t="s">
        <v>54</v>
      </c>
      <c r="B48" s="8" t="s">
        <v>115</v>
      </c>
      <c r="C48" s="9"/>
      <c r="D48" s="9">
        <v>1598377</v>
      </c>
      <c r="E48" s="9"/>
      <c r="F48" s="9">
        <v>0</v>
      </c>
      <c r="G48" s="9">
        <v>0</v>
      </c>
      <c r="H48" s="10">
        <f t="shared" si="3"/>
        <v>1598377</v>
      </c>
      <c r="I48" s="10">
        <f t="shared" si="4"/>
        <v>1598377</v>
      </c>
      <c r="J48" s="11">
        <f>IFERROR(H48/H63, 0)</f>
        <v>2.1896165639095584E-2</v>
      </c>
      <c r="K48" s="12">
        <f t="shared" si="5"/>
        <v>2.1209523664318525E-2</v>
      </c>
    </row>
    <row r="49" spans="1:11" ht="20.100000000000001" customHeight="1" x14ac:dyDescent="0.25">
      <c r="A49" s="8" t="s">
        <v>55</v>
      </c>
      <c r="B49" s="8" t="s">
        <v>116</v>
      </c>
      <c r="C49" s="9"/>
      <c r="D49" s="9">
        <v>1216898</v>
      </c>
      <c r="E49" s="9"/>
      <c r="F49" s="9">
        <v>0</v>
      </c>
      <c r="G49" s="9">
        <v>0</v>
      </c>
      <c r="H49" s="10">
        <f t="shared" si="3"/>
        <v>1216898</v>
      </c>
      <c r="I49" s="10">
        <f t="shared" si="4"/>
        <v>1216898</v>
      </c>
      <c r="J49" s="11">
        <f>IFERROR(H49/H63, 0)</f>
        <v>1.6670285029053933E-2</v>
      </c>
      <c r="K49" s="12">
        <f t="shared" si="5"/>
        <v>1.614752147213197E-2</v>
      </c>
    </row>
    <row r="50" spans="1:11" ht="20.100000000000001" customHeight="1" x14ac:dyDescent="0.25">
      <c r="A50" s="8" t="s">
        <v>56</v>
      </c>
      <c r="B50" s="8" t="s">
        <v>117</v>
      </c>
      <c r="C50" s="9">
        <v>0</v>
      </c>
      <c r="D50" s="9">
        <v>0</v>
      </c>
      <c r="E50" s="9">
        <v>0</v>
      </c>
      <c r="F50" s="9"/>
      <c r="G50" s="9">
        <v>500</v>
      </c>
      <c r="H50" s="10">
        <f t="shared" si="3"/>
        <v>0</v>
      </c>
      <c r="I50" s="10">
        <f t="shared" si="4"/>
        <v>500</v>
      </c>
      <c r="J50" s="11">
        <f>IFERROR(H50/H63, 0)</f>
        <v>0</v>
      </c>
      <c r="K50" s="12">
        <f t="shared" si="5"/>
        <v>6.6347062252267535E-6</v>
      </c>
    </row>
    <row r="51" spans="1:11" ht="20.100000000000001" customHeight="1" x14ac:dyDescent="0.25">
      <c r="A51" s="8" t="s">
        <v>57</v>
      </c>
      <c r="B51" s="8" t="s">
        <v>118</v>
      </c>
      <c r="C51" s="9"/>
      <c r="D51" s="9"/>
      <c r="E51" s="9"/>
      <c r="F51" s="9">
        <v>0</v>
      </c>
      <c r="G51" s="9">
        <v>0</v>
      </c>
      <c r="H51" s="10">
        <f t="shared" si="3"/>
        <v>0</v>
      </c>
      <c r="I51" s="10">
        <f t="shared" si="4"/>
        <v>0</v>
      </c>
      <c r="J51" s="11">
        <f>IFERROR(H51/H63, 0)</f>
        <v>0</v>
      </c>
      <c r="K51" s="12">
        <f t="shared" si="5"/>
        <v>0</v>
      </c>
    </row>
    <row r="52" spans="1:11" ht="20.100000000000001" customHeight="1" x14ac:dyDescent="0.25">
      <c r="A52" s="8" t="s">
        <v>58</v>
      </c>
      <c r="B52" s="8" t="s">
        <v>119</v>
      </c>
      <c r="C52" s="9"/>
      <c r="D52" s="9"/>
      <c r="E52" s="9">
        <v>10000</v>
      </c>
      <c r="F52" s="9"/>
      <c r="G52" s="9">
        <v>5000</v>
      </c>
      <c r="H52" s="10">
        <f t="shared" si="3"/>
        <v>10000</v>
      </c>
      <c r="I52" s="10">
        <f t="shared" si="4"/>
        <v>15000</v>
      </c>
      <c r="J52" s="11">
        <f>IFERROR(H52/H63, 0)</f>
        <v>1.369899944699879E-4</v>
      </c>
      <c r="K52" s="12">
        <f t="shared" si="5"/>
        <v>1.990411867568026E-4</v>
      </c>
    </row>
    <row r="53" spans="1:11" ht="20.100000000000001" customHeight="1" x14ac:dyDescent="0.25">
      <c r="A53" s="8" t="s">
        <v>59</v>
      </c>
      <c r="B53" s="8" t="s">
        <v>120</v>
      </c>
      <c r="C53" s="9"/>
      <c r="D53" s="9"/>
      <c r="E53" s="9">
        <v>1000</v>
      </c>
      <c r="F53" s="9">
        <v>0</v>
      </c>
      <c r="G53" s="9">
        <v>0</v>
      </c>
      <c r="H53" s="10">
        <f t="shared" si="3"/>
        <v>1000</v>
      </c>
      <c r="I53" s="10">
        <f t="shared" si="4"/>
        <v>1000</v>
      </c>
      <c r="J53" s="11">
        <f>IFERROR(H53/H63, 0)</f>
        <v>1.3698999446998791E-5</v>
      </c>
      <c r="K53" s="12">
        <f t="shared" si="5"/>
        <v>1.3269412450453507E-5</v>
      </c>
    </row>
    <row r="54" spans="1:11" ht="20.100000000000001" customHeight="1" x14ac:dyDescent="0.25">
      <c r="A54" s="8" t="s">
        <v>60</v>
      </c>
      <c r="B54" s="8" t="s">
        <v>121</v>
      </c>
      <c r="C54" s="9">
        <v>55080</v>
      </c>
      <c r="D54" s="9"/>
      <c r="E54" s="9"/>
      <c r="F54" s="9">
        <v>0</v>
      </c>
      <c r="G54" s="9">
        <v>0</v>
      </c>
      <c r="H54" s="10">
        <f t="shared" si="3"/>
        <v>55080</v>
      </c>
      <c r="I54" s="10">
        <f t="shared" si="4"/>
        <v>55080</v>
      </c>
      <c r="J54" s="11">
        <f>IFERROR(H54/H63, 0)</f>
        <v>7.5454088954069333E-4</v>
      </c>
      <c r="K54" s="12">
        <f t="shared" si="5"/>
        <v>7.3087923777097915E-4</v>
      </c>
    </row>
    <row r="55" spans="1:11" ht="20.100000000000001" customHeight="1" x14ac:dyDescent="0.25">
      <c r="A55" s="8" t="s">
        <v>61</v>
      </c>
      <c r="B55" s="8" t="s">
        <v>122</v>
      </c>
      <c r="C55" s="9"/>
      <c r="D55" s="9">
        <v>26723</v>
      </c>
      <c r="E55" s="9"/>
      <c r="F55" s="9">
        <v>0</v>
      </c>
      <c r="G55" s="9">
        <v>0</v>
      </c>
      <c r="H55" s="10">
        <f t="shared" si="3"/>
        <v>26723</v>
      </c>
      <c r="I55" s="10">
        <f t="shared" si="4"/>
        <v>26723</v>
      </c>
      <c r="J55" s="11">
        <f>IFERROR(H55/H63, 0)</f>
        <v>3.6607836222214869E-4</v>
      </c>
      <c r="K55" s="12">
        <f t="shared" si="5"/>
        <v>3.5459850891346906E-4</v>
      </c>
    </row>
    <row r="56" spans="1:11" ht="20.100000000000001" customHeight="1" x14ac:dyDescent="0.25">
      <c r="A56" s="8" t="s">
        <v>62</v>
      </c>
      <c r="B56" s="8" t="s">
        <v>123</v>
      </c>
      <c r="C56" s="9"/>
      <c r="D56" s="9"/>
      <c r="E56" s="9">
        <v>1000</v>
      </c>
      <c r="F56" s="9">
        <v>0</v>
      </c>
      <c r="G56" s="9">
        <v>0</v>
      </c>
      <c r="H56" s="10">
        <f t="shared" si="3"/>
        <v>1000</v>
      </c>
      <c r="I56" s="10">
        <f t="shared" si="4"/>
        <v>1000</v>
      </c>
      <c r="J56" s="11">
        <f>IFERROR(H56/H63, 0)</f>
        <v>1.3698999446998791E-5</v>
      </c>
      <c r="K56" s="12">
        <f t="shared" si="5"/>
        <v>1.3269412450453507E-5</v>
      </c>
    </row>
    <row r="57" spans="1:11" ht="20.100000000000001" customHeight="1" x14ac:dyDescent="0.25">
      <c r="A57" s="8" t="s">
        <v>63</v>
      </c>
      <c r="B57" s="8" t="s">
        <v>124</v>
      </c>
      <c r="C57" s="9"/>
      <c r="D57" s="9"/>
      <c r="E57" s="9">
        <v>5000</v>
      </c>
      <c r="F57" s="9"/>
      <c r="G57" s="9">
        <v>10000</v>
      </c>
      <c r="H57" s="10">
        <f t="shared" si="3"/>
        <v>5000</v>
      </c>
      <c r="I57" s="10">
        <f t="shared" si="4"/>
        <v>15000</v>
      </c>
      <c r="J57" s="11">
        <f>IFERROR(H57/H63, 0)</f>
        <v>6.8494997234993949E-5</v>
      </c>
      <c r="K57" s="12">
        <f t="shared" si="5"/>
        <v>1.990411867568026E-4</v>
      </c>
    </row>
    <row r="58" spans="1:11" ht="20.100000000000001" customHeight="1" x14ac:dyDescent="0.25">
      <c r="A58" s="8" t="s">
        <v>64</v>
      </c>
      <c r="B58" s="8" t="s">
        <v>125</v>
      </c>
      <c r="C58" s="9"/>
      <c r="D58" s="9">
        <v>25325</v>
      </c>
      <c r="E58" s="9"/>
      <c r="F58" s="9">
        <v>0</v>
      </c>
      <c r="G58" s="9">
        <v>0</v>
      </c>
      <c r="H58" s="10">
        <f t="shared" si="3"/>
        <v>25325</v>
      </c>
      <c r="I58" s="10">
        <f t="shared" si="4"/>
        <v>25325</v>
      </c>
      <c r="J58" s="11">
        <f>IFERROR(H58/H63, 0)</f>
        <v>3.4692716099524434E-4</v>
      </c>
      <c r="K58" s="12">
        <f t="shared" si="5"/>
        <v>3.3604787030773508E-4</v>
      </c>
    </row>
    <row r="59" spans="1:11" ht="20.100000000000001" customHeight="1" x14ac:dyDescent="0.25">
      <c r="A59" s="13"/>
      <c r="B59" s="14" t="s">
        <v>65</v>
      </c>
      <c r="C59" s="15"/>
      <c r="D59" s="15"/>
      <c r="E59" s="15"/>
      <c r="F59" s="15">
        <v>1605105</v>
      </c>
      <c r="G59" s="15">
        <v>94500</v>
      </c>
      <c r="H59" s="15"/>
      <c r="I59" s="15"/>
      <c r="J59" s="16"/>
      <c r="K59" s="17"/>
    </row>
    <row r="60" spans="1:11" ht="20.100000000000001" customHeight="1" thickBot="1" x14ac:dyDescent="0.3">
      <c r="A60" s="18"/>
      <c r="B60" s="19" t="s">
        <v>66</v>
      </c>
      <c r="C60" s="20"/>
      <c r="D60" s="20"/>
      <c r="E60" s="20"/>
      <c r="F60" s="20">
        <v>106625</v>
      </c>
      <c r="G60" s="20">
        <v>557025</v>
      </c>
      <c r="H60" s="20"/>
      <c r="I60" s="20">
        <f>SUM(F60,G60,)</f>
        <v>663650</v>
      </c>
      <c r="J60" s="21"/>
      <c r="K60" s="22">
        <f>IFERROR(I60/I61, 0)</f>
        <v>8.8062455727434697E-3</v>
      </c>
    </row>
    <row r="61" spans="1:11" ht="20.100000000000001" customHeight="1" x14ac:dyDescent="0.25">
      <c r="A61" s="23"/>
      <c r="B61" s="23" t="s">
        <v>67</v>
      </c>
      <c r="C61" s="24">
        <f>SUM(C5:C58)</f>
        <v>34114287</v>
      </c>
      <c r="D61" s="24">
        <f>SUM(D5:D58)</f>
        <v>38448270</v>
      </c>
      <c r="E61" s="24">
        <f>SUM(E5:E58)</f>
        <v>435475</v>
      </c>
      <c r="F61" s="24">
        <f>F59+F60</f>
        <v>1711730</v>
      </c>
      <c r="G61" s="24">
        <f>G59+G60</f>
        <v>651525</v>
      </c>
      <c r="H61" s="24"/>
      <c r="I61" s="24">
        <f>SUM(C61,D61,E61,F61,G61,)</f>
        <v>75361287</v>
      </c>
      <c r="J61" s="25"/>
      <c r="K61" s="26">
        <f>IFERROR(SUM(C61,D61,E61,F61,G61,)/I61, 0)</f>
        <v>1</v>
      </c>
    </row>
    <row r="62" spans="1:11" ht="20.100000000000001" customHeight="1" thickBot="1" x14ac:dyDescent="0.3">
      <c r="A62" s="27"/>
      <c r="B62" s="27" t="s">
        <v>10</v>
      </c>
      <c r="C62" s="28">
        <f>IFERROR(C61/I61, 0)</f>
        <v>0.45267654465614421</v>
      </c>
      <c r="D62" s="28">
        <f>IFERROR(D61/I61, 0)</f>
        <v>0.5101859526363981</v>
      </c>
      <c r="E62" s="28">
        <f>IFERROR(E61/I61, 0)</f>
        <v>5.7784973868612406E-3</v>
      </c>
      <c r="F62" s="28">
        <f>IFERROR(F61/I61, 0)</f>
        <v>2.2713651373814783E-2</v>
      </c>
      <c r="G62" s="28">
        <f>IFERROR(G61/I61, 0)</f>
        <v>8.6453539467817205E-3</v>
      </c>
      <c r="H62" s="29"/>
      <c r="I62" s="28">
        <f>SUM(C62,D62,E62,F62,G62,)</f>
        <v>1</v>
      </c>
      <c r="J62" s="28"/>
      <c r="K62" s="30"/>
    </row>
    <row r="63" spans="1:11" ht="20.100000000000001" customHeight="1" x14ac:dyDescent="0.25">
      <c r="A63" s="23"/>
      <c r="B63" s="23" t="s">
        <v>68</v>
      </c>
      <c r="C63" s="24">
        <f>SUM(C5:C58)</f>
        <v>34114287</v>
      </c>
      <c r="D63" s="24">
        <f>SUM(D5:D58)</f>
        <v>38448270</v>
      </c>
      <c r="E63" s="24">
        <f>SUM(E5:E58)</f>
        <v>435475</v>
      </c>
      <c r="F63" s="24"/>
      <c r="G63" s="24"/>
      <c r="H63" s="24">
        <f>SUM(C63,D63,E63,)</f>
        <v>72998032</v>
      </c>
      <c r="I63" s="24"/>
      <c r="J63" s="25">
        <f>SUM(J5:J58)</f>
        <v>1.0000000000000002</v>
      </c>
      <c r="K63" s="26"/>
    </row>
    <row r="64" spans="1:11" ht="20.100000000000001" customHeight="1" x14ac:dyDescent="0.25">
      <c r="A64" s="27"/>
      <c r="B64" s="27" t="s">
        <v>69</v>
      </c>
      <c r="C64" s="28">
        <f>IFERROR(C63/H63, 0)</f>
        <v>0.46733159874775804</v>
      </c>
      <c r="D64" s="28">
        <f>IFERROR(D63/H63, 0)</f>
        <v>0.52670282946806013</v>
      </c>
      <c r="E64" s="28">
        <f>IFERROR(E63/H63, 0)</f>
        <v>5.9655717841817979E-3</v>
      </c>
      <c r="F64" s="29"/>
      <c r="G64" s="29"/>
      <c r="H64" s="28">
        <f>SUM(C64,D64,E64,)</f>
        <v>1</v>
      </c>
      <c r="I64" s="29"/>
      <c r="J64" s="28"/>
      <c r="K64" s="30"/>
    </row>
    <row r="65" spans="1:11" ht="20.100000000000001" customHeight="1" x14ac:dyDescent="0.25">
      <c r="A65" s="27"/>
      <c r="B65" s="27" t="s">
        <v>70</v>
      </c>
      <c r="C65" s="29"/>
      <c r="D65" s="29"/>
      <c r="E65" s="29"/>
      <c r="F65" s="29"/>
      <c r="G65" s="29"/>
      <c r="H65" s="29"/>
      <c r="I65" s="29"/>
      <c r="J65" s="28"/>
      <c r="K65" s="30"/>
    </row>
  </sheetData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Detailed Cap</vt:lpstr>
      <vt:lpstr>DetailedCapShares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Carrington</cp:lastModifiedBy>
  <dcterms:created xsi:type="dcterms:W3CDTF">2025-08-20T17:15:12Z</dcterms:created>
  <dcterms:modified xsi:type="dcterms:W3CDTF">2025-12-15T23:56:19Z</dcterms:modified>
</cp:coreProperties>
</file>