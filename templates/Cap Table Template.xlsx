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tgc-my.sharepoint.com/personal/jcarrington_htgc_com/Documents/Documents/"/>
    </mc:Choice>
  </mc:AlternateContent>
  <xr:revisionPtr revIDLastSave="0" documentId="8_{B17297A4-E894-4C74-8A95-34DBEF910A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s" sheetId="4" r:id="rId1"/>
    <sheet name="Pro Forma Cap Table" sheetId="1" r:id="rId2"/>
    <sheet name="$-Pro Forma Cap Table" sheetId="6" state="hidden" r:id="rId3"/>
    <sheet name="Waterfall" sheetId="8" r:id="rId4"/>
    <sheet name="Summary" sheetId="7" state="hidden" r:id="rId5"/>
  </sheets>
  <definedNames>
    <definedName name="IQ_ADDIN" hidden="1">"AUTO"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NTRACTS_OTHER_COMMODITIES_EQUITIES._FDIC" hidden="1">"c6522"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 hidden="1">10000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 hidden="1">15000</definedName>
    <definedName name="IQ_NAMES_REVISION_DATE_" hidden="1">40357.5863773148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Inputs!$D$2:$P$48</definedName>
    <definedName name="_xlnm.Print_Area" localSheetId="1">'Pro Forma Cap Table'!$B$1:$T$53</definedName>
    <definedName name="_xlnm.Print_Area" localSheetId="4">Summary!$B$1:$R$39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" l="1"/>
  <c r="B3" i="7"/>
  <c r="F6" i="7" a="1"/>
  <c r="F6" i="7" s="1"/>
  <c r="K6" i="7"/>
  <c r="L6" i="7"/>
  <c r="M6" i="7"/>
  <c r="O6" i="7"/>
  <c r="C7" i="7"/>
  <c r="D7" i="7"/>
  <c r="AL21" i="7" s="1"/>
  <c r="AL24" i="7" s="1"/>
  <c r="F7" i="7" a="1"/>
  <c r="O7" i="7" s="1"/>
  <c r="J7" i="7"/>
  <c r="K7" i="7"/>
  <c r="L7" i="7"/>
  <c r="N7" i="7"/>
  <c r="L8" i="7"/>
  <c r="N8" i="7"/>
  <c r="B9" i="7"/>
  <c r="AM9" i="7"/>
  <c r="AR10" i="7"/>
  <c r="AT10" i="7"/>
  <c r="AM10" i="7"/>
  <c r="AS11" i="7"/>
  <c r="AM11" i="7"/>
  <c r="AR12" i="7"/>
  <c r="AM12" i="7"/>
  <c r="AM13" i="7"/>
  <c r="AM19" i="7" s="1"/>
  <c r="AM27" i="7" s="1"/>
  <c r="AM14" i="7"/>
  <c r="AW15" i="7"/>
  <c r="AM15" i="7"/>
  <c r="AV16" i="7"/>
  <c r="AW16" i="7"/>
  <c r="AM16" i="7"/>
  <c r="AW17" i="7"/>
  <c r="AM17" i="7"/>
  <c r="AN18" i="7" a="1"/>
  <c r="AN18" i="7" s="1"/>
  <c r="AS18" i="7"/>
  <c r="AT18" i="7"/>
  <c r="AU18" i="7"/>
  <c r="AW18" i="7"/>
  <c r="AR21" i="7"/>
  <c r="AR24" i="7" s="1"/>
  <c r="AK21" i="7"/>
  <c r="AM21" i="7" s="1"/>
  <c r="AJ9" i="7"/>
  <c r="AA61" i="7" a="1"/>
  <c r="AH61" i="7" s="1"/>
  <c r="AI61" i="7"/>
  <c r="AJ61" i="7"/>
  <c r="B10" i="7"/>
  <c r="AJ10" i="7"/>
  <c r="B11" i="7"/>
  <c r="AJ11" i="7"/>
  <c r="B12" i="7"/>
  <c r="AJ12" i="7"/>
  <c r="B13" i="7"/>
  <c r="AJ13" i="7"/>
  <c r="B14" i="7"/>
  <c r="AJ14" i="7"/>
  <c r="B15" i="7"/>
  <c r="AJ15" i="7"/>
  <c r="B16" i="7"/>
  <c r="AJ16" i="7"/>
  <c r="B17" i="7"/>
  <c r="AJ17" i="7"/>
  <c r="AK19" i="7"/>
  <c r="AK27" i="7" s="1"/>
  <c r="AK28" i="7" s="1"/>
  <c r="AM28" i="7" s="1"/>
  <c r="AL19" i="7"/>
  <c r="C20" i="7"/>
  <c r="D20" i="7"/>
  <c r="E20" i="7"/>
  <c r="AJ21" i="7"/>
  <c r="K22" i="7"/>
  <c r="AK24" i="7"/>
  <c r="AM24" i="7"/>
  <c r="AL27" i="7"/>
  <c r="AL28" i="7" s="1"/>
  <c r="E36" i="7"/>
  <c r="E37" i="7"/>
  <c r="E38" i="7"/>
  <c r="E39" i="7"/>
  <c r="AA56" i="7" a="1"/>
  <c r="AG56" i="7" s="1"/>
  <c r="AB56" i="7"/>
  <c r="AC56" i="7"/>
  <c r="AD56" i="7"/>
  <c r="AF56" i="7"/>
  <c r="AH56" i="7"/>
  <c r="AA57" i="7" a="1"/>
  <c r="AH57" i="7" s="1"/>
  <c r="AA57" i="7"/>
  <c r="AC57" i="7"/>
  <c r="AD57" i="7"/>
  <c r="AD59" i="7" s="1"/>
  <c r="AE57" i="7"/>
  <c r="AG57" i="7"/>
  <c r="AI57" i="7"/>
  <c r="AA58" i="7" a="1"/>
  <c r="AI58" i="7" s="1"/>
  <c r="AA58" i="7"/>
  <c r="AB58" i="7"/>
  <c r="AD58" i="7"/>
  <c r="AE58" i="7"/>
  <c r="AF58" i="7"/>
  <c r="AH58" i="7"/>
  <c r="AH59" i="7" s="1"/>
  <c r="AJ58" i="7"/>
  <c r="AA60" i="7" a="1"/>
  <c r="AA60" i="7"/>
  <c r="AB60" i="7"/>
  <c r="AC60" i="7"/>
  <c r="AD60" i="7"/>
  <c r="AE60" i="7"/>
  <c r="AF60" i="7"/>
  <c r="AG60" i="7"/>
  <c r="AH60" i="7"/>
  <c r="AI60" i="7"/>
  <c r="AJ60" i="7"/>
  <c r="B1" i="8"/>
  <c r="B3" i="8"/>
  <c r="F6" i="8" a="1"/>
  <c r="F6" i="8"/>
  <c r="G6" i="8"/>
  <c r="H6" i="8"/>
  <c r="B131" i="8" s="1"/>
  <c r="I6" i="8"/>
  <c r="B132" i="8" s="1"/>
  <c r="J6" i="8"/>
  <c r="K6" i="8"/>
  <c r="L6" i="8"/>
  <c r="M6" i="8"/>
  <c r="N6" i="8"/>
  <c r="O6" i="8"/>
  <c r="C7" i="8"/>
  <c r="D7" i="8"/>
  <c r="F7" i="8" a="1"/>
  <c r="F7" i="8"/>
  <c r="G7" i="8"/>
  <c r="H7" i="8"/>
  <c r="B10" i="8"/>
  <c r="C10" i="8"/>
  <c r="D10" i="8"/>
  <c r="C11" i="8"/>
  <c r="D11" i="8"/>
  <c r="C12" i="8"/>
  <c r="D12" i="8"/>
  <c r="D13" i="8"/>
  <c r="D14" i="8"/>
  <c r="H15" i="8"/>
  <c r="C15" i="8"/>
  <c r="E15" i="8" s="1"/>
  <c r="D15" i="8"/>
  <c r="C16" i="8"/>
  <c r="E16" i="8" s="1"/>
  <c r="D16" i="8"/>
  <c r="G17" i="8"/>
  <c r="D17" i="8"/>
  <c r="D18" i="8"/>
  <c r="F19" i="8" a="1"/>
  <c r="F19" i="8"/>
  <c r="G19" i="8"/>
  <c r="H19" i="8"/>
  <c r="H38" i="8" s="1"/>
  <c r="I19" i="8"/>
  <c r="I38" i="8" s="1"/>
  <c r="J19" i="8"/>
  <c r="J38" i="8" s="1"/>
  <c r="K19" i="8"/>
  <c r="K38" i="8" s="1"/>
  <c r="L19" i="8"/>
  <c r="L38" i="8" s="1"/>
  <c r="N19" i="8"/>
  <c r="N38" i="8" s="1"/>
  <c r="C19" i="8"/>
  <c r="D19" i="8"/>
  <c r="G22" i="8"/>
  <c r="G24" i="8" s="1"/>
  <c r="H22" i="8"/>
  <c r="H24" i="8" s="1"/>
  <c r="C22" i="8"/>
  <c r="F51" i="8" a="1"/>
  <c r="F51" i="8"/>
  <c r="G51" i="8"/>
  <c r="H51" i="8"/>
  <c r="J51" i="8"/>
  <c r="K51" i="8"/>
  <c r="L51" i="8"/>
  <c r="M51" i="8"/>
  <c r="O51" i="8"/>
  <c r="B11" i="8"/>
  <c r="B12" i="8"/>
  <c r="B13" i="8"/>
  <c r="B14" i="8"/>
  <c r="B15" i="8"/>
  <c r="B16" i="8"/>
  <c r="B17" i="8"/>
  <c r="B18" i="8"/>
  <c r="F38" i="8"/>
  <c r="G38" i="8"/>
  <c r="B22" i="8"/>
  <c r="B29" i="8"/>
  <c r="D29" i="8"/>
  <c r="B30" i="8"/>
  <c r="D30" i="8"/>
  <c r="B31" i="8"/>
  <c r="B204" i="8" s="1"/>
  <c r="D31" i="8"/>
  <c r="B32" i="8"/>
  <c r="B205" i="8" s="1"/>
  <c r="C32" i="8"/>
  <c r="E32" i="8" s="1"/>
  <c r="D32" i="8"/>
  <c r="B33" i="8"/>
  <c r="D33" i="8"/>
  <c r="F33" i="8"/>
  <c r="B34" i="8"/>
  <c r="D34" i="8"/>
  <c r="B35" i="8"/>
  <c r="C35" i="8"/>
  <c r="D35" i="8"/>
  <c r="F35" i="8"/>
  <c r="B36" i="8"/>
  <c r="C36" i="8"/>
  <c r="D36" i="8"/>
  <c r="E36" i="8"/>
  <c r="B37" i="8"/>
  <c r="B210" i="8" s="1"/>
  <c r="N210" i="8" s="1"/>
  <c r="Z210" i="8" s="1"/>
  <c r="AL210" i="8" s="1"/>
  <c r="AX210" i="8" s="1"/>
  <c r="BJ210" i="8" s="1"/>
  <c r="BV210" i="8" s="1"/>
  <c r="D37" i="8"/>
  <c r="C38" i="8"/>
  <c r="B41" i="8"/>
  <c r="C41" i="8"/>
  <c r="D41" i="8"/>
  <c r="D43" i="8" s="1"/>
  <c r="H41" i="8"/>
  <c r="H43" i="8" s="1"/>
  <c r="F46" i="8" a="1"/>
  <c r="F47" i="8" a="1"/>
  <c r="H47" i="8" s="1"/>
  <c r="F47" i="8"/>
  <c r="I47" i="8"/>
  <c r="J47" i="8"/>
  <c r="K47" i="8"/>
  <c r="L47" i="8"/>
  <c r="M47" i="8"/>
  <c r="N47" i="8"/>
  <c r="F48" i="8" a="1"/>
  <c r="H48" i="8" s="1"/>
  <c r="K48" i="8"/>
  <c r="L48" i="8"/>
  <c r="F50" i="8" a="1"/>
  <c r="G50" i="8" s="1"/>
  <c r="F50" i="8"/>
  <c r="H50" i="8"/>
  <c r="I50" i="8"/>
  <c r="J50" i="8"/>
  <c r="K50" i="8"/>
  <c r="L50" i="8"/>
  <c r="M50" i="8"/>
  <c r="N50" i="8"/>
  <c r="O50" i="8"/>
  <c r="Q50" i="8"/>
  <c r="Q51" i="8"/>
  <c r="Q52" i="8"/>
  <c r="Q53" i="8"/>
  <c r="F61" i="8"/>
  <c r="G61" i="8"/>
  <c r="H61" i="8"/>
  <c r="I61" i="8"/>
  <c r="J61" i="8"/>
  <c r="K61" i="8"/>
  <c r="L61" i="8"/>
  <c r="M61" i="8"/>
  <c r="N61" i="8"/>
  <c r="O61" i="8"/>
  <c r="F63" i="8"/>
  <c r="B129" i="8"/>
  <c r="F66" i="8" s="1"/>
  <c r="B130" i="8"/>
  <c r="B133" i="8"/>
  <c r="J66" i="8"/>
  <c r="B134" i="8"/>
  <c r="K66" i="8"/>
  <c r="B135" i="8"/>
  <c r="B136" i="8"/>
  <c r="B137" i="8"/>
  <c r="B138" i="8"/>
  <c r="O66" i="8"/>
  <c r="C822" i="8"/>
  <c r="C81" i="8"/>
  <c r="D822" i="8"/>
  <c r="O81" i="8"/>
  <c r="E822" i="8"/>
  <c r="AA81" i="8"/>
  <c r="F822" i="8"/>
  <c r="AM81" i="8"/>
  <c r="G822" i="8"/>
  <c r="AY81" i="8" s="1"/>
  <c r="H822" i="8"/>
  <c r="BK81" i="8" s="1"/>
  <c r="I822" i="8"/>
  <c r="BW81" i="8" s="1"/>
  <c r="J822" i="8"/>
  <c r="CI81" i="8"/>
  <c r="K822" i="8"/>
  <c r="CU81" i="8" s="1"/>
  <c r="L822" i="8"/>
  <c r="DG81" i="8"/>
  <c r="N132" i="8"/>
  <c r="N133" i="8"/>
  <c r="Z133" i="8"/>
  <c r="AL133" i="8"/>
  <c r="AL156" i="8" s="1"/>
  <c r="N134" i="8"/>
  <c r="Z134" i="8"/>
  <c r="N136" i="8"/>
  <c r="B139" i="8"/>
  <c r="N139" i="8" s="1"/>
  <c r="Z139" i="8" s="1"/>
  <c r="AL139" i="8" s="1"/>
  <c r="AX139" i="8" s="1"/>
  <c r="BJ139" i="8" s="1"/>
  <c r="BV139" i="8" s="1"/>
  <c r="CH139" i="8" s="1"/>
  <c r="CT139" i="8" s="1"/>
  <c r="DF139" i="8" s="1"/>
  <c r="B140" i="8"/>
  <c r="N140" i="8"/>
  <c r="Z140" i="8" s="1"/>
  <c r="AL140" i="8" s="1"/>
  <c r="AX140" i="8"/>
  <c r="BJ140" i="8" s="1"/>
  <c r="BV140" i="8" s="1"/>
  <c r="CH140" i="8" s="1"/>
  <c r="CT140" i="8" s="1"/>
  <c r="DF140" i="8" s="1"/>
  <c r="B143" i="8"/>
  <c r="N143" i="8" s="1"/>
  <c r="Z143" i="8" s="1"/>
  <c r="AL143" i="8" s="1"/>
  <c r="AX143" i="8" s="1"/>
  <c r="BJ143" i="8" s="1"/>
  <c r="BV143" i="8" s="1"/>
  <c r="CH143" i="8" s="1"/>
  <c r="CT143" i="8" s="1"/>
  <c r="DF143" i="8" s="1"/>
  <c r="B144" i="8"/>
  <c r="N144" i="8"/>
  <c r="Z144" i="8"/>
  <c r="AL144" i="8" s="1"/>
  <c r="AX144" i="8" s="1"/>
  <c r="BJ144" i="8" s="1"/>
  <c r="BV144" i="8" s="1"/>
  <c r="CH144" i="8" s="1"/>
  <c r="CT144" i="8" s="1"/>
  <c r="DF144" i="8" s="1"/>
  <c r="B145" i="8"/>
  <c r="N145" i="8" s="1"/>
  <c r="Z145" i="8" s="1"/>
  <c r="AL145" i="8" s="1"/>
  <c r="AX145" i="8" s="1"/>
  <c r="BJ145" i="8"/>
  <c r="BV145" i="8" s="1"/>
  <c r="CH145" i="8" s="1"/>
  <c r="CT145" i="8" s="1"/>
  <c r="DF145" i="8" s="1"/>
  <c r="J162" i="8"/>
  <c r="J163" i="8"/>
  <c r="J167" i="8"/>
  <c r="V164" i="8"/>
  <c r="V166" i="8"/>
  <c r="V167" i="8"/>
  <c r="AH163" i="8"/>
  <c r="AH164" i="8"/>
  <c r="AH166" i="8"/>
  <c r="AH167" i="8"/>
  <c r="AT162" i="8"/>
  <c r="AT163" i="8"/>
  <c r="AT166" i="8"/>
  <c r="AT167" i="8"/>
  <c r="BF162" i="8"/>
  <c r="BF163" i="8"/>
  <c r="BF164" i="8"/>
  <c r="BF166" i="8"/>
  <c r="BF167" i="8"/>
  <c r="BR162" i="8"/>
  <c r="BR163" i="8"/>
  <c r="BR164" i="8"/>
  <c r="CD162" i="8"/>
  <c r="CD163" i="8"/>
  <c r="CD167" i="8"/>
  <c r="CP164" i="8"/>
  <c r="CP166" i="8"/>
  <c r="CP167" i="8"/>
  <c r="CP168" i="8"/>
  <c r="DB162" i="8"/>
  <c r="DB163" i="8"/>
  <c r="DB166" i="8"/>
  <c r="DN162" i="8"/>
  <c r="DN163" i="8"/>
  <c r="DN166" i="8"/>
  <c r="DN167" i="8"/>
  <c r="B155" i="8"/>
  <c r="B156" i="8"/>
  <c r="N156" i="8"/>
  <c r="N166" i="8" s="1"/>
  <c r="N191" i="8" s="1"/>
  <c r="Z156" i="8"/>
  <c r="B157" i="8"/>
  <c r="B182" i="8" s="1"/>
  <c r="N157" i="8"/>
  <c r="N167" i="8" s="1"/>
  <c r="AF164" i="8"/>
  <c r="AR164" i="8"/>
  <c r="B166" i="8"/>
  <c r="Z166" i="8"/>
  <c r="Z191" i="8" s="1"/>
  <c r="B167" i="8"/>
  <c r="B192" i="8" s="1"/>
  <c r="B216" i="8" s="1"/>
  <c r="N216" i="8" s="1"/>
  <c r="Z216" i="8" s="1"/>
  <c r="AL216" i="8" s="1"/>
  <c r="AX216" i="8" s="1"/>
  <c r="BJ216" i="8" s="1"/>
  <c r="BV216" i="8" s="1"/>
  <c r="CH216" i="8" s="1"/>
  <c r="CT216" i="8" s="1"/>
  <c r="DF216" i="8" s="1"/>
  <c r="H167" i="8"/>
  <c r="T167" i="8"/>
  <c r="CN167" i="8"/>
  <c r="CZ167" i="8"/>
  <c r="AR168" i="8"/>
  <c r="CB168" i="8"/>
  <c r="CN168" i="8"/>
  <c r="DL168" i="8"/>
  <c r="B181" i="8"/>
  <c r="N181" i="8"/>
  <c r="Z181" i="8"/>
  <c r="N182" i="8"/>
  <c r="B191" i="8"/>
  <c r="N192" i="8"/>
  <c r="B197" i="8"/>
  <c r="N197" i="8"/>
  <c r="Z197" i="8"/>
  <c r="AL197" i="8"/>
  <c r="AX197" i="8"/>
  <c r="BJ197" i="8"/>
  <c r="BV197" i="8"/>
  <c r="CH197" i="8"/>
  <c r="CT197" i="8"/>
  <c r="DF197" i="8"/>
  <c r="B198" i="8"/>
  <c r="N198" i="8"/>
  <c r="Z198" i="8"/>
  <c r="AL198" i="8"/>
  <c r="AX198" i="8"/>
  <c r="BJ198" i="8"/>
  <c r="BV198" i="8"/>
  <c r="CH198" i="8"/>
  <c r="CT198" i="8"/>
  <c r="DF198" i="8"/>
  <c r="B202" i="8"/>
  <c r="B203" i="8"/>
  <c r="N203" i="8" s="1"/>
  <c r="Z203" i="8" s="1"/>
  <c r="AL203" i="8" s="1"/>
  <c r="AL290" i="8" s="1"/>
  <c r="B206" i="8"/>
  <c r="N206" i="8" s="1"/>
  <c r="Z206" i="8" s="1"/>
  <c r="AL206" i="8" s="1"/>
  <c r="AX206" i="8" s="1"/>
  <c r="BJ206" i="8" s="1"/>
  <c r="BV206" i="8" s="1"/>
  <c r="CH206" i="8" s="1"/>
  <c r="CH482" i="8" s="1"/>
  <c r="CT206" i="8"/>
  <c r="B207" i="8"/>
  <c r="N207" i="8" s="1"/>
  <c r="Z207" i="8" s="1"/>
  <c r="AL207" i="8"/>
  <c r="B208" i="8"/>
  <c r="B209" i="8"/>
  <c r="B215" i="8"/>
  <c r="N215" i="8"/>
  <c r="Z215" i="8" s="1"/>
  <c r="AL215" i="8" s="1"/>
  <c r="AX215" i="8" s="1"/>
  <c r="BJ215" i="8" s="1"/>
  <c r="BV215" i="8" s="1"/>
  <c r="CH215" i="8" s="1"/>
  <c r="CT215" i="8" s="1"/>
  <c r="DF215" i="8" s="1"/>
  <c r="B221" i="8"/>
  <c r="N221" i="8"/>
  <c r="Z221" i="8"/>
  <c r="AL221" i="8" s="1"/>
  <c r="AX221" i="8" s="1"/>
  <c r="BJ221" i="8" s="1"/>
  <c r="BV221" i="8" s="1"/>
  <c r="CH221" i="8" s="1"/>
  <c r="CT221" i="8" s="1"/>
  <c r="DF221" i="8" s="1"/>
  <c r="N222" i="8"/>
  <c r="Z222" i="8" s="1"/>
  <c r="AL222" i="8" s="1"/>
  <c r="AX222" i="8" s="1"/>
  <c r="BJ222" i="8"/>
  <c r="BV222" i="8" s="1"/>
  <c r="CH222" i="8" s="1"/>
  <c r="CT222" i="8" s="1"/>
  <c r="DF222" i="8" s="1"/>
  <c r="B239" i="8"/>
  <c r="B254" i="8" s="1"/>
  <c r="N239" i="8"/>
  <c r="Z239" i="8"/>
  <c r="AL239" i="8"/>
  <c r="AL254" i="8" s="1"/>
  <c r="AX239" i="8"/>
  <c r="AX254" i="8" s="1"/>
  <c r="AX269" i="8" s="1"/>
  <c r="AX284" i="8" s="1"/>
  <c r="BJ239" i="8"/>
  <c r="BV239" i="8"/>
  <c r="CH239" i="8"/>
  <c r="CH254" i="8" s="1"/>
  <c r="CT239" i="8"/>
  <c r="DF239" i="8"/>
  <c r="N254" i="8"/>
  <c r="Z254" i="8"/>
  <c r="BJ254" i="8"/>
  <c r="BV254" i="8"/>
  <c r="CT254" i="8"/>
  <c r="CT269" i="8" s="1"/>
  <c r="DF254" i="8"/>
  <c r="DF269" i="8" s="1"/>
  <c r="DF284" i="8" s="1"/>
  <c r="B269" i="8"/>
  <c r="N269" i="8"/>
  <c r="Z269" i="8"/>
  <c r="Z284" i="8" s="1"/>
  <c r="AL269" i="8"/>
  <c r="AL284" i="8" s="1"/>
  <c r="BJ269" i="8"/>
  <c r="BJ284" i="8" s="1"/>
  <c r="BV269" i="8"/>
  <c r="CH269" i="8"/>
  <c r="CH284" i="8" s="1"/>
  <c r="B284" i="8"/>
  <c r="N284" i="8"/>
  <c r="BV284" i="8"/>
  <c r="CT284" i="8"/>
  <c r="B290" i="8"/>
  <c r="N290" i="8"/>
  <c r="Z290" i="8"/>
  <c r="B303" i="8"/>
  <c r="B318" i="8" s="1"/>
  <c r="B333" i="8" s="1"/>
  <c r="B348" i="8" s="1"/>
  <c r="N303" i="8"/>
  <c r="Z303" i="8"/>
  <c r="Z318" i="8" s="1"/>
  <c r="Z333" i="8" s="1"/>
  <c r="Z348" i="8" s="1"/>
  <c r="AL303" i="8"/>
  <c r="AX303" i="8"/>
  <c r="BJ303" i="8"/>
  <c r="BV303" i="8"/>
  <c r="CH303" i="8"/>
  <c r="CT303" i="8"/>
  <c r="DF303" i="8"/>
  <c r="DF318" i="8" s="1"/>
  <c r="N318" i="8"/>
  <c r="AL318" i="8"/>
  <c r="AX318" i="8"/>
  <c r="BJ318" i="8"/>
  <c r="BV318" i="8"/>
  <c r="BV333" i="8" s="1"/>
  <c r="BV348" i="8" s="1"/>
  <c r="CH318" i="8"/>
  <c r="CH333" i="8" s="1"/>
  <c r="CT318" i="8"/>
  <c r="AJ321" i="8"/>
  <c r="N333" i="8"/>
  <c r="AL333" i="8"/>
  <c r="AL348" i="8" s="1"/>
  <c r="AX333" i="8"/>
  <c r="AX348" i="8" s="1"/>
  <c r="BJ333" i="8"/>
  <c r="CT333" i="8"/>
  <c r="CT348" i="8" s="1"/>
  <c r="DF333" i="8"/>
  <c r="DF348" i="8" s="1"/>
  <c r="N348" i="8"/>
  <c r="BJ348" i="8"/>
  <c r="CH348" i="8"/>
  <c r="B367" i="8"/>
  <c r="N367" i="8"/>
  <c r="Z367" i="8"/>
  <c r="AL367" i="8"/>
  <c r="AX367" i="8"/>
  <c r="BJ367" i="8"/>
  <c r="BV367" i="8"/>
  <c r="CH367" i="8"/>
  <c r="CH382" i="8" s="1"/>
  <c r="CT367" i="8"/>
  <c r="CT382" i="8" s="1"/>
  <c r="CT397" i="8" s="1"/>
  <c r="CT412" i="8" s="1"/>
  <c r="DF367" i="8"/>
  <c r="DF382" i="8" s="1"/>
  <c r="DF397" i="8" s="1"/>
  <c r="DF412" i="8" s="1"/>
  <c r="B382" i="8"/>
  <c r="N382" i="8"/>
  <c r="Z382" i="8"/>
  <c r="AL382" i="8"/>
  <c r="AL397" i="8" s="1"/>
  <c r="AL412" i="8" s="1"/>
  <c r="AX382" i="8"/>
  <c r="BJ382" i="8"/>
  <c r="BV382" i="8"/>
  <c r="BV397" i="8" s="1"/>
  <c r="BV412" i="8" s="1"/>
  <c r="B397" i="8"/>
  <c r="N397" i="8"/>
  <c r="N412" i="8" s="1"/>
  <c r="Z397" i="8"/>
  <c r="AX397" i="8"/>
  <c r="AX412" i="8" s="1"/>
  <c r="BJ397" i="8"/>
  <c r="BJ412" i="8" s="1"/>
  <c r="CH397" i="8"/>
  <c r="CH412" i="8" s="1"/>
  <c r="B412" i="8"/>
  <c r="Z412" i="8"/>
  <c r="B431" i="8"/>
  <c r="B446" i="8" s="1"/>
  <c r="B461" i="8" s="1"/>
  <c r="B476" i="8" s="1"/>
  <c r="N431" i="8"/>
  <c r="Z431" i="8"/>
  <c r="Z446" i="8" s="1"/>
  <c r="AL431" i="8"/>
  <c r="AL446" i="8" s="1"/>
  <c r="AX431" i="8"/>
  <c r="BJ431" i="8"/>
  <c r="BV431" i="8"/>
  <c r="BV446" i="8" s="1"/>
  <c r="BV461" i="8" s="1"/>
  <c r="BV476" i="8" s="1"/>
  <c r="CH431" i="8"/>
  <c r="CT431" i="8"/>
  <c r="DF431" i="8"/>
  <c r="N446" i="8"/>
  <c r="N461" i="8" s="1"/>
  <c r="N476" i="8" s="1"/>
  <c r="AX446" i="8"/>
  <c r="BJ446" i="8"/>
  <c r="BJ461" i="8" s="1"/>
  <c r="CH446" i="8"/>
  <c r="CH461" i="8" s="1"/>
  <c r="CH476" i="8" s="1"/>
  <c r="CT446" i="8"/>
  <c r="DF446" i="8"/>
  <c r="DF461" i="8" s="1"/>
  <c r="DF476" i="8" s="1"/>
  <c r="Z461" i="8"/>
  <c r="Z476" i="8" s="1"/>
  <c r="AL461" i="8"/>
  <c r="AX461" i="8"/>
  <c r="CT461" i="8"/>
  <c r="CT476" i="8" s="1"/>
  <c r="AL476" i="8"/>
  <c r="AX476" i="8"/>
  <c r="BJ476" i="8"/>
  <c r="B482" i="8"/>
  <c r="N482" i="8"/>
  <c r="Z482" i="8"/>
  <c r="AL482" i="8"/>
  <c r="AX482" i="8"/>
  <c r="BJ482" i="8"/>
  <c r="BV482" i="8"/>
  <c r="C485" i="8"/>
  <c r="C500" i="8" s="1"/>
  <c r="B511" i="8" s="1"/>
  <c r="O485" i="8"/>
  <c r="AA485" i="8"/>
  <c r="Z496" i="8" s="1"/>
  <c r="AM485" i="8"/>
  <c r="BK485" i="8"/>
  <c r="BW485" i="8"/>
  <c r="CI485" i="8"/>
  <c r="CU485" i="8"/>
  <c r="CU500" i="8" s="1"/>
  <c r="CT511" i="8" s="1"/>
  <c r="DG485" i="8"/>
  <c r="DF496" i="8" s="1"/>
  <c r="B495" i="8"/>
  <c r="N495" i="8"/>
  <c r="Z495" i="8"/>
  <c r="AL495" i="8"/>
  <c r="AX495" i="8"/>
  <c r="AX510" i="8" s="1"/>
  <c r="AX525" i="8" s="1"/>
  <c r="BJ495" i="8"/>
  <c r="BV495" i="8"/>
  <c r="CH495" i="8"/>
  <c r="CH510" i="8" s="1"/>
  <c r="CH525" i="8" s="1"/>
  <c r="CH540" i="8" s="1"/>
  <c r="CT495" i="8"/>
  <c r="CT510" i="8" s="1"/>
  <c r="CT525" i="8" s="1"/>
  <c r="DF495" i="8"/>
  <c r="DF510" i="8" s="1"/>
  <c r="B496" i="8"/>
  <c r="B498" i="8"/>
  <c r="B497" i="8"/>
  <c r="Z498" i="8"/>
  <c r="Z497" i="8"/>
  <c r="AL496" i="8"/>
  <c r="AL497" i="8" s="1"/>
  <c r="AL498" i="8"/>
  <c r="CT496" i="8"/>
  <c r="CT498" i="8"/>
  <c r="CT497" i="8"/>
  <c r="DF498" i="8"/>
  <c r="DF497" i="8"/>
  <c r="AA500" i="8"/>
  <c r="Z511" i="8" s="1"/>
  <c r="Z512" i="8" s="1"/>
  <c r="AM500" i="8"/>
  <c r="AM515" i="8" s="1"/>
  <c r="AM530" i="8" s="1"/>
  <c r="DG500" i="8"/>
  <c r="B510" i="8"/>
  <c r="B525" i="8" s="1"/>
  <c r="B540" i="8" s="1"/>
  <c r="N510" i="8"/>
  <c r="Z510" i="8"/>
  <c r="Z525" i="8" s="1"/>
  <c r="Z540" i="8" s="1"/>
  <c r="AL510" i="8"/>
  <c r="AL525" i="8" s="1"/>
  <c r="BJ510" i="8"/>
  <c r="BJ525" i="8" s="1"/>
  <c r="BV510" i="8"/>
  <c r="B513" i="8"/>
  <c r="B512" i="8"/>
  <c r="AL511" i="8"/>
  <c r="AL512" i="8" s="1"/>
  <c r="AL513" i="8"/>
  <c r="C515" i="8"/>
  <c r="CU515" i="8"/>
  <c r="CU530" i="8" s="1"/>
  <c r="CT541" i="8" s="1"/>
  <c r="N525" i="8"/>
  <c r="BV525" i="8"/>
  <c r="DF525" i="8"/>
  <c r="AL526" i="8"/>
  <c r="AL528" i="8"/>
  <c r="AL527" i="8"/>
  <c r="CT526" i="8"/>
  <c r="CT527" i="8" s="1"/>
  <c r="CT528" i="8"/>
  <c r="N540" i="8"/>
  <c r="AL540" i="8"/>
  <c r="AX540" i="8"/>
  <c r="BJ540" i="8"/>
  <c r="BV540" i="8"/>
  <c r="CT540" i="8"/>
  <c r="DF540" i="8"/>
  <c r="AL541" i="8"/>
  <c r="AL543" i="8"/>
  <c r="AL542" i="8"/>
  <c r="B546" i="8"/>
  <c r="N546" i="8"/>
  <c r="Z546" i="8"/>
  <c r="B559" i="8"/>
  <c r="N559" i="8"/>
  <c r="N574" i="8" s="1"/>
  <c r="N589" i="8" s="1"/>
  <c r="N604" i="8" s="1"/>
  <c r="Z559" i="8"/>
  <c r="AL559" i="8"/>
  <c r="AX559" i="8"/>
  <c r="AX574" i="8" s="1"/>
  <c r="BJ559" i="8"/>
  <c r="BJ574" i="8" s="1"/>
  <c r="BV559" i="8"/>
  <c r="BV574" i="8" s="1"/>
  <c r="CH559" i="8"/>
  <c r="CH574" i="8" s="1"/>
  <c r="CH589" i="8" s="1"/>
  <c r="CT559" i="8"/>
  <c r="DF559" i="8"/>
  <c r="B574" i="8"/>
  <c r="B589" i="8" s="1"/>
  <c r="B604" i="8" s="1"/>
  <c r="Z574" i="8"/>
  <c r="AL574" i="8"/>
  <c r="CT574" i="8"/>
  <c r="CT589" i="8" s="1"/>
  <c r="DF574" i="8"/>
  <c r="DF589" i="8" s="1"/>
  <c r="Z589" i="8"/>
  <c r="AL589" i="8"/>
  <c r="AX589" i="8"/>
  <c r="AX604" i="8" s="1"/>
  <c r="BJ589" i="8"/>
  <c r="BV589" i="8"/>
  <c r="BV604" i="8" s="1"/>
  <c r="Z604" i="8"/>
  <c r="AL604" i="8"/>
  <c r="BJ604" i="8"/>
  <c r="CH604" i="8"/>
  <c r="CT604" i="8"/>
  <c r="DF604" i="8"/>
  <c r="C613" i="8"/>
  <c r="O613" i="8"/>
  <c r="AA613" i="8"/>
  <c r="AA628" i="8" s="1"/>
  <c r="AA643" i="8" s="1"/>
  <c r="AM613" i="8"/>
  <c r="AY613" i="8"/>
  <c r="BK613" i="8"/>
  <c r="BW613" i="8"/>
  <c r="CI613" i="8"/>
  <c r="CU613" i="8"/>
  <c r="DG613" i="8"/>
  <c r="DG628" i="8" s="1"/>
  <c r="B623" i="8"/>
  <c r="N623" i="8"/>
  <c r="Z623" i="8"/>
  <c r="AL623" i="8"/>
  <c r="AX623" i="8"/>
  <c r="AX638" i="8" s="1"/>
  <c r="AX653" i="8" s="1"/>
  <c r="AX668" i="8" s="1"/>
  <c r="BJ623" i="8"/>
  <c r="BJ638" i="8" s="1"/>
  <c r="BJ653" i="8" s="1"/>
  <c r="BJ668" i="8" s="1"/>
  <c r="BV623" i="8"/>
  <c r="BV638" i="8" s="1"/>
  <c r="BV653" i="8" s="1"/>
  <c r="BV668" i="8" s="1"/>
  <c r="CH623" i="8"/>
  <c r="CH638" i="8" s="1"/>
  <c r="CH653" i="8" s="1"/>
  <c r="CH668" i="8" s="1"/>
  <c r="CT623" i="8"/>
  <c r="CT638" i="8" s="1"/>
  <c r="CT653" i="8" s="1"/>
  <c r="DF623" i="8"/>
  <c r="DF638" i="8" s="1"/>
  <c r="DF653" i="8" s="1"/>
  <c r="C628" i="8"/>
  <c r="C643" i="8" s="1"/>
  <c r="O628" i="8"/>
  <c r="BK628" i="8"/>
  <c r="CI628" i="8"/>
  <c r="CU628" i="8"/>
  <c r="B638" i="8"/>
  <c r="B653" i="8" s="1"/>
  <c r="B668" i="8" s="1"/>
  <c r="N638" i="8"/>
  <c r="N653" i="8" s="1"/>
  <c r="N668" i="8" s="1"/>
  <c r="Z638" i="8"/>
  <c r="AL638" i="8"/>
  <c r="O643" i="8"/>
  <c r="BK643" i="8"/>
  <c r="CI643" i="8"/>
  <c r="CU643" i="8"/>
  <c r="DG643" i="8"/>
  <c r="Z653" i="8"/>
  <c r="AL653" i="8"/>
  <c r="C658" i="8"/>
  <c r="O658" i="8"/>
  <c r="BK658" i="8"/>
  <c r="DG658" i="8"/>
  <c r="Z668" i="8"/>
  <c r="AL668" i="8"/>
  <c r="CT668" i="8"/>
  <c r="DF668" i="8"/>
  <c r="B687" i="8"/>
  <c r="B702" i="8" s="1"/>
  <c r="N687" i="8"/>
  <c r="N702" i="8" s="1"/>
  <c r="N717" i="8" s="1"/>
  <c r="N732" i="8" s="1"/>
  <c r="Z687" i="8"/>
  <c r="Z702" i="8" s="1"/>
  <c r="Z717" i="8" s="1"/>
  <c r="Z732" i="8" s="1"/>
  <c r="AL687" i="8"/>
  <c r="AX687" i="8"/>
  <c r="BJ687" i="8"/>
  <c r="BV687" i="8"/>
  <c r="BV702" i="8" s="1"/>
  <c r="CH687" i="8"/>
  <c r="CH702" i="8" s="1"/>
  <c r="CT687" i="8"/>
  <c r="DF687" i="8"/>
  <c r="DF702" i="8" s="1"/>
  <c r="AL702" i="8"/>
  <c r="AL717" i="8" s="1"/>
  <c r="AX702" i="8"/>
  <c r="BJ702" i="8"/>
  <c r="CT702" i="8"/>
  <c r="CT717" i="8" s="1"/>
  <c r="CT732" i="8" s="1"/>
  <c r="B717" i="8"/>
  <c r="B732" i="8" s="1"/>
  <c r="AX717" i="8"/>
  <c r="BJ717" i="8"/>
  <c r="BJ732" i="8" s="1"/>
  <c r="BV717" i="8"/>
  <c r="BV732" i="8" s="1"/>
  <c r="CH717" i="8"/>
  <c r="CH732" i="8" s="1"/>
  <c r="DF717" i="8"/>
  <c r="AL732" i="8"/>
  <c r="AX732" i="8"/>
  <c r="DF732" i="8"/>
  <c r="AL738" i="8"/>
  <c r="AX738" i="8"/>
  <c r="BJ738" i="8"/>
  <c r="B751" i="8"/>
  <c r="N751" i="8"/>
  <c r="Z751" i="8"/>
  <c r="AL751" i="8"/>
  <c r="AX751" i="8"/>
  <c r="BJ751" i="8"/>
  <c r="BV751" i="8"/>
  <c r="CH751" i="8"/>
  <c r="CT751" i="8"/>
  <c r="DF751" i="8"/>
  <c r="N496" i="8" l="1"/>
  <c r="O500" i="8"/>
  <c r="CU658" i="8"/>
  <c r="BW628" i="8"/>
  <c r="DF206" i="8"/>
  <c r="DF482" i="8" s="1"/>
  <c r="CT482" i="8"/>
  <c r="B526" i="8"/>
  <c r="C530" i="8"/>
  <c r="B541" i="8" s="1"/>
  <c r="AY628" i="8"/>
  <c r="B738" i="8"/>
  <c r="BJ496" i="8"/>
  <c r="BK500" i="8"/>
  <c r="E10" i="8"/>
  <c r="C43" i="8"/>
  <c r="E41" i="8"/>
  <c r="E43" i="8" s="1"/>
  <c r="CH210" i="8"/>
  <c r="BV738" i="8"/>
  <c r="Z513" i="8"/>
  <c r="N738" i="8"/>
  <c r="BW500" i="8"/>
  <c r="BV496" i="8"/>
  <c r="AM628" i="8"/>
  <c r="BF168" i="8"/>
  <c r="J168" i="8"/>
  <c r="BR168" i="8"/>
  <c r="AT168" i="8"/>
  <c r="AH168" i="8"/>
  <c r="DN168" i="8"/>
  <c r="DB168" i="8"/>
  <c r="V168" i="8"/>
  <c r="CD168" i="8"/>
  <c r="AX207" i="8"/>
  <c r="AL546" i="8"/>
  <c r="CI658" i="8"/>
  <c r="Z738" i="8"/>
  <c r="AA658" i="8"/>
  <c r="AA515" i="8"/>
  <c r="DF511" i="8"/>
  <c r="DG515" i="8"/>
  <c r="N209" i="8"/>
  <c r="B674" i="8"/>
  <c r="Z132" i="8"/>
  <c r="N155" i="8"/>
  <c r="CT542" i="8"/>
  <c r="CT543" i="8"/>
  <c r="B180" i="8"/>
  <c r="B165" i="8"/>
  <c r="B190" i="8" s="1"/>
  <c r="B214" i="8" s="1"/>
  <c r="N214" i="8" s="1"/>
  <c r="Z214" i="8" s="1"/>
  <c r="AL214" i="8" s="1"/>
  <c r="AX214" i="8" s="1"/>
  <c r="BJ214" i="8" s="1"/>
  <c r="BV214" i="8" s="1"/>
  <c r="CH214" i="8" s="1"/>
  <c r="CT214" i="8" s="1"/>
  <c r="DF214" i="8" s="1"/>
  <c r="N205" i="8"/>
  <c r="B418" i="8"/>
  <c r="CI500" i="8"/>
  <c r="CH496" i="8"/>
  <c r="BF169" i="8"/>
  <c r="J169" i="8"/>
  <c r="BR169" i="8"/>
  <c r="V169" i="8"/>
  <c r="AH169" i="8"/>
  <c r="AT169" i="8"/>
  <c r="DN169" i="8"/>
  <c r="DB169" i="8"/>
  <c r="N208" i="8"/>
  <c r="B610" i="8"/>
  <c r="CT513" i="8"/>
  <c r="CT512" i="8"/>
  <c r="H164" i="8"/>
  <c r="BD164" i="8"/>
  <c r="CZ164" i="8"/>
  <c r="T164" i="8"/>
  <c r="BP164" i="8"/>
  <c r="CB164" i="8"/>
  <c r="H49" i="8"/>
  <c r="CN164" i="8"/>
  <c r="DL164" i="8"/>
  <c r="Z136" i="8"/>
  <c r="N159" i="8"/>
  <c r="M49" i="8"/>
  <c r="N204" i="8"/>
  <c r="B354" i="8"/>
  <c r="G14" i="8"/>
  <c r="G18" i="8"/>
  <c r="G29" i="8"/>
  <c r="G12" i="8"/>
  <c r="G33" i="8"/>
  <c r="G15" i="8"/>
  <c r="G16" i="8"/>
  <c r="Q47" i="8"/>
  <c r="G31" i="8"/>
  <c r="G8" i="8"/>
  <c r="G30" i="8"/>
  <c r="G32" i="8"/>
  <c r="G36" i="8"/>
  <c r="G11" i="8"/>
  <c r="G35" i="8"/>
  <c r="G34" i="8"/>
  <c r="G37" i="8"/>
  <c r="R48" i="8"/>
  <c r="G10" i="8"/>
  <c r="G41" i="8"/>
  <c r="G43" i="8" s="1"/>
  <c r="G13" i="8"/>
  <c r="H66" i="8"/>
  <c r="B154" i="8"/>
  <c r="B141" i="8"/>
  <c r="N141" i="8" s="1"/>
  <c r="Z141" i="8" s="1"/>
  <c r="AL141" i="8" s="1"/>
  <c r="AX141" i="8" s="1"/>
  <c r="BJ141" i="8" s="1"/>
  <c r="BV141" i="8" s="1"/>
  <c r="CH141" i="8" s="1"/>
  <c r="CT141" i="8" s="1"/>
  <c r="DF141" i="8" s="1"/>
  <c r="N131" i="8"/>
  <c r="N202" i="8"/>
  <c r="B226" i="8"/>
  <c r="D38" i="8"/>
  <c r="E19" i="8"/>
  <c r="AX203" i="8"/>
  <c r="B148" i="8"/>
  <c r="N148" i="8" s="1"/>
  <c r="Z148" i="8" s="1"/>
  <c r="AL148" i="8" s="1"/>
  <c r="AX148" i="8" s="1"/>
  <c r="BJ148" i="8" s="1"/>
  <c r="BV148" i="8" s="1"/>
  <c r="CH148" i="8" s="1"/>
  <c r="CT148" i="8" s="1"/>
  <c r="DF148" i="8" s="1"/>
  <c r="N138" i="8"/>
  <c r="B161" i="8"/>
  <c r="AX133" i="8"/>
  <c r="N66" i="8"/>
  <c r="N137" i="8"/>
  <c r="B160" i="8"/>
  <c r="B147" i="8"/>
  <c r="N147" i="8" s="1"/>
  <c r="Z147" i="8" s="1"/>
  <c r="AL147" i="8" s="1"/>
  <c r="AX147" i="8" s="1"/>
  <c r="BJ147" i="8" s="1"/>
  <c r="BV147" i="8" s="1"/>
  <c r="CH147" i="8" s="1"/>
  <c r="CT147" i="8" s="1"/>
  <c r="DF147" i="8" s="1"/>
  <c r="F46" i="8"/>
  <c r="M46" i="8"/>
  <c r="N46" i="8"/>
  <c r="O46" i="8"/>
  <c r="L46" i="8"/>
  <c r="I46" i="8"/>
  <c r="J46" i="8"/>
  <c r="K46" i="8"/>
  <c r="G46" i="8"/>
  <c r="H46" i="8"/>
  <c r="AY485" i="8"/>
  <c r="AL181" i="8"/>
  <c r="AL166" i="8"/>
  <c r="AL191" i="8" s="1"/>
  <c r="H168" i="8"/>
  <c r="BD168" i="8"/>
  <c r="CZ168" i="8"/>
  <c r="BP168" i="8"/>
  <c r="AF168" i="8"/>
  <c r="T168" i="8"/>
  <c r="N130" i="8"/>
  <c r="B153" i="8"/>
  <c r="G66" i="8"/>
  <c r="L49" i="8"/>
  <c r="K63" i="8"/>
  <c r="AR167" i="8"/>
  <c r="DL167" i="8"/>
  <c r="BP167" i="8"/>
  <c r="K49" i="8"/>
  <c r="Z157" i="8"/>
  <c r="AL134" i="8"/>
  <c r="N129" i="8"/>
  <c r="B152" i="8"/>
  <c r="J63" i="8"/>
  <c r="C24" i="8"/>
  <c r="H34" i="8"/>
  <c r="H13" i="8"/>
  <c r="H17" i="8"/>
  <c r="H32" i="8"/>
  <c r="H8" i="8"/>
  <c r="H10" i="8"/>
  <c r="V154" i="8" s="1"/>
  <c r="H29" i="8"/>
  <c r="H33" i="8"/>
  <c r="H18" i="8"/>
  <c r="H12" i="8"/>
  <c r="H35" i="8"/>
  <c r="H16" i="8"/>
  <c r="H31" i="8"/>
  <c r="H37" i="8"/>
  <c r="H11" i="8"/>
  <c r="H14" i="8"/>
  <c r="H30" i="8"/>
  <c r="H36" i="8"/>
  <c r="I66" i="8"/>
  <c r="B142" i="8"/>
  <c r="N142" i="8" s="1"/>
  <c r="Z142" i="8" s="1"/>
  <c r="AL142" i="8" s="1"/>
  <c r="AX142" i="8" s="1"/>
  <c r="BJ142" i="8" s="1"/>
  <c r="BV142" i="8" s="1"/>
  <c r="CH142" i="8" s="1"/>
  <c r="CT142" i="8" s="1"/>
  <c r="DF142" i="8" s="1"/>
  <c r="M66" i="8"/>
  <c r="B159" i="8"/>
  <c r="B146" i="8"/>
  <c r="N146" i="8" s="1"/>
  <c r="Z146" i="8" s="1"/>
  <c r="AL146" i="8" s="1"/>
  <c r="AX146" i="8" s="1"/>
  <c r="BJ146" i="8" s="1"/>
  <c r="BV146" i="8" s="1"/>
  <c r="CH146" i="8" s="1"/>
  <c r="CT146" i="8" s="1"/>
  <c r="DF146" i="8" s="1"/>
  <c r="F8" i="8"/>
  <c r="F34" i="8"/>
  <c r="F29" i="8"/>
  <c r="F15" i="8"/>
  <c r="F16" i="8"/>
  <c r="F18" i="8"/>
  <c r="F14" i="8"/>
  <c r="F17" i="8"/>
  <c r="F22" i="8"/>
  <c r="F30" i="8"/>
  <c r="F32" i="8"/>
  <c r="F36" i="8"/>
  <c r="F37" i="8"/>
  <c r="F11" i="8"/>
  <c r="J152" i="8" s="1"/>
  <c r="F31" i="8"/>
  <c r="F13" i="8"/>
  <c r="F12" i="8"/>
  <c r="F10" i="8"/>
  <c r="F41" i="8"/>
  <c r="D20" i="8"/>
  <c r="J7" i="8"/>
  <c r="N7" i="8"/>
  <c r="I7" i="8"/>
  <c r="O7" i="8"/>
  <c r="K7" i="8"/>
  <c r="L7" i="8"/>
  <c r="M7" i="8"/>
  <c r="BR167" i="8"/>
  <c r="DB167" i="8"/>
  <c r="AV9" i="7"/>
  <c r="AV10" i="7"/>
  <c r="AV11" i="7"/>
  <c r="AI55" i="7"/>
  <c r="AV12" i="7"/>
  <c r="AV13" i="7"/>
  <c r="N22" i="7"/>
  <c r="AV14" i="7"/>
  <c r="AV15" i="7"/>
  <c r="AV21" i="7"/>
  <c r="AV24" i="7" s="1"/>
  <c r="AV17" i="7"/>
  <c r="H62" i="8"/>
  <c r="H63" i="8"/>
  <c r="J164" i="8"/>
  <c r="CD164" i="8"/>
  <c r="AT164" i="8"/>
  <c r="DN164" i="8"/>
  <c r="DB164" i="8"/>
  <c r="J154" i="8"/>
  <c r="AF167" i="8"/>
  <c r="CB167" i="8"/>
  <c r="BD167" i="8"/>
  <c r="BR166" i="8"/>
  <c r="J166" i="8"/>
  <c r="CD166" i="8"/>
  <c r="B158" i="8"/>
  <c r="L66" i="8"/>
  <c r="N135" i="8"/>
  <c r="V162" i="8"/>
  <c r="CP162" i="8"/>
  <c r="AH162" i="8"/>
  <c r="AA59" i="7"/>
  <c r="J48" i="8"/>
  <c r="AS12" i="7"/>
  <c r="AS13" i="7"/>
  <c r="AS14" i="7"/>
  <c r="AS15" i="7"/>
  <c r="AS16" i="7"/>
  <c r="AS17" i="7"/>
  <c r="K8" i="7"/>
  <c r="AS10" i="7"/>
  <c r="AF55" i="7"/>
  <c r="AS9" i="7"/>
  <c r="AS21" i="7"/>
  <c r="AS24" i="7" s="1"/>
  <c r="M48" i="8"/>
  <c r="N48" i="8"/>
  <c r="O48" i="8"/>
  <c r="F48" i="8"/>
  <c r="G48" i="8"/>
  <c r="I48" i="8"/>
  <c r="AT171" i="8"/>
  <c r="V163" i="8"/>
  <c r="CP163" i="8"/>
  <c r="AT11" i="7"/>
  <c r="AG55" i="7"/>
  <c r="AT12" i="7"/>
  <c r="AT13" i="7"/>
  <c r="L22" i="7"/>
  <c r="AT14" i="7"/>
  <c r="AT15" i="7"/>
  <c r="AT16" i="7"/>
  <c r="AT17" i="7"/>
  <c r="AT9" i="7"/>
  <c r="G47" i="8"/>
  <c r="O47" i="8"/>
  <c r="D39" i="8"/>
  <c r="N51" i="8"/>
  <c r="I51" i="8"/>
  <c r="AT21" i="7"/>
  <c r="AT24" i="7" s="1"/>
  <c r="E35" i="8"/>
  <c r="E11" i="8"/>
  <c r="AI59" i="7"/>
  <c r="AR13" i="7"/>
  <c r="J22" i="7"/>
  <c r="AR14" i="7"/>
  <c r="AR15" i="7"/>
  <c r="AR16" i="7"/>
  <c r="AR17" i="7"/>
  <c r="J8" i="7"/>
  <c r="AR11" i="7"/>
  <c r="AE55" i="7"/>
  <c r="E12" i="8"/>
  <c r="C33" i="8"/>
  <c r="E33" i="8" s="1"/>
  <c r="C14" i="8"/>
  <c r="E14" i="8" s="1"/>
  <c r="C18" i="8"/>
  <c r="E18" i="8" s="1"/>
  <c r="C31" i="8"/>
  <c r="E31" i="8" s="1"/>
  <c r="C17" i="8"/>
  <c r="E17" i="8" s="1"/>
  <c r="C29" i="8"/>
  <c r="AR9" i="7"/>
  <c r="AR19" i="7" s="1"/>
  <c r="AR27" i="7" s="1"/>
  <c r="AR28" i="7" s="1"/>
  <c r="C37" i="8"/>
  <c r="E37" i="8" s="1"/>
  <c r="C34" i="8"/>
  <c r="E34" i="8" s="1"/>
  <c r="C30" i="8"/>
  <c r="E30" i="8" s="1"/>
  <c r="O19" i="8"/>
  <c r="M19" i="8"/>
  <c r="C13" i="8"/>
  <c r="E13" i="8" s="1"/>
  <c r="AE59" i="7"/>
  <c r="AW21" i="7"/>
  <c r="AW24" i="7" s="1"/>
  <c r="AW9" i="7"/>
  <c r="AW10" i="7"/>
  <c r="AW11" i="7"/>
  <c r="AJ55" i="7"/>
  <c r="AW12" i="7"/>
  <c r="AW13" i="7"/>
  <c r="O22" i="7"/>
  <c r="AW14" i="7"/>
  <c r="O8" i="7"/>
  <c r="AA61" i="7"/>
  <c r="AB61" i="7"/>
  <c r="AC61" i="7"/>
  <c r="AD61" i="7"/>
  <c r="AE61" i="7"/>
  <c r="AF61" i="7"/>
  <c r="AG61" i="7"/>
  <c r="AG58" i="7"/>
  <c r="AG59" i="7" s="1"/>
  <c r="AF57" i="7"/>
  <c r="AF59" i="7" s="1"/>
  <c r="AE56" i="7"/>
  <c r="AV18" i="7"/>
  <c r="M7" i="7"/>
  <c r="N6" i="7"/>
  <c r="AC58" i="7"/>
  <c r="AC59" i="7" s="1"/>
  <c r="AB57" i="7"/>
  <c r="AB59" i="7" s="1"/>
  <c r="AA56" i="7"/>
  <c r="AR18" i="7"/>
  <c r="I7" i="7"/>
  <c r="J6" i="7"/>
  <c r="AQ18" i="7"/>
  <c r="H7" i="7"/>
  <c r="I6" i="7"/>
  <c r="AP18" i="7"/>
  <c r="G7" i="7"/>
  <c r="H6" i="7"/>
  <c r="AJ56" i="7"/>
  <c r="AO18" i="7"/>
  <c r="W18" i="7" s="1"/>
  <c r="X18" i="7" s="1"/>
  <c r="F7" i="7"/>
  <c r="G6" i="7"/>
  <c r="AJ57" i="7"/>
  <c r="AJ59" i="7" s="1"/>
  <c r="AI56" i="7"/>
  <c r="T13" i="8" l="1"/>
  <c r="AG62" i="7"/>
  <c r="B168" i="8"/>
  <c r="B193" i="8" s="1"/>
  <c r="B217" i="8" s="1"/>
  <c r="N217" i="8" s="1"/>
  <c r="Z217" i="8" s="1"/>
  <c r="AL217" i="8" s="1"/>
  <c r="AX217" i="8" s="1"/>
  <c r="BJ217" i="8" s="1"/>
  <c r="BV217" i="8" s="1"/>
  <c r="CH217" i="8" s="1"/>
  <c r="CT217" i="8" s="1"/>
  <c r="DF217" i="8" s="1"/>
  <c r="B183" i="8"/>
  <c r="H39" i="8"/>
  <c r="AY231" i="8"/>
  <c r="AY246" i="8" s="1"/>
  <c r="AY261" i="8" s="1"/>
  <c r="AY276" i="8" s="1"/>
  <c r="CU231" i="8"/>
  <c r="CU246" i="8" s="1"/>
  <c r="CU261" i="8" s="1"/>
  <c r="CU276" i="8" s="1"/>
  <c r="O231" i="8"/>
  <c r="O246" i="8" s="1"/>
  <c r="O261" i="8" s="1"/>
  <c r="O276" i="8" s="1"/>
  <c r="CI231" i="8"/>
  <c r="CI246" i="8" s="1"/>
  <c r="CI261" i="8" s="1"/>
  <c r="CI276" i="8" s="1"/>
  <c r="DG231" i="8"/>
  <c r="DG246" i="8" s="1"/>
  <c r="DG261" i="8" s="1"/>
  <c r="DG276" i="8" s="1"/>
  <c r="C231" i="8"/>
  <c r="C246" i="8" s="1"/>
  <c r="C261" i="8" s="1"/>
  <c r="C276" i="8" s="1"/>
  <c r="BK231" i="8"/>
  <c r="BK246" i="8" s="1"/>
  <c r="BK261" i="8" s="1"/>
  <c r="BK276" i="8" s="1"/>
  <c r="BW231" i="8"/>
  <c r="BW246" i="8" s="1"/>
  <c r="BW261" i="8" s="1"/>
  <c r="BW276" i="8" s="1"/>
  <c r="AM231" i="8"/>
  <c r="AM246" i="8" s="1"/>
  <c r="AM261" i="8" s="1"/>
  <c r="AM276" i="8" s="1"/>
  <c r="BP154" i="8"/>
  <c r="AA231" i="8"/>
  <c r="AA246" i="8" s="1"/>
  <c r="AA261" i="8" s="1"/>
  <c r="AA276" i="8" s="1"/>
  <c r="B164" i="8"/>
  <c r="B189" i="8" s="1"/>
  <c r="B213" i="8" s="1"/>
  <c r="N213" i="8" s="1"/>
  <c r="Z213" i="8" s="1"/>
  <c r="AL213" i="8" s="1"/>
  <c r="AX213" i="8" s="1"/>
  <c r="BJ213" i="8" s="1"/>
  <c r="BV213" i="8" s="1"/>
  <c r="CH213" i="8" s="1"/>
  <c r="CT213" i="8" s="1"/>
  <c r="DF213" i="8" s="1"/>
  <c r="B179" i="8"/>
  <c r="DL154" i="8"/>
  <c r="CD152" i="8"/>
  <c r="AX134" i="8"/>
  <c r="AL157" i="8"/>
  <c r="AV19" i="7"/>
  <c r="AV27" i="7" s="1"/>
  <c r="AF154" i="8"/>
  <c r="L30" i="8"/>
  <c r="L8" i="8"/>
  <c r="L41" i="8"/>
  <c r="L43" i="8" s="1"/>
  <c r="L32" i="8"/>
  <c r="L36" i="8"/>
  <c r="L13" i="8"/>
  <c r="L17" i="8"/>
  <c r="L34" i="8"/>
  <c r="L45" i="8"/>
  <c r="L12" i="8"/>
  <c r="L35" i="8"/>
  <c r="L37" i="8"/>
  <c r="L14" i="8"/>
  <c r="L31" i="8"/>
  <c r="L16" i="8"/>
  <c r="L15" i="8"/>
  <c r="L10" i="8"/>
  <c r="L18" i="8"/>
  <c r="L29" i="8"/>
  <c r="L11" i="8"/>
  <c r="L22" i="8"/>
  <c r="L24" i="8" s="1"/>
  <c r="L33" i="8"/>
  <c r="BK423" i="8"/>
  <c r="BK438" i="8" s="1"/>
  <c r="BK453" i="8" s="1"/>
  <c r="BK468" i="8" s="1"/>
  <c r="AM423" i="8"/>
  <c r="AM438" i="8" s="1"/>
  <c r="AM453" i="8" s="1"/>
  <c r="AM468" i="8" s="1"/>
  <c r="AY423" i="8"/>
  <c r="AY438" i="8" s="1"/>
  <c r="AY453" i="8" s="1"/>
  <c r="AY468" i="8" s="1"/>
  <c r="CU423" i="8"/>
  <c r="CU438" i="8" s="1"/>
  <c r="CU453" i="8" s="1"/>
  <c r="CU468" i="8" s="1"/>
  <c r="C423" i="8"/>
  <c r="C438" i="8" s="1"/>
  <c r="C453" i="8" s="1"/>
  <c r="C468" i="8" s="1"/>
  <c r="DG423" i="8"/>
  <c r="DG438" i="8" s="1"/>
  <c r="DG453" i="8" s="1"/>
  <c r="DG468" i="8" s="1"/>
  <c r="O423" i="8"/>
  <c r="O438" i="8" s="1"/>
  <c r="O453" i="8" s="1"/>
  <c r="O468" i="8" s="1"/>
  <c r="BW423" i="8"/>
  <c r="BW438" i="8" s="1"/>
  <c r="BW453" i="8" s="1"/>
  <c r="BW468" i="8" s="1"/>
  <c r="AA423" i="8"/>
  <c r="AA438" i="8" s="1"/>
  <c r="AA453" i="8" s="1"/>
  <c r="AA468" i="8" s="1"/>
  <c r="CI423" i="8"/>
  <c r="CI438" i="8" s="1"/>
  <c r="CI453" i="8" s="1"/>
  <c r="CI468" i="8" s="1"/>
  <c r="AF153" i="8"/>
  <c r="CB153" i="8"/>
  <c r="AF163" i="8"/>
  <c r="CB163" i="8"/>
  <c r="T163" i="8"/>
  <c r="T153" i="8"/>
  <c r="DL163" i="8"/>
  <c r="BD163" i="8"/>
  <c r="CN153" i="8"/>
  <c r="BP163" i="8"/>
  <c r="H153" i="8"/>
  <c r="CZ163" i="8"/>
  <c r="DL153" i="8"/>
  <c r="CZ153" i="8"/>
  <c r="BD153" i="8"/>
  <c r="BP153" i="8"/>
  <c r="CN163" i="8"/>
  <c r="AR153" i="8"/>
  <c r="AR163" i="8"/>
  <c r="H163" i="8"/>
  <c r="K22" i="8"/>
  <c r="K24" i="8" s="1"/>
  <c r="K12" i="8"/>
  <c r="K16" i="8"/>
  <c r="K35" i="8"/>
  <c r="K36" i="8"/>
  <c r="K32" i="8"/>
  <c r="K10" i="8"/>
  <c r="K17" i="8"/>
  <c r="K34" i="8"/>
  <c r="K41" i="8"/>
  <c r="K43" i="8" s="1"/>
  <c r="K45" i="8"/>
  <c r="K33" i="8"/>
  <c r="K29" i="8"/>
  <c r="T29" i="8" s="1"/>
  <c r="K31" i="8"/>
  <c r="K14" i="8"/>
  <c r="K18" i="8"/>
  <c r="K13" i="8"/>
  <c r="K30" i="8"/>
  <c r="K8" i="8"/>
  <c r="K37" i="8"/>
  <c r="K11" i="8"/>
  <c r="K15" i="8"/>
  <c r="AA293" i="8"/>
  <c r="CU293" i="8"/>
  <c r="BW293" i="8"/>
  <c r="C293" i="8"/>
  <c r="CI293" i="8"/>
  <c r="AY293" i="8"/>
  <c r="BK293" i="8"/>
  <c r="O293" i="8"/>
  <c r="AM293" i="8"/>
  <c r="DG293" i="8"/>
  <c r="BK549" i="8"/>
  <c r="BW549" i="8"/>
  <c r="C549" i="8"/>
  <c r="CI549" i="8"/>
  <c r="CU549" i="8"/>
  <c r="AM549" i="8"/>
  <c r="AY549" i="8"/>
  <c r="DG549" i="8"/>
  <c r="O549" i="8"/>
  <c r="AA549" i="8"/>
  <c r="BJ203" i="8"/>
  <c r="AX290" i="8"/>
  <c r="BR153" i="8"/>
  <c r="BF153" i="8"/>
  <c r="AH153" i="8"/>
  <c r="CP153" i="8"/>
  <c r="DN153" i="8"/>
  <c r="G20" i="8"/>
  <c r="G26" i="8" s="1"/>
  <c r="V153" i="8"/>
  <c r="AT153" i="8"/>
  <c r="DB153" i="8"/>
  <c r="N184" i="8"/>
  <c r="N169" i="8"/>
  <c r="N194" i="8" s="1"/>
  <c r="T154" i="8"/>
  <c r="DF513" i="8"/>
  <c r="DF512" i="8"/>
  <c r="C20" i="8"/>
  <c r="C26" i="8" s="1"/>
  <c r="BF154" i="8"/>
  <c r="G62" i="8"/>
  <c r="G63" i="8"/>
  <c r="G49" i="8"/>
  <c r="AF171" i="8"/>
  <c r="CB171" i="8"/>
  <c r="CZ171" i="8"/>
  <c r="AR171" i="8"/>
  <c r="CP154" i="8"/>
  <c r="I22" i="8"/>
  <c r="I24" i="8" s="1"/>
  <c r="I31" i="8"/>
  <c r="P31" i="8" s="1"/>
  <c r="I41" i="8"/>
  <c r="I43" i="8" s="1"/>
  <c r="I8" i="8"/>
  <c r="I10" i="8"/>
  <c r="I29" i="8"/>
  <c r="I33" i="8"/>
  <c r="I12" i="8"/>
  <c r="I30" i="8"/>
  <c r="I11" i="8"/>
  <c r="I18" i="8"/>
  <c r="I32" i="8"/>
  <c r="I13" i="8"/>
  <c r="I37" i="8"/>
  <c r="I14" i="8"/>
  <c r="BJ511" i="8"/>
  <c r="BK515" i="8"/>
  <c r="AU10" i="7"/>
  <c r="AU11" i="7"/>
  <c r="AU12" i="7"/>
  <c r="AU13" i="7"/>
  <c r="M22" i="7"/>
  <c r="AU14" i="7"/>
  <c r="AU15" i="7"/>
  <c r="AU16" i="7"/>
  <c r="AU21" i="7"/>
  <c r="AU24" i="7" s="1"/>
  <c r="AU17" i="7"/>
  <c r="AH55" i="7"/>
  <c r="M8" i="7"/>
  <c r="AU9" i="7"/>
  <c r="M38" i="8"/>
  <c r="CD169" i="8"/>
  <c r="H170" i="8"/>
  <c r="BD170" i="8"/>
  <c r="CZ170" i="8"/>
  <c r="AF170" i="8"/>
  <c r="CB170" i="8"/>
  <c r="T170" i="8"/>
  <c r="N49" i="8"/>
  <c r="AR170" i="8"/>
  <c r="BP170" i="8"/>
  <c r="CN170" i="8"/>
  <c r="DL170" i="8"/>
  <c r="H166" i="8"/>
  <c r="BD166" i="8"/>
  <c r="CZ166" i="8"/>
  <c r="CN166" i="8"/>
  <c r="AF166" i="8"/>
  <c r="T166" i="8"/>
  <c r="DL166" i="8"/>
  <c r="AR166" i="8"/>
  <c r="J49" i="8"/>
  <c r="CB166" i="8"/>
  <c r="BP166" i="8"/>
  <c r="N10" i="8"/>
  <c r="V160" i="8" s="1"/>
  <c r="N11" i="8"/>
  <c r="DN160" i="8" s="1"/>
  <c r="N15" i="8"/>
  <c r="N22" i="8"/>
  <c r="N24" i="8" s="1"/>
  <c r="N30" i="8"/>
  <c r="N33" i="8"/>
  <c r="N31" i="8"/>
  <c r="N41" i="8"/>
  <c r="N43" i="8" s="1"/>
  <c r="N14" i="8"/>
  <c r="N18" i="8"/>
  <c r="N17" i="8"/>
  <c r="N32" i="8"/>
  <c r="N34" i="8"/>
  <c r="N45" i="8"/>
  <c r="N37" i="8"/>
  <c r="N8" i="8"/>
  <c r="N12" i="8"/>
  <c r="CP160" i="8" s="1"/>
  <c r="N36" i="8"/>
  <c r="N13" i="8"/>
  <c r="N29" i="8"/>
  <c r="N35" i="8"/>
  <c r="N16" i="8"/>
  <c r="N63" i="8"/>
  <c r="B184" i="8"/>
  <c r="B169" i="8"/>
  <c r="B194" i="8" s="1"/>
  <c r="B218" i="8" s="1"/>
  <c r="N218" i="8" s="1"/>
  <c r="Z218" i="8" s="1"/>
  <c r="AL218" i="8" s="1"/>
  <c r="AX218" i="8" s="1"/>
  <c r="BJ218" i="8" s="1"/>
  <c r="BV218" i="8" s="1"/>
  <c r="CH218" i="8" s="1"/>
  <c r="CT218" i="8" s="1"/>
  <c r="DF218" i="8" s="1"/>
  <c r="O38" i="8"/>
  <c r="T171" i="8" s="1"/>
  <c r="BF171" i="8"/>
  <c r="CP171" i="8"/>
  <c r="AH171" i="8"/>
  <c r="J171" i="8"/>
  <c r="BR171" i="8"/>
  <c r="DB171" i="8"/>
  <c r="J153" i="8"/>
  <c r="H169" i="8"/>
  <c r="DL169" i="8"/>
  <c r="BP169" i="8"/>
  <c r="BD169" i="8"/>
  <c r="J13" i="8"/>
  <c r="J17" i="8"/>
  <c r="J32" i="8"/>
  <c r="J10" i="8"/>
  <c r="J11" i="8"/>
  <c r="J30" i="8"/>
  <c r="AF156" i="8" s="1"/>
  <c r="J34" i="8"/>
  <c r="J36" i="8"/>
  <c r="J8" i="8"/>
  <c r="J33" i="8"/>
  <c r="J16" i="8"/>
  <c r="J31" i="8"/>
  <c r="J35" i="8"/>
  <c r="J14" i="8"/>
  <c r="J29" i="8"/>
  <c r="J37" i="8"/>
  <c r="J41" i="8"/>
  <c r="J43" i="8" s="1"/>
  <c r="J18" i="8"/>
  <c r="J12" i="8"/>
  <c r="T12" i="8" s="1"/>
  <c r="J15" i="8"/>
  <c r="J22" i="8"/>
  <c r="J24" i="8" s="1"/>
  <c r="J45" i="8"/>
  <c r="AM615" i="8"/>
  <c r="AM630" i="8" s="1"/>
  <c r="AM645" i="8" s="1"/>
  <c r="AM660" i="8" s="1"/>
  <c r="DG615" i="8"/>
  <c r="DG630" i="8" s="1"/>
  <c r="DG645" i="8" s="1"/>
  <c r="DG660" i="8" s="1"/>
  <c r="AA615" i="8"/>
  <c r="AA630" i="8" s="1"/>
  <c r="AA645" i="8" s="1"/>
  <c r="AA660" i="8" s="1"/>
  <c r="O615" i="8"/>
  <c r="O630" i="8" s="1"/>
  <c r="O645" i="8" s="1"/>
  <c r="O660" i="8" s="1"/>
  <c r="AY615" i="8"/>
  <c r="AY630" i="8" s="1"/>
  <c r="AY645" i="8" s="1"/>
  <c r="AY660" i="8" s="1"/>
  <c r="CI615" i="8"/>
  <c r="CI630" i="8" s="1"/>
  <c r="CI645" i="8" s="1"/>
  <c r="CI660" i="8" s="1"/>
  <c r="CU615" i="8"/>
  <c r="CU630" i="8" s="1"/>
  <c r="CU645" i="8" s="1"/>
  <c r="CU660" i="8" s="1"/>
  <c r="C615" i="8"/>
  <c r="C630" i="8" s="1"/>
  <c r="C645" i="8" s="1"/>
  <c r="C660" i="8" s="1"/>
  <c r="BK615" i="8"/>
  <c r="BK630" i="8" s="1"/>
  <c r="BK645" i="8" s="1"/>
  <c r="BK660" i="8" s="1"/>
  <c r="BW615" i="8"/>
  <c r="BW630" i="8" s="1"/>
  <c r="BW645" i="8" s="1"/>
  <c r="BW660" i="8" s="1"/>
  <c r="L63" i="8"/>
  <c r="B170" i="8"/>
  <c r="B195" i="8" s="1"/>
  <c r="B219" i="8" s="1"/>
  <c r="N219" i="8" s="1"/>
  <c r="Z219" i="8" s="1"/>
  <c r="AL219" i="8" s="1"/>
  <c r="AX219" i="8" s="1"/>
  <c r="BJ219" i="8" s="1"/>
  <c r="BV219" i="8" s="1"/>
  <c r="CH219" i="8" s="1"/>
  <c r="CT219" i="8" s="1"/>
  <c r="DF219" i="8" s="1"/>
  <c r="B185" i="8"/>
  <c r="O614" i="8"/>
  <c r="CI614" i="8"/>
  <c r="BK614" i="8"/>
  <c r="AY614" i="8"/>
  <c r="CU614" i="8"/>
  <c r="DG614" i="8"/>
  <c r="AA614" i="8"/>
  <c r="C614" i="8"/>
  <c r="AM614" i="8"/>
  <c r="BW614" i="8"/>
  <c r="G39" i="8"/>
  <c r="AA230" i="8"/>
  <c r="AA245" i="8" s="1"/>
  <c r="AA260" i="8" s="1"/>
  <c r="AA275" i="8" s="1"/>
  <c r="CU230" i="8"/>
  <c r="CU245" i="8" s="1"/>
  <c r="CU260" i="8" s="1"/>
  <c r="CU275" i="8" s="1"/>
  <c r="AM230" i="8"/>
  <c r="AM245" i="8" s="1"/>
  <c r="AM260" i="8" s="1"/>
  <c r="AM275" i="8" s="1"/>
  <c r="BK230" i="8"/>
  <c r="BK245" i="8" s="1"/>
  <c r="BK260" i="8" s="1"/>
  <c r="BK275" i="8" s="1"/>
  <c r="CI230" i="8"/>
  <c r="CI245" i="8" s="1"/>
  <c r="CI260" i="8" s="1"/>
  <c r="CI275" i="8" s="1"/>
  <c r="DG230" i="8"/>
  <c r="DG245" i="8" s="1"/>
  <c r="DG260" i="8" s="1"/>
  <c r="DG275" i="8" s="1"/>
  <c r="O230" i="8"/>
  <c r="O245" i="8" s="1"/>
  <c r="O260" i="8" s="1"/>
  <c r="O275" i="8" s="1"/>
  <c r="AY230" i="8"/>
  <c r="AY245" i="8" s="1"/>
  <c r="AY260" i="8" s="1"/>
  <c r="AY275" i="8" s="1"/>
  <c r="C230" i="8"/>
  <c r="C245" i="8" s="1"/>
  <c r="C260" i="8" s="1"/>
  <c r="C275" i="8" s="1"/>
  <c r="BW230" i="8"/>
  <c r="BW245" i="8" s="1"/>
  <c r="BW260" i="8" s="1"/>
  <c r="BW275" i="8" s="1"/>
  <c r="CH498" i="8"/>
  <c r="CH497" i="8"/>
  <c r="B178" i="8"/>
  <c r="B163" i="8"/>
  <c r="B188" i="8" s="1"/>
  <c r="B212" i="8" s="1"/>
  <c r="N212" i="8" s="1"/>
  <c r="Z212" i="8" s="1"/>
  <c r="AL212" i="8" s="1"/>
  <c r="AX212" i="8" s="1"/>
  <c r="BJ212" i="8" s="1"/>
  <c r="BV212" i="8" s="1"/>
  <c r="CH212" i="8" s="1"/>
  <c r="CT212" i="8" s="1"/>
  <c r="DF212" i="8" s="1"/>
  <c r="AY294" i="8"/>
  <c r="AY309" i="8" s="1"/>
  <c r="AY324" i="8" s="1"/>
  <c r="AY339" i="8" s="1"/>
  <c r="DG294" i="8"/>
  <c r="DG309" i="8" s="1"/>
  <c r="DG324" i="8" s="1"/>
  <c r="DG339" i="8" s="1"/>
  <c r="AM294" i="8"/>
  <c r="AM309" i="8" s="1"/>
  <c r="AM324" i="8" s="1"/>
  <c r="AM339" i="8" s="1"/>
  <c r="BK294" i="8"/>
  <c r="BK309" i="8" s="1"/>
  <c r="BK324" i="8" s="1"/>
  <c r="BK339" i="8" s="1"/>
  <c r="BW294" i="8"/>
  <c r="BW309" i="8" s="1"/>
  <c r="BW324" i="8" s="1"/>
  <c r="BW339" i="8" s="1"/>
  <c r="AA294" i="8"/>
  <c r="AA309" i="8" s="1"/>
  <c r="AA324" i="8" s="1"/>
  <c r="AA339" i="8" s="1"/>
  <c r="CI294" i="8"/>
  <c r="CI309" i="8" s="1"/>
  <c r="CI324" i="8" s="1"/>
  <c r="CI339" i="8" s="1"/>
  <c r="C294" i="8"/>
  <c r="C309" i="8" s="1"/>
  <c r="C324" i="8" s="1"/>
  <c r="C339" i="8" s="1"/>
  <c r="CU294" i="8"/>
  <c r="CU309" i="8" s="1"/>
  <c r="CU324" i="8" s="1"/>
  <c r="CU339" i="8" s="1"/>
  <c r="O294" i="8"/>
  <c r="O309" i="8" s="1"/>
  <c r="O324" i="8" s="1"/>
  <c r="O339" i="8" s="1"/>
  <c r="Z204" i="8"/>
  <c r="N354" i="8"/>
  <c r="Z208" i="8"/>
  <c r="N610" i="8"/>
  <c r="Z205" i="8"/>
  <c r="N418" i="8"/>
  <c r="Z209" i="8"/>
  <c r="N674" i="8"/>
  <c r="AQ17" i="7"/>
  <c r="I8" i="7"/>
  <c r="AQ21" i="7"/>
  <c r="AQ24" i="7" s="1"/>
  <c r="AQ12" i="7"/>
  <c r="AQ13" i="7"/>
  <c r="AQ9" i="7"/>
  <c r="AQ10" i="7"/>
  <c r="AQ11" i="7"/>
  <c r="BK741" i="8"/>
  <c r="O741" i="8"/>
  <c r="CU741" i="8"/>
  <c r="AA741" i="8"/>
  <c r="DG741" i="8"/>
  <c r="CI741" i="8"/>
  <c r="AY741" i="8"/>
  <c r="BW741" i="8"/>
  <c r="C741" i="8"/>
  <c r="AM741" i="8"/>
  <c r="T37" i="8"/>
  <c r="F39" i="8"/>
  <c r="C229" i="8"/>
  <c r="BW229" i="8"/>
  <c r="AY229" i="8"/>
  <c r="BK229" i="8"/>
  <c r="CI229" i="8"/>
  <c r="CU229" i="8"/>
  <c r="AM229" i="8"/>
  <c r="O229" i="8"/>
  <c r="AA229" i="8"/>
  <c r="DG229" i="8"/>
  <c r="AY679" i="8"/>
  <c r="AY694" i="8" s="1"/>
  <c r="AY709" i="8" s="1"/>
  <c r="AY724" i="8" s="1"/>
  <c r="AM679" i="8"/>
  <c r="AM694" i="8" s="1"/>
  <c r="AM709" i="8" s="1"/>
  <c r="AM724" i="8" s="1"/>
  <c r="BK679" i="8"/>
  <c r="BK694" i="8" s="1"/>
  <c r="BK709" i="8" s="1"/>
  <c r="BK724" i="8" s="1"/>
  <c r="DG679" i="8"/>
  <c r="DG694" i="8" s="1"/>
  <c r="DG709" i="8" s="1"/>
  <c r="DG724" i="8" s="1"/>
  <c r="O679" i="8"/>
  <c r="O694" i="8" s="1"/>
  <c r="O709" i="8" s="1"/>
  <c r="O724" i="8" s="1"/>
  <c r="AA679" i="8"/>
  <c r="AA694" i="8" s="1"/>
  <c r="AA709" i="8" s="1"/>
  <c r="AA724" i="8" s="1"/>
  <c r="BW679" i="8"/>
  <c r="BW694" i="8" s="1"/>
  <c r="BW709" i="8" s="1"/>
  <c r="BW724" i="8" s="1"/>
  <c r="CI679" i="8"/>
  <c r="CI694" i="8" s="1"/>
  <c r="CI709" i="8" s="1"/>
  <c r="CI724" i="8" s="1"/>
  <c r="C679" i="8"/>
  <c r="C694" i="8" s="1"/>
  <c r="C709" i="8" s="1"/>
  <c r="C724" i="8" s="1"/>
  <c r="CU679" i="8"/>
  <c r="CU694" i="8" s="1"/>
  <c r="CU709" i="8" s="1"/>
  <c r="CU724" i="8" s="1"/>
  <c r="DN154" i="8"/>
  <c r="DB154" i="8"/>
  <c r="H20" i="8"/>
  <c r="H26" i="8" s="1"/>
  <c r="CD154" i="8"/>
  <c r="AT154" i="8"/>
  <c r="N153" i="8"/>
  <c r="Z130" i="8"/>
  <c r="B186" i="8"/>
  <c r="B171" i="8"/>
  <c r="B196" i="8" s="1"/>
  <c r="B220" i="8" s="1"/>
  <c r="N220" i="8" s="1"/>
  <c r="Z220" i="8" s="1"/>
  <c r="AL220" i="8" s="1"/>
  <c r="AX220" i="8" s="1"/>
  <c r="BJ220" i="8" s="1"/>
  <c r="BV220" i="8" s="1"/>
  <c r="CH220" i="8" s="1"/>
  <c r="CT220" i="8" s="1"/>
  <c r="DF220" i="8" s="1"/>
  <c r="B543" i="8"/>
  <c r="B542" i="8"/>
  <c r="AE62" i="7"/>
  <c r="E29" i="8"/>
  <c r="E39" i="8" s="1"/>
  <c r="C39" i="8"/>
  <c r="J165" i="8"/>
  <c r="CD165" i="8"/>
  <c r="BF165" i="8"/>
  <c r="DN165" i="8"/>
  <c r="AT165" i="8"/>
  <c r="DB165" i="8"/>
  <c r="V165" i="8"/>
  <c r="AH165" i="8"/>
  <c r="BR165" i="8"/>
  <c r="CP165" i="8"/>
  <c r="AH154" i="8"/>
  <c r="M12" i="8"/>
  <c r="M16" i="8"/>
  <c r="M33" i="8"/>
  <c r="M11" i="8"/>
  <c r="M41" i="8"/>
  <c r="M43" i="8" s="1"/>
  <c r="M32" i="8"/>
  <c r="M10" i="8"/>
  <c r="M13" i="8"/>
  <c r="M8" i="8"/>
  <c r="M36" i="8"/>
  <c r="M22" i="8"/>
  <c r="M24" i="8" s="1"/>
  <c r="M37" i="8"/>
  <c r="M14" i="8"/>
  <c r="M35" i="8"/>
  <c r="M30" i="8"/>
  <c r="M34" i="8"/>
  <c r="M15" i="8"/>
  <c r="M17" i="8"/>
  <c r="M29" i="8"/>
  <c r="M45" i="8"/>
  <c r="M18" i="8"/>
  <c r="M31" i="8"/>
  <c r="C677" i="8"/>
  <c r="BW677" i="8"/>
  <c r="AA677" i="8"/>
  <c r="DG677" i="8"/>
  <c r="AM677" i="8"/>
  <c r="O677" i="8"/>
  <c r="AY677" i="8"/>
  <c r="CI677" i="8"/>
  <c r="CU677" i="8"/>
  <c r="BK677" i="8"/>
  <c r="C295" i="8"/>
  <c r="C310" i="8" s="1"/>
  <c r="C325" i="8" s="1"/>
  <c r="C340" i="8" s="1"/>
  <c r="BW295" i="8"/>
  <c r="BW310" i="8" s="1"/>
  <c r="BW325" i="8" s="1"/>
  <c r="BW340" i="8" s="1"/>
  <c r="O295" i="8"/>
  <c r="O310" i="8" s="1"/>
  <c r="O325" i="8" s="1"/>
  <c r="O340" i="8" s="1"/>
  <c r="CU295" i="8"/>
  <c r="CU310" i="8" s="1"/>
  <c r="CU325" i="8" s="1"/>
  <c r="CU340" i="8" s="1"/>
  <c r="AY295" i="8"/>
  <c r="AY310" i="8" s="1"/>
  <c r="AY325" i="8" s="1"/>
  <c r="AY340" i="8" s="1"/>
  <c r="CI295" i="8"/>
  <c r="CI310" i="8" s="1"/>
  <c r="CI325" i="8" s="1"/>
  <c r="CI340" i="8" s="1"/>
  <c r="BK295" i="8"/>
  <c r="BK310" i="8" s="1"/>
  <c r="BK325" i="8" s="1"/>
  <c r="BK340" i="8" s="1"/>
  <c r="DG295" i="8"/>
  <c r="DG310" i="8" s="1"/>
  <c r="DG325" i="8" s="1"/>
  <c r="DG340" i="8" s="1"/>
  <c r="AA295" i="8"/>
  <c r="AA310" i="8" s="1"/>
  <c r="AA325" i="8" s="1"/>
  <c r="AA340" i="8" s="1"/>
  <c r="AM295" i="8"/>
  <c r="AM310" i="8" s="1"/>
  <c r="AM325" i="8" s="1"/>
  <c r="AM340" i="8" s="1"/>
  <c r="Z167" i="8"/>
  <c r="Z192" i="8" s="1"/>
  <c r="Z182" i="8"/>
  <c r="Z138" i="8"/>
  <c r="N161" i="8"/>
  <c r="BK358" i="8"/>
  <c r="BK373" i="8" s="1"/>
  <c r="BK388" i="8" s="1"/>
  <c r="BK403" i="8" s="1"/>
  <c r="C358" i="8"/>
  <c r="C373" i="8" s="1"/>
  <c r="C388" i="8" s="1"/>
  <c r="C403" i="8" s="1"/>
  <c r="CU358" i="8"/>
  <c r="CU373" i="8" s="1"/>
  <c r="CU388" i="8" s="1"/>
  <c r="CU403" i="8" s="1"/>
  <c r="O358" i="8"/>
  <c r="O373" i="8" s="1"/>
  <c r="O388" i="8" s="1"/>
  <c r="O403" i="8" s="1"/>
  <c r="AA358" i="8"/>
  <c r="AA373" i="8" s="1"/>
  <c r="AA388" i="8" s="1"/>
  <c r="AA403" i="8" s="1"/>
  <c r="DG358" i="8"/>
  <c r="DG373" i="8" s="1"/>
  <c r="DG388" i="8" s="1"/>
  <c r="DG403" i="8" s="1"/>
  <c r="AM358" i="8"/>
  <c r="AM373" i="8" s="1"/>
  <c r="AM388" i="8" s="1"/>
  <c r="AM403" i="8" s="1"/>
  <c r="CI358" i="8"/>
  <c r="CI373" i="8" s="1"/>
  <c r="CI388" i="8" s="1"/>
  <c r="CI403" i="8" s="1"/>
  <c r="AY358" i="8"/>
  <c r="AY373" i="8" s="1"/>
  <c r="AY388" i="8" s="1"/>
  <c r="AY403" i="8" s="1"/>
  <c r="BW358" i="8"/>
  <c r="BW373" i="8" s="1"/>
  <c r="BW388" i="8" s="1"/>
  <c r="BW403" i="8" s="1"/>
  <c r="M63" i="8"/>
  <c r="B528" i="8"/>
  <c r="B527" i="8"/>
  <c r="AN17" i="7"/>
  <c r="F8" i="7"/>
  <c r="AN21" i="7"/>
  <c r="AN9" i="7"/>
  <c r="AN10" i="7"/>
  <c r="AX10" i="7" s="1"/>
  <c r="AN11" i="7"/>
  <c r="AN15" i="7"/>
  <c r="AN16" i="7"/>
  <c r="AN12" i="7"/>
  <c r="AN13" i="7"/>
  <c r="AN14" i="7"/>
  <c r="AW19" i="7"/>
  <c r="AW27" i="7" s="1"/>
  <c r="AT170" i="8"/>
  <c r="DN170" i="8"/>
  <c r="BF170" i="8"/>
  <c r="V170" i="8"/>
  <c r="CP170" i="8"/>
  <c r="AH170" i="8"/>
  <c r="J170" i="8"/>
  <c r="BR170" i="8"/>
  <c r="J160" i="8"/>
  <c r="CD170" i="8"/>
  <c r="DB170" i="8"/>
  <c r="AF165" i="8"/>
  <c r="CB165" i="8"/>
  <c r="BP165" i="8"/>
  <c r="T165" i="8"/>
  <c r="CN165" i="8"/>
  <c r="CZ165" i="8"/>
  <c r="BD165" i="8"/>
  <c r="DL165" i="8"/>
  <c r="H165" i="8"/>
  <c r="AR165" i="8"/>
  <c r="CP152" i="8"/>
  <c r="AT152" i="8"/>
  <c r="BR152" i="8"/>
  <c r="F20" i="8"/>
  <c r="V152" i="8"/>
  <c r="AH152" i="8"/>
  <c r="DN152" i="8"/>
  <c r="BF152" i="8"/>
  <c r="DB152" i="8"/>
  <c r="T32" i="8"/>
  <c r="BK421" i="8"/>
  <c r="BW421" i="8"/>
  <c r="C421" i="8"/>
  <c r="CU421" i="8"/>
  <c r="O421" i="8"/>
  <c r="CI421" i="8"/>
  <c r="DG421" i="8"/>
  <c r="AA421" i="8"/>
  <c r="AY421" i="8"/>
  <c r="AM421" i="8"/>
  <c r="DF526" i="8"/>
  <c r="DG530" i="8"/>
  <c r="DF541" i="8" s="1"/>
  <c r="AM643" i="8"/>
  <c r="E20" i="8"/>
  <c r="BV498" i="8"/>
  <c r="BV497" i="8"/>
  <c r="O49" i="8"/>
  <c r="O63" i="8"/>
  <c r="O62" i="8"/>
  <c r="T152" i="8"/>
  <c r="CN152" i="8"/>
  <c r="H162" i="8"/>
  <c r="BD162" i="8"/>
  <c r="CZ162" i="8"/>
  <c r="BD152" i="8"/>
  <c r="DL152" i="8"/>
  <c r="AR152" i="8"/>
  <c r="CZ152" i="8"/>
  <c r="AF162" i="8"/>
  <c r="AR162" i="8"/>
  <c r="H152" i="8"/>
  <c r="DL162" i="8"/>
  <c r="CN162" i="8"/>
  <c r="AF152" i="8"/>
  <c r="T162" i="8"/>
  <c r="CB152" i="8"/>
  <c r="BP162" i="8"/>
  <c r="BP152" i="8"/>
  <c r="CB162" i="8"/>
  <c r="O33" i="8"/>
  <c r="O31" i="8"/>
  <c r="O8" i="8"/>
  <c r="O10" i="8"/>
  <c r="O35" i="8"/>
  <c r="O37" i="8"/>
  <c r="O45" i="8"/>
  <c r="O11" i="8"/>
  <c r="O14" i="8"/>
  <c r="O18" i="8"/>
  <c r="O41" i="8"/>
  <c r="O43" i="8" s="1"/>
  <c r="O13" i="8"/>
  <c r="O17" i="8"/>
  <c r="O36" i="8"/>
  <c r="O22" i="8"/>
  <c r="O24" i="8" s="1"/>
  <c r="O15" i="8"/>
  <c r="O30" i="8"/>
  <c r="O34" i="8"/>
  <c r="O32" i="8"/>
  <c r="O29" i="8"/>
  <c r="BD161" i="8" s="1"/>
  <c r="O16" i="8"/>
  <c r="O12" i="8"/>
  <c r="DG743" i="8"/>
  <c r="AM743" i="8"/>
  <c r="AA743" i="8"/>
  <c r="AY743" i="8"/>
  <c r="CU743" i="8"/>
  <c r="O743" i="8"/>
  <c r="BK743" i="8"/>
  <c r="BW743" i="8"/>
  <c r="C743" i="8"/>
  <c r="CI743" i="8"/>
  <c r="AY500" i="8"/>
  <c r="AX496" i="8"/>
  <c r="Z159" i="8"/>
  <c r="AL136" i="8"/>
  <c r="BW515" i="8"/>
  <c r="BV511" i="8"/>
  <c r="BW643" i="8"/>
  <c r="CD153" i="8"/>
  <c r="O359" i="8"/>
  <c r="O374" i="8" s="1"/>
  <c r="O389" i="8" s="1"/>
  <c r="O404" i="8" s="1"/>
  <c r="CU359" i="8"/>
  <c r="CU374" i="8" s="1"/>
  <c r="CU389" i="8" s="1"/>
  <c r="CU404" i="8" s="1"/>
  <c r="BK359" i="8"/>
  <c r="BK374" i="8" s="1"/>
  <c r="BK389" i="8" s="1"/>
  <c r="BK404" i="8" s="1"/>
  <c r="BW359" i="8"/>
  <c r="BW374" i="8" s="1"/>
  <c r="BW389" i="8" s="1"/>
  <c r="BW404" i="8" s="1"/>
  <c r="C359" i="8"/>
  <c r="C374" i="8" s="1"/>
  <c r="C389" i="8" s="1"/>
  <c r="C404" i="8" s="1"/>
  <c r="AA359" i="8"/>
  <c r="AA374" i="8" s="1"/>
  <c r="AA389" i="8" s="1"/>
  <c r="AA404" i="8" s="1"/>
  <c r="CI359" i="8"/>
  <c r="CI374" i="8" s="1"/>
  <c r="CI389" i="8" s="1"/>
  <c r="CI404" i="8" s="1"/>
  <c r="DG359" i="8"/>
  <c r="DG374" i="8" s="1"/>
  <c r="DG389" i="8" s="1"/>
  <c r="DG404" i="8" s="1"/>
  <c r="AM359" i="8"/>
  <c r="AM374" i="8" s="1"/>
  <c r="AM389" i="8" s="1"/>
  <c r="AM404" i="8" s="1"/>
  <c r="AY359" i="8"/>
  <c r="AY374" i="8" s="1"/>
  <c r="AY389" i="8" s="1"/>
  <c r="AY404" i="8" s="1"/>
  <c r="AM551" i="8"/>
  <c r="AM566" i="8" s="1"/>
  <c r="AM581" i="8" s="1"/>
  <c r="AM596" i="8" s="1"/>
  <c r="DG551" i="8"/>
  <c r="DG566" i="8" s="1"/>
  <c r="DG581" i="8" s="1"/>
  <c r="DG596" i="8" s="1"/>
  <c r="BW551" i="8"/>
  <c r="BW566" i="8" s="1"/>
  <c r="BW581" i="8" s="1"/>
  <c r="BW596" i="8" s="1"/>
  <c r="C551" i="8"/>
  <c r="C566" i="8" s="1"/>
  <c r="C581" i="8" s="1"/>
  <c r="C596" i="8" s="1"/>
  <c r="BK551" i="8"/>
  <c r="BK566" i="8" s="1"/>
  <c r="BK581" i="8" s="1"/>
  <c r="BK596" i="8" s="1"/>
  <c r="CI551" i="8"/>
  <c r="CI566" i="8" s="1"/>
  <c r="CI581" i="8" s="1"/>
  <c r="CI596" i="8" s="1"/>
  <c r="AA551" i="8"/>
  <c r="AA566" i="8" s="1"/>
  <c r="AA581" i="8" s="1"/>
  <c r="AA596" i="8" s="1"/>
  <c r="CU551" i="8"/>
  <c r="CU566" i="8" s="1"/>
  <c r="CU581" i="8" s="1"/>
  <c r="CU596" i="8" s="1"/>
  <c r="AY551" i="8"/>
  <c r="AY566" i="8" s="1"/>
  <c r="AY581" i="8" s="1"/>
  <c r="AY596" i="8" s="1"/>
  <c r="O551" i="8"/>
  <c r="O566" i="8" s="1"/>
  <c r="O581" i="8" s="1"/>
  <c r="O596" i="8" s="1"/>
  <c r="O742" i="8"/>
  <c r="CI742" i="8"/>
  <c r="BK742" i="8"/>
  <c r="BW742" i="8"/>
  <c r="DG742" i="8"/>
  <c r="C742" i="8"/>
  <c r="AA742" i="8"/>
  <c r="CU742" i="8"/>
  <c r="AM742" i="8"/>
  <c r="AY742" i="8"/>
  <c r="C486" i="8"/>
  <c r="C501" i="8" s="1"/>
  <c r="C516" i="8" s="1"/>
  <c r="C531" i="8" s="1"/>
  <c r="BW486" i="8"/>
  <c r="BW501" i="8" s="1"/>
  <c r="BW516" i="8" s="1"/>
  <c r="BW531" i="8" s="1"/>
  <c r="CI486" i="8"/>
  <c r="CI501" i="8" s="1"/>
  <c r="CI516" i="8" s="1"/>
  <c r="CI531" i="8" s="1"/>
  <c r="O486" i="8"/>
  <c r="O501" i="8" s="1"/>
  <c r="O516" i="8" s="1"/>
  <c r="O531" i="8" s="1"/>
  <c r="CU486" i="8"/>
  <c r="CU501" i="8" s="1"/>
  <c r="CU516" i="8" s="1"/>
  <c r="CU531" i="8" s="1"/>
  <c r="AA486" i="8"/>
  <c r="AA501" i="8" s="1"/>
  <c r="AA516" i="8" s="1"/>
  <c r="AA531" i="8" s="1"/>
  <c r="AM486" i="8"/>
  <c r="AM501" i="8" s="1"/>
  <c r="AM516" i="8" s="1"/>
  <c r="AM531" i="8" s="1"/>
  <c r="BK486" i="8"/>
  <c r="BK501" i="8" s="1"/>
  <c r="BK516" i="8" s="1"/>
  <c r="BK531" i="8" s="1"/>
  <c r="DG486" i="8"/>
  <c r="DG501" i="8" s="1"/>
  <c r="DG516" i="8" s="1"/>
  <c r="DG531" i="8" s="1"/>
  <c r="AY486" i="8"/>
  <c r="AY501" i="8" s="1"/>
  <c r="AY516" i="8" s="1"/>
  <c r="AY531" i="8" s="1"/>
  <c r="AR154" i="8"/>
  <c r="AO16" i="7"/>
  <c r="AO17" i="7"/>
  <c r="G8" i="7"/>
  <c r="AO21" i="7"/>
  <c r="AO24" i="7" s="1"/>
  <c r="AO9" i="7"/>
  <c r="AO10" i="7"/>
  <c r="AO14" i="7"/>
  <c r="AO11" i="7"/>
  <c r="AX11" i="7" s="1"/>
  <c r="AO13" i="7"/>
  <c r="AO12" i="7"/>
  <c r="AO15" i="7"/>
  <c r="AT19" i="7"/>
  <c r="AT27" i="7" s="1"/>
  <c r="AT28" i="7" s="1"/>
  <c r="F24" i="8"/>
  <c r="O550" i="8"/>
  <c r="O565" i="8" s="1"/>
  <c r="O580" i="8" s="1"/>
  <c r="O595" i="8" s="1"/>
  <c r="CI550" i="8"/>
  <c r="CI565" i="8" s="1"/>
  <c r="CI580" i="8" s="1"/>
  <c r="CI595" i="8" s="1"/>
  <c r="DG550" i="8"/>
  <c r="DG565" i="8" s="1"/>
  <c r="DG580" i="8" s="1"/>
  <c r="DG595" i="8" s="1"/>
  <c r="AM550" i="8"/>
  <c r="AM565" i="8" s="1"/>
  <c r="AM580" i="8" s="1"/>
  <c r="AM595" i="8" s="1"/>
  <c r="BW550" i="8"/>
  <c r="BW565" i="8" s="1"/>
  <c r="BW580" i="8" s="1"/>
  <c r="BW595" i="8" s="1"/>
  <c r="AA550" i="8"/>
  <c r="AA565" i="8" s="1"/>
  <c r="AA580" i="8" s="1"/>
  <c r="AA595" i="8" s="1"/>
  <c r="AY550" i="8"/>
  <c r="AY565" i="8" s="1"/>
  <c r="AY580" i="8" s="1"/>
  <c r="AY595" i="8" s="1"/>
  <c r="BK550" i="8"/>
  <c r="BK565" i="8" s="1"/>
  <c r="BK580" i="8" s="1"/>
  <c r="BK595" i="8" s="1"/>
  <c r="C550" i="8"/>
  <c r="C565" i="8" s="1"/>
  <c r="C580" i="8" s="1"/>
  <c r="C595" i="8" s="1"/>
  <c r="CU550" i="8"/>
  <c r="CU565" i="8" s="1"/>
  <c r="CU580" i="8" s="1"/>
  <c r="CU595" i="8" s="1"/>
  <c r="Z526" i="8"/>
  <c r="AA530" i="8"/>
  <c r="Z541" i="8" s="1"/>
  <c r="AX546" i="8"/>
  <c r="BJ207" i="8"/>
  <c r="BJ497" i="8"/>
  <c r="BJ498" i="8"/>
  <c r="P19" i="8"/>
  <c r="Q19" i="8" s="1"/>
  <c r="CD171" i="8"/>
  <c r="F62" i="8"/>
  <c r="Z202" i="8"/>
  <c r="N226" i="8"/>
  <c r="CN154" i="8"/>
  <c r="CZ154" i="8"/>
  <c r="N165" i="8"/>
  <c r="N190" i="8" s="1"/>
  <c r="N180" i="8"/>
  <c r="AY643" i="8"/>
  <c r="AP15" i="7"/>
  <c r="AP16" i="7"/>
  <c r="AP17" i="7"/>
  <c r="AX17" i="7" s="1"/>
  <c r="H8" i="7"/>
  <c r="AP21" i="7"/>
  <c r="AP24" i="7" s="1"/>
  <c r="AP9" i="7"/>
  <c r="AP13" i="7"/>
  <c r="AP11" i="7"/>
  <c r="AP10" i="7"/>
  <c r="AP14" i="7"/>
  <c r="AP12" i="7"/>
  <c r="AS19" i="7"/>
  <c r="AS27" i="7" s="1"/>
  <c r="AS28" i="7" s="1"/>
  <c r="Z135" i="8"/>
  <c r="N158" i="8"/>
  <c r="BR154" i="8"/>
  <c r="F49" i="8"/>
  <c r="F43" i="8"/>
  <c r="B162" i="8"/>
  <c r="B187" i="8" s="1"/>
  <c r="B211" i="8" s="1"/>
  <c r="N211" i="8" s="1"/>
  <c r="Z211" i="8" s="1"/>
  <c r="AL211" i="8" s="1"/>
  <c r="AX211" i="8" s="1"/>
  <c r="BJ211" i="8" s="1"/>
  <c r="BV211" i="8" s="1"/>
  <c r="CH211" i="8" s="1"/>
  <c r="CT211" i="8" s="1"/>
  <c r="DF211" i="8" s="1"/>
  <c r="B177" i="8"/>
  <c r="N154" i="8"/>
  <c r="Z131" i="8"/>
  <c r="AA678" i="8"/>
  <c r="AA693" i="8" s="1"/>
  <c r="AA708" i="8" s="1"/>
  <c r="AA723" i="8" s="1"/>
  <c r="CU678" i="8"/>
  <c r="CU693" i="8" s="1"/>
  <c r="CU708" i="8" s="1"/>
  <c r="CU723" i="8" s="1"/>
  <c r="BW678" i="8"/>
  <c r="BW693" i="8" s="1"/>
  <c r="BW708" i="8" s="1"/>
  <c r="BW723" i="8" s="1"/>
  <c r="C678" i="8"/>
  <c r="C693" i="8" s="1"/>
  <c r="C708" i="8" s="1"/>
  <c r="C723" i="8" s="1"/>
  <c r="CI678" i="8"/>
  <c r="CI693" i="8" s="1"/>
  <c r="CI708" i="8" s="1"/>
  <c r="CI723" i="8" s="1"/>
  <c r="O678" i="8"/>
  <c r="O693" i="8" s="1"/>
  <c r="O708" i="8" s="1"/>
  <c r="O723" i="8" s="1"/>
  <c r="AM678" i="8"/>
  <c r="AM693" i="8" s="1"/>
  <c r="AM708" i="8" s="1"/>
  <c r="AM723" i="8" s="1"/>
  <c r="AY678" i="8"/>
  <c r="AY693" i="8" s="1"/>
  <c r="AY708" i="8" s="1"/>
  <c r="AY723" i="8" s="1"/>
  <c r="DG678" i="8"/>
  <c r="DG693" i="8" s="1"/>
  <c r="DG708" i="8" s="1"/>
  <c r="DG723" i="8" s="1"/>
  <c r="BK678" i="8"/>
  <c r="BK693" i="8" s="1"/>
  <c r="BK708" i="8" s="1"/>
  <c r="BK723" i="8" s="1"/>
  <c r="BD154" i="8"/>
  <c r="CP169" i="8"/>
  <c r="Z155" i="8"/>
  <c r="AL132" i="8"/>
  <c r="CT210" i="8"/>
  <c r="CH738" i="8"/>
  <c r="N511" i="8"/>
  <c r="O515" i="8"/>
  <c r="Z137" i="8"/>
  <c r="N160" i="8"/>
  <c r="CI515" i="8"/>
  <c r="CH511" i="8"/>
  <c r="I49" i="8"/>
  <c r="V171" i="8"/>
  <c r="DN171" i="8"/>
  <c r="CU357" i="8"/>
  <c r="AA357" i="8"/>
  <c r="O357" i="8"/>
  <c r="AM357" i="8"/>
  <c r="DG357" i="8"/>
  <c r="C357" i="8"/>
  <c r="BW357" i="8"/>
  <c r="CI357" i="8"/>
  <c r="BK357" i="8"/>
  <c r="AY357" i="8"/>
  <c r="AA487" i="8"/>
  <c r="AA502" i="8" s="1"/>
  <c r="AA517" i="8" s="1"/>
  <c r="AA532" i="8" s="1"/>
  <c r="CU487" i="8"/>
  <c r="CU502" i="8" s="1"/>
  <c r="CU517" i="8" s="1"/>
  <c r="CU532" i="8" s="1"/>
  <c r="AY487" i="8"/>
  <c r="AY502" i="8" s="1"/>
  <c r="AY517" i="8" s="1"/>
  <c r="AY532" i="8" s="1"/>
  <c r="BK487" i="8"/>
  <c r="BK502" i="8" s="1"/>
  <c r="BK517" i="8" s="1"/>
  <c r="BK532" i="8" s="1"/>
  <c r="O487" i="8"/>
  <c r="O502" i="8" s="1"/>
  <c r="O517" i="8" s="1"/>
  <c r="O532" i="8" s="1"/>
  <c r="C487" i="8"/>
  <c r="C502" i="8" s="1"/>
  <c r="C517" i="8" s="1"/>
  <c r="C532" i="8" s="1"/>
  <c r="AM487" i="8"/>
  <c r="AM502" i="8" s="1"/>
  <c r="AM517" i="8" s="1"/>
  <c r="AM532" i="8" s="1"/>
  <c r="BW487" i="8"/>
  <c r="BW502" i="8" s="1"/>
  <c r="BW517" i="8" s="1"/>
  <c r="BW532" i="8" s="1"/>
  <c r="CI487" i="8"/>
  <c r="CI502" i="8" s="1"/>
  <c r="CI517" i="8" s="1"/>
  <c r="CI532" i="8" s="1"/>
  <c r="DG487" i="8"/>
  <c r="DG502" i="8" s="1"/>
  <c r="DG517" i="8" s="1"/>
  <c r="DG532" i="8" s="1"/>
  <c r="N152" i="8"/>
  <c r="Z129" i="8"/>
  <c r="AX156" i="8"/>
  <c r="BJ133" i="8"/>
  <c r="AA422" i="8"/>
  <c r="AA437" i="8" s="1"/>
  <c r="AA452" i="8" s="1"/>
  <c r="AA467" i="8" s="1"/>
  <c r="DG422" i="8"/>
  <c r="DG437" i="8" s="1"/>
  <c r="DG452" i="8" s="1"/>
  <c r="DG467" i="8" s="1"/>
  <c r="BK422" i="8"/>
  <c r="BK437" i="8" s="1"/>
  <c r="BK452" i="8" s="1"/>
  <c r="BK467" i="8" s="1"/>
  <c r="BW422" i="8"/>
  <c r="BW437" i="8" s="1"/>
  <c r="BW452" i="8" s="1"/>
  <c r="BW467" i="8" s="1"/>
  <c r="CI422" i="8"/>
  <c r="CI437" i="8" s="1"/>
  <c r="CI452" i="8" s="1"/>
  <c r="CI467" i="8" s="1"/>
  <c r="CU422" i="8"/>
  <c r="CU437" i="8" s="1"/>
  <c r="CU452" i="8" s="1"/>
  <c r="CU467" i="8" s="1"/>
  <c r="AY422" i="8"/>
  <c r="AY437" i="8" s="1"/>
  <c r="AY452" i="8" s="1"/>
  <c r="AY467" i="8" s="1"/>
  <c r="AM422" i="8"/>
  <c r="AM437" i="8" s="1"/>
  <c r="AM452" i="8" s="1"/>
  <c r="AM467" i="8" s="1"/>
  <c r="O422" i="8"/>
  <c r="O437" i="8" s="1"/>
  <c r="O452" i="8" s="1"/>
  <c r="O467" i="8" s="1"/>
  <c r="C422" i="8"/>
  <c r="C437" i="8" s="1"/>
  <c r="C452" i="8" s="1"/>
  <c r="C467" i="8" s="1"/>
  <c r="CB154" i="8"/>
  <c r="H154" i="8"/>
  <c r="I63" i="8"/>
  <c r="N498" i="8"/>
  <c r="N497" i="8"/>
  <c r="BJ368" i="8" l="1"/>
  <c r="BK372" i="8"/>
  <c r="AX132" i="8"/>
  <c r="AL155" i="8"/>
  <c r="DF528" i="8"/>
  <c r="DF527" i="8"/>
  <c r="W13" i="7"/>
  <c r="X13" i="7" s="1"/>
  <c r="AY364" i="8"/>
  <c r="AY379" i="8" s="1"/>
  <c r="AY394" i="8" s="1"/>
  <c r="AY409" i="8" s="1"/>
  <c r="AA364" i="8"/>
  <c r="AA379" i="8" s="1"/>
  <c r="AA394" i="8" s="1"/>
  <c r="AA409" i="8" s="1"/>
  <c r="AM364" i="8"/>
  <c r="AM379" i="8" s="1"/>
  <c r="AM394" i="8" s="1"/>
  <c r="AM409" i="8" s="1"/>
  <c r="O364" i="8"/>
  <c r="O379" i="8" s="1"/>
  <c r="O394" i="8" s="1"/>
  <c r="O409" i="8" s="1"/>
  <c r="BK364" i="8"/>
  <c r="BK379" i="8" s="1"/>
  <c r="BK394" i="8" s="1"/>
  <c r="BK409" i="8" s="1"/>
  <c r="BW364" i="8"/>
  <c r="BW379" i="8" s="1"/>
  <c r="BW394" i="8" s="1"/>
  <c r="BW409" i="8" s="1"/>
  <c r="CI364" i="8"/>
  <c r="CI379" i="8" s="1"/>
  <c r="CI394" i="8" s="1"/>
  <c r="CI409" i="8" s="1"/>
  <c r="CU364" i="8"/>
  <c r="CU379" i="8" s="1"/>
  <c r="CU394" i="8" s="1"/>
  <c r="CU409" i="8" s="1"/>
  <c r="DG364" i="8"/>
  <c r="DG379" i="8" s="1"/>
  <c r="DG394" i="8" s="1"/>
  <c r="DG409" i="8" s="1"/>
  <c r="C364" i="8"/>
  <c r="C379" i="8" s="1"/>
  <c r="C394" i="8" s="1"/>
  <c r="C409" i="8" s="1"/>
  <c r="AA684" i="8"/>
  <c r="AA699" i="8" s="1"/>
  <c r="AA714" i="8" s="1"/>
  <c r="AA729" i="8" s="1"/>
  <c r="CU684" i="8"/>
  <c r="CU699" i="8" s="1"/>
  <c r="CU714" i="8" s="1"/>
  <c r="CU729" i="8" s="1"/>
  <c r="AY684" i="8"/>
  <c r="AY699" i="8" s="1"/>
  <c r="AY714" i="8" s="1"/>
  <c r="AY729" i="8" s="1"/>
  <c r="BK684" i="8"/>
  <c r="BK699" i="8" s="1"/>
  <c r="BK714" i="8" s="1"/>
  <c r="BK729" i="8" s="1"/>
  <c r="DG684" i="8"/>
  <c r="DG699" i="8" s="1"/>
  <c r="DG714" i="8" s="1"/>
  <c r="DG729" i="8" s="1"/>
  <c r="C684" i="8"/>
  <c r="C699" i="8" s="1"/>
  <c r="C714" i="8" s="1"/>
  <c r="C729" i="8" s="1"/>
  <c r="O684" i="8"/>
  <c r="O699" i="8" s="1"/>
  <c r="O714" i="8" s="1"/>
  <c r="O729" i="8" s="1"/>
  <c r="BW684" i="8"/>
  <c r="BW699" i="8" s="1"/>
  <c r="BW714" i="8" s="1"/>
  <c r="BW729" i="8" s="1"/>
  <c r="CI684" i="8"/>
  <c r="CI699" i="8" s="1"/>
  <c r="CI714" i="8" s="1"/>
  <c r="CI729" i="8" s="1"/>
  <c r="AM684" i="8"/>
  <c r="AM699" i="8" s="1"/>
  <c r="AM714" i="8" s="1"/>
  <c r="AM729" i="8" s="1"/>
  <c r="AA244" i="8"/>
  <c r="Z240" i="8"/>
  <c r="BW629" i="8"/>
  <c r="BV624" i="8"/>
  <c r="O361" i="8"/>
  <c r="O376" i="8" s="1"/>
  <c r="O391" i="8" s="1"/>
  <c r="O406" i="8" s="1"/>
  <c r="CU361" i="8"/>
  <c r="CU376" i="8" s="1"/>
  <c r="CU391" i="8" s="1"/>
  <c r="CU406" i="8" s="1"/>
  <c r="C361" i="8"/>
  <c r="C376" i="8" s="1"/>
  <c r="C391" i="8" s="1"/>
  <c r="C406" i="8" s="1"/>
  <c r="DG361" i="8"/>
  <c r="DG376" i="8" s="1"/>
  <c r="DG391" i="8" s="1"/>
  <c r="DG406" i="8" s="1"/>
  <c r="AA361" i="8"/>
  <c r="AA376" i="8" s="1"/>
  <c r="AA391" i="8" s="1"/>
  <c r="AA406" i="8" s="1"/>
  <c r="BW361" i="8"/>
  <c r="BW376" i="8" s="1"/>
  <c r="BW391" i="8" s="1"/>
  <c r="BW406" i="8" s="1"/>
  <c r="CI361" i="8"/>
  <c r="CI376" i="8" s="1"/>
  <c r="CI391" i="8" s="1"/>
  <c r="CI406" i="8" s="1"/>
  <c r="BK361" i="8"/>
  <c r="BK376" i="8" s="1"/>
  <c r="BK391" i="8" s="1"/>
  <c r="BK406" i="8" s="1"/>
  <c r="AY361" i="8"/>
  <c r="AY376" i="8" s="1"/>
  <c r="AY391" i="8" s="1"/>
  <c r="AY406" i="8" s="1"/>
  <c r="AM361" i="8"/>
  <c r="AM376" i="8" s="1"/>
  <c r="AM391" i="8" s="1"/>
  <c r="AM406" i="8" s="1"/>
  <c r="BP159" i="8"/>
  <c r="AA301" i="8"/>
  <c r="AA316" i="8" s="1"/>
  <c r="AA331" i="8" s="1"/>
  <c r="AA346" i="8" s="1"/>
  <c r="CU301" i="8"/>
  <c r="CU316" i="8" s="1"/>
  <c r="CU331" i="8" s="1"/>
  <c r="CU346" i="8" s="1"/>
  <c r="DG301" i="8"/>
  <c r="DG316" i="8" s="1"/>
  <c r="DG331" i="8" s="1"/>
  <c r="DG346" i="8" s="1"/>
  <c r="AM301" i="8"/>
  <c r="AM316" i="8" s="1"/>
  <c r="AM331" i="8" s="1"/>
  <c r="AM346" i="8" s="1"/>
  <c r="CI301" i="8"/>
  <c r="CI316" i="8" s="1"/>
  <c r="CI331" i="8" s="1"/>
  <c r="CI346" i="8" s="1"/>
  <c r="BW301" i="8"/>
  <c r="BW316" i="8" s="1"/>
  <c r="BW331" i="8" s="1"/>
  <c r="BW346" i="8" s="1"/>
  <c r="O301" i="8"/>
  <c r="O316" i="8" s="1"/>
  <c r="O331" i="8" s="1"/>
  <c r="O346" i="8" s="1"/>
  <c r="AY301" i="8"/>
  <c r="AY316" i="8" s="1"/>
  <c r="AY331" i="8" s="1"/>
  <c r="AY346" i="8" s="1"/>
  <c r="BK301" i="8"/>
  <c r="BK316" i="8" s="1"/>
  <c r="BK331" i="8" s="1"/>
  <c r="BK346" i="8" s="1"/>
  <c r="C301" i="8"/>
  <c r="C316" i="8" s="1"/>
  <c r="C331" i="8" s="1"/>
  <c r="C346" i="8" s="1"/>
  <c r="AY308" i="8"/>
  <c r="AX304" i="8"/>
  <c r="C686" i="8"/>
  <c r="C701" i="8" s="1"/>
  <c r="C716" i="8" s="1"/>
  <c r="C731" i="8" s="1"/>
  <c r="BW686" i="8"/>
  <c r="BW701" i="8" s="1"/>
  <c r="BW716" i="8" s="1"/>
  <c r="BW731" i="8" s="1"/>
  <c r="BK686" i="8"/>
  <c r="BK701" i="8" s="1"/>
  <c r="BK716" i="8" s="1"/>
  <c r="BK731" i="8" s="1"/>
  <c r="CI686" i="8"/>
  <c r="CI701" i="8" s="1"/>
  <c r="CI716" i="8" s="1"/>
  <c r="CI731" i="8" s="1"/>
  <c r="CU686" i="8"/>
  <c r="CU701" i="8" s="1"/>
  <c r="CU716" i="8" s="1"/>
  <c r="CU731" i="8" s="1"/>
  <c r="DG686" i="8"/>
  <c r="DG701" i="8" s="1"/>
  <c r="DG716" i="8" s="1"/>
  <c r="DG731" i="8" s="1"/>
  <c r="O686" i="8"/>
  <c r="O701" i="8" s="1"/>
  <c r="O716" i="8" s="1"/>
  <c r="O731" i="8" s="1"/>
  <c r="AM686" i="8"/>
  <c r="AM701" i="8" s="1"/>
  <c r="AM716" i="8" s="1"/>
  <c r="AM731" i="8" s="1"/>
  <c r="AY686" i="8"/>
  <c r="AY701" i="8" s="1"/>
  <c r="AY716" i="8" s="1"/>
  <c r="AY731" i="8" s="1"/>
  <c r="AA686" i="8"/>
  <c r="AA701" i="8" s="1"/>
  <c r="AA716" i="8" s="1"/>
  <c r="AA731" i="8" s="1"/>
  <c r="AM366" i="8"/>
  <c r="AM381" i="8" s="1"/>
  <c r="AM396" i="8" s="1"/>
  <c r="AM411" i="8" s="1"/>
  <c r="BW366" i="8"/>
  <c r="BW381" i="8" s="1"/>
  <c r="BW396" i="8" s="1"/>
  <c r="BW411" i="8" s="1"/>
  <c r="CI366" i="8"/>
  <c r="CI381" i="8" s="1"/>
  <c r="CI396" i="8" s="1"/>
  <c r="CI411" i="8" s="1"/>
  <c r="AA366" i="8"/>
  <c r="AA381" i="8" s="1"/>
  <c r="AA396" i="8" s="1"/>
  <c r="AA411" i="8" s="1"/>
  <c r="BK366" i="8"/>
  <c r="BK381" i="8" s="1"/>
  <c r="BK396" i="8" s="1"/>
  <c r="BK411" i="8" s="1"/>
  <c r="C366" i="8"/>
  <c r="C381" i="8" s="1"/>
  <c r="C396" i="8" s="1"/>
  <c r="C411" i="8" s="1"/>
  <c r="DG366" i="8"/>
  <c r="DG381" i="8" s="1"/>
  <c r="DG396" i="8" s="1"/>
  <c r="DG411" i="8" s="1"/>
  <c r="AY366" i="8"/>
  <c r="AY381" i="8" s="1"/>
  <c r="AY396" i="8" s="1"/>
  <c r="AY411" i="8" s="1"/>
  <c r="O366" i="8"/>
  <c r="O381" i="8" s="1"/>
  <c r="O396" i="8" s="1"/>
  <c r="O411" i="8" s="1"/>
  <c r="CU366" i="8"/>
  <c r="CU381" i="8" s="1"/>
  <c r="CU396" i="8" s="1"/>
  <c r="CU411" i="8" s="1"/>
  <c r="AT160" i="8"/>
  <c r="AX21" i="7"/>
  <c r="AX24" i="7" s="1"/>
  <c r="CU692" i="8"/>
  <c r="CT688" i="8"/>
  <c r="N240" i="8"/>
  <c r="O244" i="8"/>
  <c r="Z418" i="8"/>
  <c r="AL205" i="8"/>
  <c r="BP156" i="8"/>
  <c r="CZ156" i="8"/>
  <c r="BP161" i="8"/>
  <c r="CU564" i="8"/>
  <c r="CT560" i="8"/>
  <c r="K20" i="8"/>
  <c r="K26" i="8" s="1"/>
  <c r="DB157" i="8"/>
  <c r="DN157" i="8"/>
  <c r="AH157" i="8"/>
  <c r="J157" i="8"/>
  <c r="AT157" i="8"/>
  <c r="BR157" i="8"/>
  <c r="K62" i="8"/>
  <c r="BF157" i="8"/>
  <c r="V157" i="8"/>
  <c r="CD157" i="8"/>
  <c r="CP157" i="8"/>
  <c r="CI372" i="8"/>
  <c r="CH368" i="8"/>
  <c r="AL131" i="8"/>
  <c r="Z154" i="8"/>
  <c r="AL135" i="8"/>
  <c r="Z158" i="8"/>
  <c r="P14" i="8"/>
  <c r="Q14" i="8" s="1"/>
  <c r="BV207" i="8"/>
  <c r="BJ546" i="8"/>
  <c r="AX136" i="8"/>
  <c r="AL159" i="8"/>
  <c r="AY494" i="8"/>
  <c r="AY509" i="8" s="1"/>
  <c r="AY524" i="8" s="1"/>
  <c r="AY539" i="8" s="1"/>
  <c r="BK494" i="8"/>
  <c r="BK509" i="8" s="1"/>
  <c r="BK524" i="8" s="1"/>
  <c r="BK539" i="8" s="1"/>
  <c r="BW494" i="8"/>
  <c r="BW509" i="8" s="1"/>
  <c r="BW524" i="8" s="1"/>
  <c r="BW539" i="8" s="1"/>
  <c r="CU494" i="8"/>
  <c r="CU509" i="8" s="1"/>
  <c r="CU524" i="8" s="1"/>
  <c r="CU539" i="8" s="1"/>
  <c r="CI494" i="8"/>
  <c r="CI509" i="8" s="1"/>
  <c r="CI524" i="8" s="1"/>
  <c r="CI539" i="8" s="1"/>
  <c r="DG494" i="8"/>
  <c r="DG509" i="8" s="1"/>
  <c r="DG524" i="8" s="1"/>
  <c r="DG539" i="8" s="1"/>
  <c r="AA494" i="8"/>
  <c r="AA509" i="8" s="1"/>
  <c r="AA524" i="8" s="1"/>
  <c r="AA539" i="8" s="1"/>
  <c r="C494" i="8"/>
  <c r="C509" i="8" s="1"/>
  <c r="C524" i="8" s="1"/>
  <c r="C539" i="8" s="1"/>
  <c r="O494" i="8"/>
  <c r="O509" i="8" s="1"/>
  <c r="O524" i="8" s="1"/>
  <c r="O539" i="8" s="1"/>
  <c r="AM494" i="8"/>
  <c r="AM509" i="8" s="1"/>
  <c r="AM524" i="8" s="1"/>
  <c r="AM539" i="8" s="1"/>
  <c r="AY436" i="8"/>
  <c r="AX432" i="8"/>
  <c r="W12" i="7"/>
  <c r="X12" i="7" s="1"/>
  <c r="W21" i="7"/>
  <c r="AN24" i="7"/>
  <c r="CH688" i="8"/>
  <c r="CI692" i="8"/>
  <c r="AL240" i="8"/>
  <c r="AM244" i="8"/>
  <c r="C629" i="8"/>
  <c r="B624" i="8"/>
  <c r="C489" i="8"/>
  <c r="C504" i="8" s="1"/>
  <c r="C519" i="8" s="1"/>
  <c r="C534" i="8" s="1"/>
  <c r="BW489" i="8"/>
  <c r="BW504" i="8" s="1"/>
  <c r="BW519" i="8" s="1"/>
  <c r="BW534" i="8" s="1"/>
  <c r="BK489" i="8"/>
  <c r="BK504" i="8" s="1"/>
  <c r="BK519" i="8" s="1"/>
  <c r="BK534" i="8" s="1"/>
  <c r="CI489" i="8"/>
  <c r="CI504" i="8" s="1"/>
  <c r="CI519" i="8" s="1"/>
  <c r="CI534" i="8" s="1"/>
  <c r="O489" i="8"/>
  <c r="O504" i="8" s="1"/>
  <c r="O519" i="8" s="1"/>
  <c r="O534" i="8" s="1"/>
  <c r="AM489" i="8"/>
  <c r="AM504" i="8" s="1"/>
  <c r="AM519" i="8" s="1"/>
  <c r="AM534" i="8" s="1"/>
  <c r="AA489" i="8"/>
  <c r="AA504" i="8" s="1"/>
  <c r="AA519" i="8" s="1"/>
  <c r="AA534" i="8" s="1"/>
  <c r="AY489" i="8"/>
  <c r="AY504" i="8" s="1"/>
  <c r="AY519" i="8" s="1"/>
  <c r="AY534" i="8" s="1"/>
  <c r="CU489" i="8"/>
  <c r="CU504" i="8" s="1"/>
  <c r="CU519" i="8" s="1"/>
  <c r="CU534" i="8" s="1"/>
  <c r="DG489" i="8"/>
  <c r="DG504" i="8" s="1"/>
  <c r="DG519" i="8" s="1"/>
  <c r="DG534" i="8" s="1"/>
  <c r="CN159" i="8"/>
  <c r="AM749" i="8"/>
  <c r="DG749" i="8"/>
  <c r="C749" i="8"/>
  <c r="CI749" i="8"/>
  <c r="O749" i="8"/>
  <c r="CU749" i="8"/>
  <c r="AY749" i="8"/>
  <c r="BK749" i="8"/>
  <c r="BW749" i="8"/>
  <c r="AA749" i="8"/>
  <c r="BD156" i="8"/>
  <c r="CU424" i="8"/>
  <c r="CU439" i="8" s="1"/>
  <c r="CU454" i="8" s="1"/>
  <c r="CU469" i="8" s="1"/>
  <c r="AA424" i="8"/>
  <c r="AA439" i="8" s="1"/>
  <c r="AA454" i="8" s="1"/>
  <c r="AA469" i="8" s="1"/>
  <c r="DG424" i="8"/>
  <c r="DG439" i="8" s="1"/>
  <c r="DG454" i="8" s="1"/>
  <c r="DG469" i="8" s="1"/>
  <c r="O424" i="8"/>
  <c r="O439" i="8" s="1"/>
  <c r="O454" i="8" s="1"/>
  <c r="O469" i="8" s="1"/>
  <c r="CI424" i="8"/>
  <c r="CI439" i="8" s="1"/>
  <c r="CI454" i="8" s="1"/>
  <c r="CI469" i="8" s="1"/>
  <c r="BK424" i="8"/>
  <c r="BK439" i="8" s="1"/>
  <c r="BK454" i="8" s="1"/>
  <c r="BK469" i="8" s="1"/>
  <c r="AY424" i="8"/>
  <c r="AY439" i="8" s="1"/>
  <c r="AY454" i="8" s="1"/>
  <c r="AY469" i="8" s="1"/>
  <c r="BW424" i="8"/>
  <c r="BW439" i="8" s="1"/>
  <c r="BW454" i="8" s="1"/>
  <c r="BW469" i="8" s="1"/>
  <c r="C424" i="8"/>
  <c r="C439" i="8" s="1"/>
  <c r="C454" i="8" s="1"/>
  <c r="C469" i="8" s="1"/>
  <c r="AM424" i="8"/>
  <c r="AM439" i="8" s="1"/>
  <c r="AM454" i="8" s="1"/>
  <c r="AM469" i="8" s="1"/>
  <c r="CB161" i="8"/>
  <c r="C308" i="8"/>
  <c r="B304" i="8"/>
  <c r="C298" i="8"/>
  <c r="C313" i="8" s="1"/>
  <c r="C328" i="8" s="1"/>
  <c r="C343" i="8" s="1"/>
  <c r="AA298" i="8"/>
  <c r="AA313" i="8" s="1"/>
  <c r="AA328" i="8" s="1"/>
  <c r="AA343" i="8" s="1"/>
  <c r="CU298" i="8"/>
  <c r="CU313" i="8" s="1"/>
  <c r="CU328" i="8" s="1"/>
  <c r="CU343" i="8" s="1"/>
  <c r="BW298" i="8"/>
  <c r="BW313" i="8" s="1"/>
  <c r="BW328" i="8" s="1"/>
  <c r="BW343" i="8" s="1"/>
  <c r="AM298" i="8"/>
  <c r="AM313" i="8" s="1"/>
  <c r="AM328" i="8" s="1"/>
  <c r="AM343" i="8" s="1"/>
  <c r="O298" i="8"/>
  <c r="O313" i="8" s="1"/>
  <c r="O328" i="8" s="1"/>
  <c r="O343" i="8" s="1"/>
  <c r="AY298" i="8"/>
  <c r="AY313" i="8" s="1"/>
  <c r="AY328" i="8" s="1"/>
  <c r="AY343" i="8" s="1"/>
  <c r="CI298" i="8"/>
  <c r="CI313" i="8" s="1"/>
  <c r="CI328" i="8" s="1"/>
  <c r="CI343" i="8" s="1"/>
  <c r="BK298" i="8"/>
  <c r="BK313" i="8" s="1"/>
  <c r="BK328" i="8" s="1"/>
  <c r="BK343" i="8" s="1"/>
  <c r="DG298" i="8"/>
  <c r="DG313" i="8" s="1"/>
  <c r="DG328" i="8" s="1"/>
  <c r="DG343" i="8" s="1"/>
  <c r="Z432" i="8"/>
  <c r="AA436" i="8"/>
  <c r="DB160" i="8"/>
  <c r="M39" i="8"/>
  <c r="AA236" i="8"/>
  <c r="AA251" i="8" s="1"/>
  <c r="AA266" i="8" s="1"/>
  <c r="AA281" i="8" s="1"/>
  <c r="CU236" i="8"/>
  <c r="CU251" i="8" s="1"/>
  <c r="CU266" i="8" s="1"/>
  <c r="CU281" i="8" s="1"/>
  <c r="BW236" i="8"/>
  <c r="BW251" i="8" s="1"/>
  <c r="BW266" i="8" s="1"/>
  <c r="BW281" i="8" s="1"/>
  <c r="C236" i="8"/>
  <c r="C251" i="8" s="1"/>
  <c r="C266" i="8" s="1"/>
  <c r="C281" i="8" s="1"/>
  <c r="BK236" i="8"/>
  <c r="BK251" i="8" s="1"/>
  <c r="BK266" i="8" s="1"/>
  <c r="BK281" i="8" s="1"/>
  <c r="AM236" i="8"/>
  <c r="AM251" i="8" s="1"/>
  <c r="AM266" i="8" s="1"/>
  <c r="AM281" i="8" s="1"/>
  <c r="CI236" i="8"/>
  <c r="CI251" i="8" s="1"/>
  <c r="CI266" i="8" s="1"/>
  <c r="CI281" i="8" s="1"/>
  <c r="O236" i="8"/>
  <c r="O251" i="8" s="1"/>
  <c r="O266" i="8" s="1"/>
  <c r="O281" i="8" s="1"/>
  <c r="DG236" i="8"/>
  <c r="DG251" i="8" s="1"/>
  <c r="DG266" i="8" s="1"/>
  <c r="DG281" i="8" s="1"/>
  <c r="AY236" i="8"/>
  <c r="AY251" i="8" s="1"/>
  <c r="AY266" i="8" s="1"/>
  <c r="AY281" i="8" s="1"/>
  <c r="M20" i="8"/>
  <c r="M26" i="8" s="1"/>
  <c r="V159" i="8"/>
  <c r="BR159" i="8"/>
  <c r="DB159" i="8"/>
  <c r="AT159" i="8"/>
  <c r="CD159" i="8"/>
  <c r="AH159" i="8"/>
  <c r="CP159" i="8"/>
  <c r="M62" i="8"/>
  <c r="BF159" i="8"/>
  <c r="DN159" i="8"/>
  <c r="J159" i="8"/>
  <c r="CT240" i="8"/>
  <c r="CU244" i="8"/>
  <c r="Z624" i="8"/>
  <c r="AA629" i="8"/>
  <c r="AR159" i="8"/>
  <c r="H156" i="8"/>
  <c r="P38" i="8"/>
  <c r="T38" i="8"/>
  <c r="T19" i="8" s="1"/>
  <c r="T18" i="8"/>
  <c r="H171" i="8"/>
  <c r="AF161" i="8"/>
  <c r="B368" i="8"/>
  <c r="C372" i="8"/>
  <c r="CH512" i="8"/>
  <c r="CH513" i="8"/>
  <c r="P13" i="8"/>
  <c r="Q13" i="8" s="1"/>
  <c r="Z543" i="8"/>
  <c r="Z542" i="8"/>
  <c r="DG436" i="8"/>
  <c r="DF432" i="8"/>
  <c r="AX13" i="7"/>
  <c r="N688" i="8"/>
  <c r="O692" i="8"/>
  <c r="CI428" i="8"/>
  <c r="CI443" i="8" s="1"/>
  <c r="CI458" i="8" s="1"/>
  <c r="CI473" i="8" s="1"/>
  <c r="O428" i="8"/>
  <c r="O443" i="8" s="1"/>
  <c r="O458" i="8" s="1"/>
  <c r="O473" i="8" s="1"/>
  <c r="CU428" i="8"/>
  <c r="CU443" i="8" s="1"/>
  <c r="CU458" i="8" s="1"/>
  <c r="CU473" i="8" s="1"/>
  <c r="C428" i="8"/>
  <c r="C443" i="8" s="1"/>
  <c r="C458" i="8" s="1"/>
  <c r="C473" i="8" s="1"/>
  <c r="DG428" i="8"/>
  <c r="DG443" i="8" s="1"/>
  <c r="DG458" i="8" s="1"/>
  <c r="DG473" i="8" s="1"/>
  <c r="AA428" i="8"/>
  <c r="AA443" i="8" s="1"/>
  <c r="AA458" i="8" s="1"/>
  <c r="AA473" i="8" s="1"/>
  <c r="AM428" i="8"/>
  <c r="AM443" i="8" s="1"/>
  <c r="AM458" i="8" s="1"/>
  <c r="AM473" i="8" s="1"/>
  <c r="BW428" i="8"/>
  <c r="BW443" i="8" s="1"/>
  <c r="BW458" i="8" s="1"/>
  <c r="BW473" i="8" s="1"/>
  <c r="BK428" i="8"/>
  <c r="BK443" i="8" s="1"/>
  <c r="BK458" i="8" s="1"/>
  <c r="BK473" i="8" s="1"/>
  <c r="AY428" i="8"/>
  <c r="AY443" i="8" s="1"/>
  <c r="AY458" i="8" s="1"/>
  <c r="AY473" i="8" s="1"/>
  <c r="CH240" i="8"/>
  <c r="CI244" i="8"/>
  <c r="DG629" i="8"/>
  <c r="DF624" i="8"/>
  <c r="AA681" i="8"/>
  <c r="AA696" i="8" s="1"/>
  <c r="AA711" i="8" s="1"/>
  <c r="AA726" i="8" s="1"/>
  <c r="CU681" i="8"/>
  <c r="CU696" i="8" s="1"/>
  <c r="CU711" i="8" s="1"/>
  <c r="CU726" i="8" s="1"/>
  <c r="BK681" i="8"/>
  <c r="BK696" i="8" s="1"/>
  <c r="BK711" i="8" s="1"/>
  <c r="BK726" i="8" s="1"/>
  <c r="BW681" i="8"/>
  <c r="BW696" i="8" s="1"/>
  <c r="BW711" i="8" s="1"/>
  <c r="BW726" i="8" s="1"/>
  <c r="C681" i="8"/>
  <c r="C696" i="8" s="1"/>
  <c r="C711" i="8" s="1"/>
  <c r="C726" i="8" s="1"/>
  <c r="O681" i="8"/>
  <c r="O696" i="8" s="1"/>
  <c r="O711" i="8" s="1"/>
  <c r="O726" i="8" s="1"/>
  <c r="AM681" i="8"/>
  <c r="AM696" i="8" s="1"/>
  <c r="AM711" i="8" s="1"/>
  <c r="AM726" i="8" s="1"/>
  <c r="CI681" i="8"/>
  <c r="CI696" i="8" s="1"/>
  <c r="CI711" i="8" s="1"/>
  <c r="CI726" i="8" s="1"/>
  <c r="DG681" i="8"/>
  <c r="DG696" i="8" s="1"/>
  <c r="DG711" i="8" s="1"/>
  <c r="DG726" i="8" s="1"/>
  <c r="AY681" i="8"/>
  <c r="AY696" i="8" s="1"/>
  <c r="AY711" i="8" s="1"/>
  <c r="AY726" i="8" s="1"/>
  <c r="H159" i="8"/>
  <c r="CB169" i="8"/>
  <c r="AY629" i="8"/>
  <c r="AX624" i="8"/>
  <c r="CB159" i="8"/>
  <c r="L39" i="8"/>
  <c r="C235" i="8"/>
  <c r="C250" i="8" s="1"/>
  <c r="C265" i="8" s="1"/>
  <c r="C280" i="8" s="1"/>
  <c r="BW235" i="8"/>
  <c r="BW250" i="8" s="1"/>
  <c r="BW265" i="8" s="1"/>
  <c r="BW280" i="8" s="1"/>
  <c r="O235" i="8"/>
  <c r="O250" i="8" s="1"/>
  <c r="O265" i="8" s="1"/>
  <c r="O280" i="8" s="1"/>
  <c r="DG235" i="8"/>
  <c r="DG250" i="8" s="1"/>
  <c r="DG265" i="8" s="1"/>
  <c r="DG280" i="8" s="1"/>
  <c r="AM235" i="8"/>
  <c r="AM250" i="8" s="1"/>
  <c r="AM265" i="8" s="1"/>
  <c r="AM280" i="8" s="1"/>
  <c r="AA235" i="8"/>
  <c r="AA250" i="8" s="1"/>
  <c r="AA265" i="8" s="1"/>
  <c r="AA280" i="8" s="1"/>
  <c r="CI235" i="8"/>
  <c r="CI250" i="8" s="1"/>
  <c r="CI265" i="8" s="1"/>
  <c r="CI280" i="8" s="1"/>
  <c r="CU235" i="8"/>
  <c r="CU250" i="8" s="1"/>
  <c r="CU265" i="8" s="1"/>
  <c r="CU280" i="8" s="1"/>
  <c r="T158" i="8"/>
  <c r="BK235" i="8"/>
  <c r="BK250" i="8" s="1"/>
  <c r="BK265" i="8" s="1"/>
  <c r="BK280" i="8" s="1"/>
  <c r="AY235" i="8"/>
  <c r="AY250" i="8" s="1"/>
  <c r="AY265" i="8" s="1"/>
  <c r="AY280" i="8" s="1"/>
  <c r="CB158" i="8"/>
  <c r="CN158" i="8"/>
  <c r="DL158" i="8"/>
  <c r="H158" i="8"/>
  <c r="BD158" i="8"/>
  <c r="CZ158" i="8"/>
  <c r="AR158" i="8"/>
  <c r="AF158" i="8"/>
  <c r="BP158" i="8"/>
  <c r="CT432" i="8"/>
  <c r="CU436" i="8"/>
  <c r="CD160" i="8"/>
  <c r="DG692" i="8"/>
  <c r="DF688" i="8"/>
  <c r="C492" i="8"/>
  <c r="C507" i="8" s="1"/>
  <c r="C522" i="8" s="1"/>
  <c r="C537" i="8" s="1"/>
  <c r="BW492" i="8"/>
  <c r="BW507" i="8" s="1"/>
  <c r="BW522" i="8" s="1"/>
  <c r="BW537" i="8" s="1"/>
  <c r="AY492" i="8"/>
  <c r="AY507" i="8" s="1"/>
  <c r="AY522" i="8" s="1"/>
  <c r="AY537" i="8" s="1"/>
  <c r="BK492" i="8"/>
  <c r="BK507" i="8" s="1"/>
  <c r="BK522" i="8" s="1"/>
  <c r="BK537" i="8" s="1"/>
  <c r="CU492" i="8"/>
  <c r="CU507" i="8" s="1"/>
  <c r="CU522" i="8" s="1"/>
  <c r="CU537" i="8" s="1"/>
  <c r="CI492" i="8"/>
  <c r="CI507" i="8" s="1"/>
  <c r="CI522" i="8" s="1"/>
  <c r="CI537" i="8" s="1"/>
  <c r="O492" i="8"/>
  <c r="O507" i="8" s="1"/>
  <c r="O522" i="8" s="1"/>
  <c r="O537" i="8" s="1"/>
  <c r="AA492" i="8"/>
  <c r="AA507" i="8" s="1"/>
  <c r="AA522" i="8" s="1"/>
  <c r="AA537" i="8" s="1"/>
  <c r="AM492" i="8"/>
  <c r="AM507" i="8" s="1"/>
  <c r="AM522" i="8" s="1"/>
  <c r="AM537" i="8" s="1"/>
  <c r="DG492" i="8"/>
  <c r="DG507" i="8" s="1"/>
  <c r="DG522" i="8" s="1"/>
  <c r="DG537" i="8" s="1"/>
  <c r="N178" i="8"/>
  <c r="N163" i="8"/>
  <c r="N188" i="8" s="1"/>
  <c r="BW244" i="8"/>
  <c r="BV240" i="8"/>
  <c r="CZ159" i="8"/>
  <c r="AR160" i="8"/>
  <c r="T30" i="8"/>
  <c r="Z688" i="8"/>
  <c r="AA692" i="8"/>
  <c r="C244" i="8"/>
  <c r="B240" i="8"/>
  <c r="AF62" i="7"/>
  <c r="O745" i="8"/>
  <c r="CI745" i="8"/>
  <c r="AY745" i="8"/>
  <c r="BK745" i="8"/>
  <c r="C745" i="8"/>
  <c r="DG745" i="8"/>
  <c r="AA745" i="8"/>
  <c r="AM745" i="8"/>
  <c r="BW745" i="8"/>
  <c r="CU745" i="8"/>
  <c r="J20" i="8"/>
  <c r="J26" i="8" s="1"/>
  <c r="DN156" i="8"/>
  <c r="AH156" i="8"/>
  <c r="DB156" i="8"/>
  <c r="CD156" i="8"/>
  <c r="CP156" i="8"/>
  <c r="V156" i="8"/>
  <c r="J62" i="8"/>
  <c r="J156" i="8"/>
  <c r="AT156" i="8"/>
  <c r="BR156" i="8"/>
  <c r="BF156" i="8"/>
  <c r="CZ169" i="8"/>
  <c r="AM621" i="8"/>
  <c r="AM636" i="8" s="1"/>
  <c r="AM651" i="8" s="1"/>
  <c r="AM666" i="8" s="1"/>
  <c r="DG621" i="8"/>
  <c r="DG636" i="8" s="1"/>
  <c r="DG651" i="8" s="1"/>
  <c r="DG666" i="8" s="1"/>
  <c r="C621" i="8"/>
  <c r="C636" i="8" s="1"/>
  <c r="C651" i="8" s="1"/>
  <c r="C666" i="8" s="1"/>
  <c r="CI621" i="8"/>
  <c r="CI636" i="8" s="1"/>
  <c r="CI651" i="8" s="1"/>
  <c r="CI666" i="8" s="1"/>
  <c r="BK621" i="8"/>
  <c r="BK636" i="8" s="1"/>
  <c r="BK651" i="8" s="1"/>
  <c r="BK666" i="8" s="1"/>
  <c r="BW621" i="8"/>
  <c r="BW636" i="8" s="1"/>
  <c r="BW651" i="8" s="1"/>
  <c r="BW666" i="8" s="1"/>
  <c r="O621" i="8"/>
  <c r="O636" i="8" s="1"/>
  <c r="O651" i="8" s="1"/>
  <c r="O666" i="8" s="1"/>
  <c r="AA621" i="8"/>
  <c r="AA636" i="8" s="1"/>
  <c r="AA651" i="8" s="1"/>
  <c r="AA666" i="8" s="1"/>
  <c r="CU621" i="8"/>
  <c r="CU636" i="8" s="1"/>
  <c r="CU651" i="8" s="1"/>
  <c r="CU666" i="8" s="1"/>
  <c r="AY621" i="8"/>
  <c r="AY636" i="8" s="1"/>
  <c r="AY651" i="8" s="1"/>
  <c r="AY666" i="8" s="1"/>
  <c r="DL161" i="8"/>
  <c r="AA564" i="8"/>
  <c r="Z560" i="8"/>
  <c r="DF304" i="8"/>
  <c r="DG308" i="8"/>
  <c r="P12" i="8"/>
  <c r="Q12" i="8" s="1"/>
  <c r="AA490" i="8"/>
  <c r="AA505" i="8" s="1"/>
  <c r="AA520" i="8" s="1"/>
  <c r="AA535" i="8" s="1"/>
  <c r="CU490" i="8"/>
  <c r="CU505" i="8" s="1"/>
  <c r="CU520" i="8" s="1"/>
  <c r="CU535" i="8" s="1"/>
  <c r="AM490" i="8"/>
  <c r="AM505" i="8" s="1"/>
  <c r="AM520" i="8" s="1"/>
  <c r="AM535" i="8" s="1"/>
  <c r="AY490" i="8"/>
  <c r="AY505" i="8" s="1"/>
  <c r="AY520" i="8" s="1"/>
  <c r="AY535" i="8" s="1"/>
  <c r="DG490" i="8"/>
  <c r="DG505" i="8" s="1"/>
  <c r="DG520" i="8" s="1"/>
  <c r="DG535" i="8" s="1"/>
  <c r="C490" i="8"/>
  <c r="C505" i="8" s="1"/>
  <c r="C520" i="8" s="1"/>
  <c r="C535" i="8" s="1"/>
  <c r="BK490" i="8"/>
  <c r="BK505" i="8" s="1"/>
  <c r="BK520" i="8" s="1"/>
  <c r="BK535" i="8" s="1"/>
  <c r="O490" i="8"/>
  <c r="O505" i="8" s="1"/>
  <c r="O520" i="8" s="1"/>
  <c r="O535" i="8" s="1"/>
  <c r="BW490" i="8"/>
  <c r="BW505" i="8" s="1"/>
  <c r="BW520" i="8" s="1"/>
  <c r="BW535" i="8" s="1"/>
  <c r="CI490" i="8"/>
  <c r="CI505" i="8" s="1"/>
  <c r="CI520" i="8" s="1"/>
  <c r="CI535" i="8" s="1"/>
  <c r="L20" i="8"/>
  <c r="L26" i="8" s="1"/>
  <c r="J158" i="8"/>
  <c r="AH158" i="8"/>
  <c r="V158" i="8"/>
  <c r="DB158" i="8"/>
  <c r="BF158" i="8"/>
  <c r="L62" i="8"/>
  <c r="CP158" i="8"/>
  <c r="AT158" i="8"/>
  <c r="BR158" i="8"/>
  <c r="DN158" i="8"/>
  <c r="CD158" i="8"/>
  <c r="C683" i="8"/>
  <c r="C698" i="8" s="1"/>
  <c r="C713" i="8" s="1"/>
  <c r="C728" i="8" s="1"/>
  <c r="BW683" i="8"/>
  <c r="BW698" i="8" s="1"/>
  <c r="BW713" i="8" s="1"/>
  <c r="BW728" i="8" s="1"/>
  <c r="CI683" i="8"/>
  <c r="CI698" i="8" s="1"/>
  <c r="CI713" i="8" s="1"/>
  <c r="CI728" i="8" s="1"/>
  <c r="O683" i="8"/>
  <c r="O698" i="8" s="1"/>
  <c r="O713" i="8" s="1"/>
  <c r="O728" i="8" s="1"/>
  <c r="CU683" i="8"/>
  <c r="CU698" i="8" s="1"/>
  <c r="CU713" i="8" s="1"/>
  <c r="CU728" i="8" s="1"/>
  <c r="DG683" i="8"/>
  <c r="DG698" i="8" s="1"/>
  <c r="DG713" i="8" s="1"/>
  <c r="DG728" i="8" s="1"/>
  <c r="AA683" i="8"/>
  <c r="AA698" i="8" s="1"/>
  <c r="AA713" i="8" s="1"/>
  <c r="AA728" i="8" s="1"/>
  <c r="BK683" i="8"/>
  <c r="BK698" i="8" s="1"/>
  <c r="BK713" i="8" s="1"/>
  <c r="BK728" i="8" s="1"/>
  <c r="AY683" i="8"/>
  <c r="AY698" i="8" s="1"/>
  <c r="AY713" i="8" s="1"/>
  <c r="AY728" i="8" s="1"/>
  <c r="AM683" i="8"/>
  <c r="AM698" i="8" s="1"/>
  <c r="AM713" i="8" s="1"/>
  <c r="AM728" i="8" s="1"/>
  <c r="CU372" i="8"/>
  <c r="CT368" i="8"/>
  <c r="BV688" i="8"/>
  <c r="BW692" i="8"/>
  <c r="O629" i="8"/>
  <c r="N624" i="8"/>
  <c r="J39" i="8"/>
  <c r="AA233" i="8"/>
  <c r="AA248" i="8" s="1"/>
  <c r="AA263" i="8" s="1"/>
  <c r="AA278" i="8" s="1"/>
  <c r="CU233" i="8"/>
  <c r="CU248" i="8" s="1"/>
  <c r="CU263" i="8" s="1"/>
  <c r="CU278" i="8" s="1"/>
  <c r="BK233" i="8"/>
  <c r="BK248" i="8" s="1"/>
  <c r="BK263" i="8" s="1"/>
  <c r="BK278" i="8" s="1"/>
  <c r="AM233" i="8"/>
  <c r="AM248" i="8" s="1"/>
  <c r="AM263" i="8" s="1"/>
  <c r="AM278" i="8" s="1"/>
  <c r="DG233" i="8"/>
  <c r="DG248" i="8" s="1"/>
  <c r="DG263" i="8" s="1"/>
  <c r="DG278" i="8" s="1"/>
  <c r="BW233" i="8"/>
  <c r="BW248" i="8" s="1"/>
  <c r="BW263" i="8" s="1"/>
  <c r="BW278" i="8" s="1"/>
  <c r="CI233" i="8"/>
  <c r="CI248" i="8" s="1"/>
  <c r="CI263" i="8" s="1"/>
  <c r="CI278" i="8" s="1"/>
  <c r="C233" i="8"/>
  <c r="C248" i="8" s="1"/>
  <c r="C263" i="8" s="1"/>
  <c r="C278" i="8" s="1"/>
  <c r="O233" i="8"/>
  <c r="O248" i="8" s="1"/>
  <c r="O263" i="8" s="1"/>
  <c r="O278" i="8" s="1"/>
  <c r="AY233" i="8"/>
  <c r="AY248" i="8" s="1"/>
  <c r="AY263" i="8" s="1"/>
  <c r="AY278" i="8" s="1"/>
  <c r="BK425" i="8"/>
  <c r="BK440" i="8" s="1"/>
  <c r="BK455" i="8" s="1"/>
  <c r="BK470" i="8" s="1"/>
  <c r="CI425" i="8"/>
  <c r="CI440" i="8" s="1"/>
  <c r="CI455" i="8" s="1"/>
  <c r="CI470" i="8" s="1"/>
  <c r="C425" i="8"/>
  <c r="C440" i="8" s="1"/>
  <c r="C455" i="8" s="1"/>
  <c r="C470" i="8" s="1"/>
  <c r="CU425" i="8"/>
  <c r="CU440" i="8" s="1"/>
  <c r="CU455" i="8" s="1"/>
  <c r="CU470" i="8" s="1"/>
  <c r="DG425" i="8"/>
  <c r="DG440" i="8" s="1"/>
  <c r="DG455" i="8" s="1"/>
  <c r="DG470" i="8" s="1"/>
  <c r="O425" i="8"/>
  <c r="O440" i="8" s="1"/>
  <c r="O455" i="8" s="1"/>
  <c r="O470" i="8" s="1"/>
  <c r="AA425" i="8"/>
  <c r="AA440" i="8" s="1"/>
  <c r="AA455" i="8" s="1"/>
  <c r="AA470" i="8" s="1"/>
  <c r="AY425" i="8"/>
  <c r="AY440" i="8" s="1"/>
  <c r="AY455" i="8" s="1"/>
  <c r="AY470" i="8" s="1"/>
  <c r="AM425" i="8"/>
  <c r="AM440" i="8" s="1"/>
  <c r="AM455" i="8" s="1"/>
  <c r="AM470" i="8" s="1"/>
  <c r="BW425" i="8"/>
  <c r="BW440" i="8" s="1"/>
  <c r="BW455" i="8" s="1"/>
  <c r="BW470" i="8" s="1"/>
  <c r="DL159" i="8"/>
  <c r="N39" i="8"/>
  <c r="AY237" i="8"/>
  <c r="AY252" i="8" s="1"/>
  <c r="AY267" i="8" s="1"/>
  <c r="AY282" i="8" s="1"/>
  <c r="BK237" i="8"/>
  <c r="BK252" i="8" s="1"/>
  <c r="BK267" i="8" s="1"/>
  <c r="BK282" i="8" s="1"/>
  <c r="C237" i="8"/>
  <c r="C252" i="8" s="1"/>
  <c r="C267" i="8" s="1"/>
  <c r="C282" i="8" s="1"/>
  <c r="DG237" i="8"/>
  <c r="DG252" i="8" s="1"/>
  <c r="DG267" i="8" s="1"/>
  <c r="DG282" i="8" s="1"/>
  <c r="O237" i="8"/>
  <c r="O252" i="8" s="1"/>
  <c r="O267" i="8" s="1"/>
  <c r="O282" i="8" s="1"/>
  <c r="CU237" i="8"/>
  <c r="CU252" i="8" s="1"/>
  <c r="CU267" i="8" s="1"/>
  <c r="CU282" i="8" s="1"/>
  <c r="CI237" i="8"/>
  <c r="CI252" i="8" s="1"/>
  <c r="CI267" i="8" s="1"/>
  <c r="CI282" i="8" s="1"/>
  <c r="AA237" i="8"/>
  <c r="AA252" i="8" s="1"/>
  <c r="AA267" i="8" s="1"/>
  <c r="AA282" i="8" s="1"/>
  <c r="BW237" i="8"/>
  <c r="BW252" i="8" s="1"/>
  <c r="BW267" i="8" s="1"/>
  <c r="BW282" i="8" s="1"/>
  <c r="AM237" i="8"/>
  <c r="AM252" i="8" s="1"/>
  <c r="AM267" i="8" s="1"/>
  <c r="AM282" i="8" s="1"/>
  <c r="CN156" i="8"/>
  <c r="DL156" i="8"/>
  <c r="AY488" i="8"/>
  <c r="AY503" i="8" s="1"/>
  <c r="AY518" i="8" s="1"/>
  <c r="AY533" i="8" s="1"/>
  <c r="O488" i="8"/>
  <c r="O503" i="8" s="1"/>
  <c r="O518" i="8" s="1"/>
  <c r="O533" i="8" s="1"/>
  <c r="CU488" i="8"/>
  <c r="CU503" i="8" s="1"/>
  <c r="CU518" i="8" s="1"/>
  <c r="CU533" i="8" s="1"/>
  <c r="AA488" i="8"/>
  <c r="AA503" i="8" s="1"/>
  <c r="AA518" i="8" s="1"/>
  <c r="AA533" i="8" s="1"/>
  <c r="DG488" i="8"/>
  <c r="DG503" i="8" s="1"/>
  <c r="DG518" i="8" s="1"/>
  <c r="DG533" i="8" s="1"/>
  <c r="C488" i="8"/>
  <c r="C503" i="8" s="1"/>
  <c r="C518" i="8" s="1"/>
  <c r="C533" i="8" s="1"/>
  <c r="AM488" i="8"/>
  <c r="AM503" i="8" s="1"/>
  <c r="AM518" i="8" s="1"/>
  <c r="AM533" i="8" s="1"/>
  <c r="BK488" i="8"/>
  <c r="BK503" i="8" s="1"/>
  <c r="BK518" i="8" s="1"/>
  <c r="BK533" i="8" s="1"/>
  <c r="CI488" i="8"/>
  <c r="CI503" i="8" s="1"/>
  <c r="CI518" i="8" s="1"/>
  <c r="CI533" i="8" s="1"/>
  <c r="BW488" i="8"/>
  <c r="BW503" i="8" s="1"/>
  <c r="BW518" i="8" s="1"/>
  <c r="BW533" i="8" s="1"/>
  <c r="P33" i="8"/>
  <c r="AR161" i="8"/>
  <c r="N560" i="8"/>
  <c r="O564" i="8"/>
  <c r="AL304" i="8"/>
  <c r="AM308" i="8"/>
  <c r="AY427" i="8"/>
  <c r="AY442" i="8" s="1"/>
  <c r="AY457" i="8" s="1"/>
  <c r="AY472" i="8" s="1"/>
  <c r="AA427" i="8"/>
  <c r="AA442" i="8" s="1"/>
  <c r="AA457" i="8" s="1"/>
  <c r="AA472" i="8" s="1"/>
  <c r="AM427" i="8"/>
  <c r="AM442" i="8" s="1"/>
  <c r="AM457" i="8" s="1"/>
  <c r="AM472" i="8" s="1"/>
  <c r="C427" i="8"/>
  <c r="C442" i="8" s="1"/>
  <c r="C457" i="8" s="1"/>
  <c r="C472" i="8" s="1"/>
  <c r="DG427" i="8"/>
  <c r="DG442" i="8" s="1"/>
  <c r="DG457" i="8" s="1"/>
  <c r="DG472" i="8" s="1"/>
  <c r="O427" i="8"/>
  <c r="O442" i="8" s="1"/>
  <c r="O457" i="8" s="1"/>
  <c r="O472" i="8" s="1"/>
  <c r="BK427" i="8"/>
  <c r="BK442" i="8" s="1"/>
  <c r="BK457" i="8" s="1"/>
  <c r="BK472" i="8" s="1"/>
  <c r="BW427" i="8"/>
  <c r="BW442" i="8" s="1"/>
  <c r="BW457" i="8" s="1"/>
  <c r="BW472" i="8" s="1"/>
  <c r="CU427" i="8"/>
  <c r="CU442" i="8" s="1"/>
  <c r="CU457" i="8" s="1"/>
  <c r="CU472" i="8" s="1"/>
  <c r="CI427" i="8"/>
  <c r="CI442" i="8" s="1"/>
  <c r="CI457" i="8" s="1"/>
  <c r="CI472" i="8" s="1"/>
  <c r="N170" i="8"/>
  <c r="N195" i="8" s="1"/>
  <c r="N185" i="8"/>
  <c r="P18" i="8"/>
  <c r="Q18" i="8" s="1"/>
  <c r="T33" i="8"/>
  <c r="AY515" i="8"/>
  <c r="AX511" i="8"/>
  <c r="N432" i="8"/>
  <c r="O436" i="8"/>
  <c r="AW28" i="7"/>
  <c r="AJ62" i="7"/>
  <c r="O556" i="8"/>
  <c r="O571" i="8" s="1"/>
  <c r="O586" i="8" s="1"/>
  <c r="O601" i="8" s="1"/>
  <c r="CI556" i="8"/>
  <c r="CI571" i="8" s="1"/>
  <c r="CI586" i="8" s="1"/>
  <c r="CI601" i="8" s="1"/>
  <c r="CU556" i="8"/>
  <c r="CU571" i="8" s="1"/>
  <c r="CU586" i="8" s="1"/>
  <c r="CU601" i="8" s="1"/>
  <c r="AA556" i="8"/>
  <c r="AA571" i="8" s="1"/>
  <c r="AA586" i="8" s="1"/>
  <c r="AA601" i="8" s="1"/>
  <c r="DG556" i="8"/>
  <c r="DG571" i="8" s="1"/>
  <c r="DG586" i="8" s="1"/>
  <c r="DG601" i="8" s="1"/>
  <c r="AM556" i="8"/>
  <c r="AM571" i="8" s="1"/>
  <c r="AM586" i="8" s="1"/>
  <c r="AM601" i="8" s="1"/>
  <c r="BK556" i="8"/>
  <c r="BK571" i="8" s="1"/>
  <c r="BK586" i="8" s="1"/>
  <c r="BK601" i="8" s="1"/>
  <c r="BW556" i="8"/>
  <c r="BW571" i="8" s="1"/>
  <c r="BW586" i="8" s="1"/>
  <c r="BW601" i="8" s="1"/>
  <c r="C556" i="8"/>
  <c r="C571" i="8" s="1"/>
  <c r="C586" i="8" s="1"/>
  <c r="C601" i="8" s="1"/>
  <c r="AY556" i="8"/>
  <c r="AY571" i="8" s="1"/>
  <c r="AY586" i="8" s="1"/>
  <c r="AY601" i="8" s="1"/>
  <c r="AR169" i="8"/>
  <c r="CN160" i="8"/>
  <c r="BJ513" i="8"/>
  <c r="BJ512" i="8"/>
  <c r="AA296" i="8"/>
  <c r="AA311" i="8" s="1"/>
  <c r="AA326" i="8" s="1"/>
  <c r="AA341" i="8" s="1"/>
  <c r="CU296" i="8"/>
  <c r="CU311" i="8" s="1"/>
  <c r="CU326" i="8" s="1"/>
  <c r="CU341" i="8" s="1"/>
  <c r="DG296" i="8"/>
  <c r="DG311" i="8" s="1"/>
  <c r="DG326" i="8" s="1"/>
  <c r="DG341" i="8" s="1"/>
  <c r="BK296" i="8"/>
  <c r="BK311" i="8" s="1"/>
  <c r="BK326" i="8" s="1"/>
  <c r="BK341" i="8" s="1"/>
  <c r="AM296" i="8"/>
  <c r="AM311" i="8" s="1"/>
  <c r="AM326" i="8" s="1"/>
  <c r="AM341" i="8" s="1"/>
  <c r="AY296" i="8"/>
  <c r="AY311" i="8" s="1"/>
  <c r="AY326" i="8" s="1"/>
  <c r="AY341" i="8" s="1"/>
  <c r="O296" i="8"/>
  <c r="O311" i="8" s="1"/>
  <c r="O326" i="8" s="1"/>
  <c r="O341" i="8" s="1"/>
  <c r="C296" i="8"/>
  <c r="C311" i="8" s="1"/>
  <c r="C326" i="8" s="1"/>
  <c r="C341" i="8" s="1"/>
  <c r="BW296" i="8"/>
  <c r="BW311" i="8" s="1"/>
  <c r="BW326" i="8" s="1"/>
  <c r="BW341" i="8" s="1"/>
  <c r="CI296" i="8"/>
  <c r="CI311" i="8" s="1"/>
  <c r="CI326" i="8" s="1"/>
  <c r="CI341" i="8" s="1"/>
  <c r="T161" i="8"/>
  <c r="P30" i="8"/>
  <c r="AY362" i="8"/>
  <c r="AY377" i="8" s="1"/>
  <c r="AY392" i="8" s="1"/>
  <c r="AY407" i="8" s="1"/>
  <c r="CI362" i="8"/>
  <c r="CI377" i="8" s="1"/>
  <c r="CI392" i="8" s="1"/>
  <c r="CI407" i="8" s="1"/>
  <c r="C362" i="8"/>
  <c r="C377" i="8" s="1"/>
  <c r="C392" i="8" s="1"/>
  <c r="C407" i="8" s="1"/>
  <c r="O362" i="8"/>
  <c r="O377" i="8" s="1"/>
  <c r="O392" i="8" s="1"/>
  <c r="O407" i="8" s="1"/>
  <c r="AM362" i="8"/>
  <c r="AM377" i="8" s="1"/>
  <c r="AM392" i="8" s="1"/>
  <c r="AM407" i="8" s="1"/>
  <c r="AA362" i="8"/>
  <c r="AA377" i="8" s="1"/>
  <c r="AA392" i="8" s="1"/>
  <c r="AA407" i="8" s="1"/>
  <c r="BK362" i="8"/>
  <c r="BK377" i="8" s="1"/>
  <c r="BK392" i="8" s="1"/>
  <c r="BK407" i="8" s="1"/>
  <c r="DG362" i="8"/>
  <c r="DG377" i="8" s="1"/>
  <c r="DG392" i="8" s="1"/>
  <c r="DG407" i="8" s="1"/>
  <c r="BW362" i="8"/>
  <c r="BW377" i="8" s="1"/>
  <c r="BW392" i="8" s="1"/>
  <c r="BW407" i="8" s="1"/>
  <c r="CU362" i="8"/>
  <c r="CU377" i="8" s="1"/>
  <c r="CU392" i="8" s="1"/>
  <c r="CU407" i="8" s="1"/>
  <c r="BJ156" i="8"/>
  <c r="BV133" i="8"/>
  <c r="AL137" i="8"/>
  <c r="Z160" i="8"/>
  <c r="C238" i="8"/>
  <c r="C253" i="8" s="1"/>
  <c r="C268" i="8" s="1"/>
  <c r="C283" i="8" s="1"/>
  <c r="BW238" i="8"/>
  <c r="BW253" i="8" s="1"/>
  <c r="BW268" i="8" s="1"/>
  <c r="BW283" i="8" s="1"/>
  <c r="AM238" i="8"/>
  <c r="AM253" i="8" s="1"/>
  <c r="AM268" i="8" s="1"/>
  <c r="AM283" i="8" s="1"/>
  <c r="O238" i="8"/>
  <c r="O253" i="8" s="1"/>
  <c r="O268" i="8" s="1"/>
  <c r="O283" i="8" s="1"/>
  <c r="AA238" i="8"/>
  <c r="AA253" i="8" s="1"/>
  <c r="AA268" i="8" s="1"/>
  <c r="AA283" i="8" s="1"/>
  <c r="O39" i="8"/>
  <c r="AY238" i="8"/>
  <c r="AY253" i="8" s="1"/>
  <c r="AY268" i="8" s="1"/>
  <c r="AY283" i="8" s="1"/>
  <c r="CU238" i="8"/>
  <c r="CU253" i="8" s="1"/>
  <c r="CU268" i="8" s="1"/>
  <c r="CU283" i="8" s="1"/>
  <c r="BK238" i="8"/>
  <c r="BK253" i="8" s="1"/>
  <c r="BK268" i="8" s="1"/>
  <c r="BK283" i="8" s="1"/>
  <c r="CI238" i="8"/>
  <c r="CI253" i="8" s="1"/>
  <c r="CI268" i="8" s="1"/>
  <c r="CI283" i="8" s="1"/>
  <c r="DG238" i="8"/>
  <c r="DG253" i="8" s="1"/>
  <c r="DG268" i="8" s="1"/>
  <c r="DG283" i="8" s="1"/>
  <c r="C300" i="8"/>
  <c r="C315" i="8" s="1"/>
  <c r="C330" i="8" s="1"/>
  <c r="C345" i="8" s="1"/>
  <c r="BW300" i="8"/>
  <c r="BW315" i="8" s="1"/>
  <c r="BW330" i="8" s="1"/>
  <c r="BW345" i="8" s="1"/>
  <c r="BK300" i="8"/>
  <c r="BK315" i="8" s="1"/>
  <c r="BK330" i="8" s="1"/>
  <c r="BK345" i="8" s="1"/>
  <c r="O300" i="8"/>
  <c r="O315" i="8" s="1"/>
  <c r="O330" i="8" s="1"/>
  <c r="O345" i="8" s="1"/>
  <c r="DG300" i="8"/>
  <c r="DG315" i="8" s="1"/>
  <c r="DG330" i="8" s="1"/>
  <c r="DG345" i="8" s="1"/>
  <c r="AY300" i="8"/>
  <c r="AY315" i="8" s="1"/>
  <c r="AY330" i="8" s="1"/>
  <c r="AY345" i="8" s="1"/>
  <c r="AA300" i="8"/>
  <c r="AA315" i="8" s="1"/>
  <c r="AA330" i="8" s="1"/>
  <c r="AA345" i="8" s="1"/>
  <c r="AM300" i="8"/>
  <c r="AM315" i="8" s="1"/>
  <c r="AM330" i="8" s="1"/>
  <c r="AM345" i="8" s="1"/>
  <c r="CI300" i="8"/>
  <c r="CI315" i="8" s="1"/>
  <c r="CI330" i="8" s="1"/>
  <c r="CI345" i="8" s="1"/>
  <c r="CU300" i="8"/>
  <c r="CU315" i="8" s="1"/>
  <c r="CU330" i="8" s="1"/>
  <c r="CU345" i="8" s="1"/>
  <c r="BK629" i="8"/>
  <c r="BJ624" i="8"/>
  <c r="AF159" i="8"/>
  <c r="BV203" i="8"/>
  <c r="BJ290" i="8"/>
  <c r="K39" i="8"/>
  <c r="AY234" i="8"/>
  <c r="AY249" i="8" s="1"/>
  <c r="AY264" i="8" s="1"/>
  <c r="AY279" i="8" s="1"/>
  <c r="AA234" i="8"/>
  <c r="AA249" i="8" s="1"/>
  <c r="AA264" i="8" s="1"/>
  <c r="AA279" i="8" s="1"/>
  <c r="AM234" i="8"/>
  <c r="AM249" i="8" s="1"/>
  <c r="AM264" i="8" s="1"/>
  <c r="AM279" i="8" s="1"/>
  <c r="AR157" i="8"/>
  <c r="CU234" i="8"/>
  <c r="CU249" i="8" s="1"/>
  <c r="CU264" i="8" s="1"/>
  <c r="CU279" i="8" s="1"/>
  <c r="BD157" i="8"/>
  <c r="C234" i="8"/>
  <c r="C249" i="8" s="1"/>
  <c r="C264" i="8" s="1"/>
  <c r="C279" i="8" s="1"/>
  <c r="DG234" i="8"/>
  <c r="DG249" i="8" s="1"/>
  <c r="DG264" i="8" s="1"/>
  <c r="DG279" i="8" s="1"/>
  <c r="DL157" i="8"/>
  <c r="O234" i="8"/>
  <c r="O249" i="8" s="1"/>
  <c r="O264" i="8" s="1"/>
  <c r="O279" i="8" s="1"/>
  <c r="BK234" i="8"/>
  <c r="BK249" i="8" s="1"/>
  <c r="BK264" i="8" s="1"/>
  <c r="BK279" i="8" s="1"/>
  <c r="CI234" i="8"/>
  <c r="CI249" i="8" s="1"/>
  <c r="CI264" i="8" s="1"/>
  <c r="CI279" i="8" s="1"/>
  <c r="BP157" i="8"/>
  <c r="BW234" i="8"/>
  <c r="BW249" i="8" s="1"/>
  <c r="BW264" i="8" s="1"/>
  <c r="BW279" i="8" s="1"/>
  <c r="CN157" i="8"/>
  <c r="T157" i="8"/>
  <c r="CZ157" i="8"/>
  <c r="H157" i="8"/>
  <c r="AF157" i="8"/>
  <c r="CB157" i="8"/>
  <c r="AX166" i="8"/>
  <c r="AX191" i="8" s="1"/>
  <c r="AX181" i="8"/>
  <c r="AA372" i="8"/>
  <c r="Z368" i="8"/>
  <c r="N526" i="8"/>
  <c r="O530" i="8"/>
  <c r="N541" i="8" s="1"/>
  <c r="T22" i="8"/>
  <c r="BW658" i="8"/>
  <c r="CI430" i="8"/>
  <c r="CI445" i="8" s="1"/>
  <c r="CI460" i="8" s="1"/>
  <c r="CI475" i="8" s="1"/>
  <c r="O430" i="8"/>
  <c r="O445" i="8" s="1"/>
  <c r="O460" i="8" s="1"/>
  <c r="O475" i="8" s="1"/>
  <c r="AY430" i="8"/>
  <c r="AY445" i="8" s="1"/>
  <c r="AY460" i="8" s="1"/>
  <c r="AY475" i="8" s="1"/>
  <c r="C430" i="8"/>
  <c r="C445" i="8" s="1"/>
  <c r="C460" i="8" s="1"/>
  <c r="C475" i="8" s="1"/>
  <c r="AA430" i="8"/>
  <c r="AA445" i="8" s="1"/>
  <c r="AA460" i="8" s="1"/>
  <c r="AA475" i="8" s="1"/>
  <c r="BK430" i="8"/>
  <c r="BK445" i="8" s="1"/>
  <c r="BK460" i="8" s="1"/>
  <c r="BK475" i="8" s="1"/>
  <c r="BW430" i="8"/>
  <c r="BW445" i="8" s="1"/>
  <c r="BW460" i="8" s="1"/>
  <c r="BW475" i="8" s="1"/>
  <c r="AM430" i="8"/>
  <c r="AM445" i="8" s="1"/>
  <c r="AM460" i="8" s="1"/>
  <c r="AM475" i="8" s="1"/>
  <c r="DG430" i="8"/>
  <c r="DG445" i="8" s="1"/>
  <c r="DG460" i="8" s="1"/>
  <c r="DG475" i="8" s="1"/>
  <c r="CU430" i="8"/>
  <c r="CU445" i="8" s="1"/>
  <c r="CU460" i="8" s="1"/>
  <c r="CU475" i="8" s="1"/>
  <c r="C436" i="8"/>
  <c r="B432" i="8"/>
  <c r="W11" i="7"/>
  <c r="X11" i="7" s="1"/>
  <c r="O620" i="8"/>
  <c r="O635" i="8" s="1"/>
  <c r="O650" i="8" s="1"/>
  <c r="O665" i="8" s="1"/>
  <c r="CI620" i="8"/>
  <c r="CI635" i="8" s="1"/>
  <c r="CI650" i="8" s="1"/>
  <c r="CI665" i="8" s="1"/>
  <c r="AM620" i="8"/>
  <c r="AM635" i="8" s="1"/>
  <c r="AM650" i="8" s="1"/>
  <c r="AM665" i="8" s="1"/>
  <c r="BW620" i="8"/>
  <c r="BW635" i="8" s="1"/>
  <c r="BW650" i="8" s="1"/>
  <c r="BW665" i="8" s="1"/>
  <c r="C620" i="8"/>
  <c r="C635" i="8" s="1"/>
  <c r="C650" i="8" s="1"/>
  <c r="C665" i="8" s="1"/>
  <c r="AA620" i="8"/>
  <c r="AA635" i="8" s="1"/>
  <c r="AA650" i="8" s="1"/>
  <c r="AA665" i="8" s="1"/>
  <c r="BK620" i="8"/>
  <c r="BK635" i="8" s="1"/>
  <c r="BK650" i="8" s="1"/>
  <c r="BK665" i="8" s="1"/>
  <c r="CU620" i="8"/>
  <c r="CU635" i="8" s="1"/>
  <c r="CU650" i="8" s="1"/>
  <c r="CU665" i="8" s="1"/>
  <c r="AY620" i="8"/>
  <c r="AY635" i="8" s="1"/>
  <c r="AY650" i="8" s="1"/>
  <c r="AY665" i="8" s="1"/>
  <c r="DG620" i="8"/>
  <c r="DG635" i="8" s="1"/>
  <c r="DG650" i="8" s="1"/>
  <c r="DG665" i="8" s="1"/>
  <c r="P11" i="8"/>
  <c r="Q11" i="8" s="1"/>
  <c r="CI629" i="8"/>
  <c r="CH624" i="8"/>
  <c r="BD171" i="8"/>
  <c r="T10" i="8"/>
  <c r="Z152" i="8"/>
  <c r="AL129" i="8"/>
  <c r="N512" i="8"/>
  <c r="N513" i="8"/>
  <c r="BK558" i="8"/>
  <c r="BK573" i="8" s="1"/>
  <c r="BK588" i="8" s="1"/>
  <c r="BK603" i="8" s="1"/>
  <c r="CU558" i="8"/>
  <c r="CU573" i="8" s="1"/>
  <c r="CU588" i="8" s="1"/>
  <c r="CU603" i="8" s="1"/>
  <c r="AA558" i="8"/>
  <c r="AA573" i="8" s="1"/>
  <c r="AA588" i="8" s="1"/>
  <c r="AA603" i="8" s="1"/>
  <c r="AY558" i="8"/>
  <c r="AY573" i="8" s="1"/>
  <c r="AY588" i="8" s="1"/>
  <c r="AY603" i="8" s="1"/>
  <c r="C558" i="8"/>
  <c r="C573" i="8" s="1"/>
  <c r="C588" i="8" s="1"/>
  <c r="C603" i="8" s="1"/>
  <c r="DG558" i="8"/>
  <c r="DG573" i="8" s="1"/>
  <c r="DG588" i="8" s="1"/>
  <c r="DG603" i="8" s="1"/>
  <c r="CI558" i="8"/>
  <c r="CI573" i="8" s="1"/>
  <c r="CI588" i="8" s="1"/>
  <c r="CI603" i="8" s="1"/>
  <c r="O558" i="8"/>
  <c r="O573" i="8" s="1"/>
  <c r="O588" i="8" s="1"/>
  <c r="O603" i="8" s="1"/>
  <c r="BW558" i="8"/>
  <c r="BW573" i="8" s="1"/>
  <c r="BW588" i="8" s="1"/>
  <c r="BW603" i="8" s="1"/>
  <c r="AM558" i="8"/>
  <c r="AM573" i="8" s="1"/>
  <c r="AM588" i="8" s="1"/>
  <c r="AM603" i="8" s="1"/>
  <c r="BK750" i="8"/>
  <c r="AY750" i="8"/>
  <c r="BW750" i="8"/>
  <c r="AM750" i="8"/>
  <c r="CU750" i="8"/>
  <c r="C750" i="8"/>
  <c r="DG750" i="8"/>
  <c r="O750" i="8"/>
  <c r="AA750" i="8"/>
  <c r="CI750" i="8"/>
  <c r="BV432" i="8"/>
  <c r="BW436" i="8"/>
  <c r="N177" i="8"/>
  <c r="N162" i="8"/>
  <c r="N187" i="8" s="1"/>
  <c r="P41" i="8"/>
  <c r="P43" i="8" s="1"/>
  <c r="BV513" i="8"/>
  <c r="BV512" i="8"/>
  <c r="AY302" i="8"/>
  <c r="AY317" i="8" s="1"/>
  <c r="AY332" i="8" s="1"/>
  <c r="AY347" i="8" s="1"/>
  <c r="BK302" i="8"/>
  <c r="BK317" i="8" s="1"/>
  <c r="BK332" i="8" s="1"/>
  <c r="BK347" i="8" s="1"/>
  <c r="BW302" i="8"/>
  <c r="BW317" i="8" s="1"/>
  <c r="BW332" i="8" s="1"/>
  <c r="BW347" i="8" s="1"/>
  <c r="CI302" i="8"/>
  <c r="CI317" i="8" s="1"/>
  <c r="CI332" i="8" s="1"/>
  <c r="CI347" i="8" s="1"/>
  <c r="DG302" i="8"/>
  <c r="DG317" i="8" s="1"/>
  <c r="DG332" i="8" s="1"/>
  <c r="DG347" i="8" s="1"/>
  <c r="AA302" i="8"/>
  <c r="AA317" i="8" s="1"/>
  <c r="AA332" i="8" s="1"/>
  <c r="AA347" i="8" s="1"/>
  <c r="AM302" i="8"/>
  <c r="AM317" i="8" s="1"/>
  <c r="AM332" i="8" s="1"/>
  <c r="AM347" i="8" s="1"/>
  <c r="CU302" i="8"/>
  <c r="CU317" i="8" s="1"/>
  <c r="CU332" i="8" s="1"/>
  <c r="CU347" i="8" s="1"/>
  <c r="O302" i="8"/>
  <c r="O317" i="8" s="1"/>
  <c r="O332" i="8" s="1"/>
  <c r="O347" i="8" s="1"/>
  <c r="C302" i="8"/>
  <c r="C317" i="8" s="1"/>
  <c r="C332" i="8" s="1"/>
  <c r="C347" i="8" s="1"/>
  <c r="BK622" i="8"/>
  <c r="BK637" i="8" s="1"/>
  <c r="BK652" i="8" s="1"/>
  <c r="BK667" i="8" s="1"/>
  <c r="AY622" i="8"/>
  <c r="AY637" i="8" s="1"/>
  <c r="AY652" i="8" s="1"/>
  <c r="AY667" i="8" s="1"/>
  <c r="AA622" i="8"/>
  <c r="AA637" i="8" s="1"/>
  <c r="AA652" i="8" s="1"/>
  <c r="AA667" i="8" s="1"/>
  <c r="O622" i="8"/>
  <c r="O637" i="8" s="1"/>
  <c r="O652" i="8" s="1"/>
  <c r="O667" i="8" s="1"/>
  <c r="AM622" i="8"/>
  <c r="AM637" i="8" s="1"/>
  <c r="AM652" i="8" s="1"/>
  <c r="AM667" i="8" s="1"/>
  <c r="CU622" i="8"/>
  <c r="CU637" i="8" s="1"/>
  <c r="CU652" i="8" s="1"/>
  <c r="CU667" i="8" s="1"/>
  <c r="DG622" i="8"/>
  <c r="DG637" i="8" s="1"/>
  <c r="DG652" i="8" s="1"/>
  <c r="DG667" i="8" s="1"/>
  <c r="C622" i="8"/>
  <c r="C637" i="8" s="1"/>
  <c r="C652" i="8" s="1"/>
  <c r="C667" i="8" s="1"/>
  <c r="BW622" i="8"/>
  <c r="BW637" i="8" s="1"/>
  <c r="BW652" i="8" s="1"/>
  <c r="BW667" i="8" s="1"/>
  <c r="CI622" i="8"/>
  <c r="CI637" i="8" s="1"/>
  <c r="CI652" i="8" s="1"/>
  <c r="CI667" i="8" s="1"/>
  <c r="AM658" i="8"/>
  <c r="BK436" i="8"/>
  <c r="BJ432" i="8"/>
  <c r="AX12" i="7"/>
  <c r="N171" i="8"/>
  <c r="N196" i="8" s="1"/>
  <c r="N186" i="8"/>
  <c r="C692" i="8"/>
  <c r="B688" i="8"/>
  <c r="O748" i="8"/>
  <c r="CI748" i="8"/>
  <c r="AY748" i="8"/>
  <c r="AM748" i="8"/>
  <c r="AA748" i="8"/>
  <c r="BW748" i="8"/>
  <c r="CU748" i="8"/>
  <c r="DG748" i="8"/>
  <c r="BK748" i="8"/>
  <c r="C748" i="8"/>
  <c r="P29" i="8"/>
  <c r="CN169" i="8"/>
  <c r="C365" i="8"/>
  <c r="C380" i="8" s="1"/>
  <c r="C395" i="8" s="1"/>
  <c r="C410" i="8" s="1"/>
  <c r="CI365" i="8"/>
  <c r="CI380" i="8" s="1"/>
  <c r="CI395" i="8" s="1"/>
  <c r="CI410" i="8" s="1"/>
  <c r="CU365" i="8"/>
  <c r="CU380" i="8" s="1"/>
  <c r="CU395" i="8" s="1"/>
  <c r="CU410" i="8" s="1"/>
  <c r="O365" i="8"/>
  <c r="O380" i="8" s="1"/>
  <c r="O395" i="8" s="1"/>
  <c r="O410" i="8" s="1"/>
  <c r="DG365" i="8"/>
  <c r="DG380" i="8" s="1"/>
  <c r="DG395" i="8" s="1"/>
  <c r="DG410" i="8" s="1"/>
  <c r="AM365" i="8"/>
  <c r="AM380" i="8" s="1"/>
  <c r="AM395" i="8" s="1"/>
  <c r="AM410" i="8" s="1"/>
  <c r="AA365" i="8"/>
  <c r="AA380" i="8" s="1"/>
  <c r="AA395" i="8" s="1"/>
  <c r="AA410" i="8" s="1"/>
  <c r="AY365" i="8"/>
  <c r="AY380" i="8" s="1"/>
  <c r="AY395" i="8" s="1"/>
  <c r="AY410" i="8" s="1"/>
  <c r="BK365" i="8"/>
  <c r="BK380" i="8" s="1"/>
  <c r="BK395" i="8" s="1"/>
  <c r="BK410" i="8" s="1"/>
  <c r="BW365" i="8"/>
  <c r="BW380" i="8" s="1"/>
  <c r="BW395" i="8" s="1"/>
  <c r="BW410" i="8" s="1"/>
  <c r="CB156" i="8"/>
  <c r="CB160" i="8"/>
  <c r="CZ160" i="8"/>
  <c r="T14" i="8"/>
  <c r="C232" i="8"/>
  <c r="C247" i="8" s="1"/>
  <c r="C262" i="8" s="1"/>
  <c r="C277" i="8" s="1"/>
  <c r="BW232" i="8"/>
  <c r="BW247" i="8" s="1"/>
  <c r="BW262" i="8" s="1"/>
  <c r="BW277" i="8" s="1"/>
  <c r="CI232" i="8"/>
  <c r="CI247" i="8" s="1"/>
  <c r="CI262" i="8" s="1"/>
  <c r="CI277" i="8" s="1"/>
  <c r="DG232" i="8"/>
  <c r="DG247" i="8" s="1"/>
  <c r="DG262" i="8" s="1"/>
  <c r="DG277" i="8" s="1"/>
  <c r="AM232" i="8"/>
  <c r="AM247" i="8" s="1"/>
  <c r="AM262" i="8" s="1"/>
  <c r="AM277" i="8" s="1"/>
  <c r="AY232" i="8"/>
  <c r="AY247" i="8" s="1"/>
  <c r="AY262" i="8" s="1"/>
  <c r="AY277" i="8" s="1"/>
  <c r="O232" i="8"/>
  <c r="O247" i="8" s="1"/>
  <c r="O262" i="8" s="1"/>
  <c r="O277" i="8" s="1"/>
  <c r="AA232" i="8"/>
  <c r="AA247" i="8" s="1"/>
  <c r="AA262" i="8" s="1"/>
  <c r="AA277" i="8" s="1"/>
  <c r="BK232" i="8"/>
  <c r="BK247" i="8" s="1"/>
  <c r="BK262" i="8" s="1"/>
  <c r="BK277" i="8" s="1"/>
  <c r="CU232" i="8"/>
  <c r="CU247" i="8" s="1"/>
  <c r="CU262" i="8" s="1"/>
  <c r="CU277" i="8" s="1"/>
  <c r="DL171" i="8"/>
  <c r="BP171" i="8"/>
  <c r="DF560" i="8"/>
  <c r="DG564" i="8"/>
  <c r="N304" i="8"/>
  <c r="O308" i="8"/>
  <c r="W9" i="7"/>
  <c r="AN19" i="7"/>
  <c r="BK692" i="8"/>
  <c r="BJ688" i="8"/>
  <c r="H160" i="8"/>
  <c r="AH172" i="8"/>
  <c r="DB172" i="8"/>
  <c r="CP172" i="8"/>
  <c r="J172" i="8"/>
  <c r="BR172" i="8"/>
  <c r="V172" i="8"/>
  <c r="CD172" i="8"/>
  <c r="AT172" i="8"/>
  <c r="BF172" i="8"/>
  <c r="DN172" i="8"/>
  <c r="AL560" i="8"/>
  <c r="AM564" i="8"/>
  <c r="AM746" i="8"/>
  <c r="DG746" i="8"/>
  <c r="O746" i="8"/>
  <c r="CU746" i="8"/>
  <c r="AA746" i="8"/>
  <c r="C746" i="8"/>
  <c r="BK746" i="8"/>
  <c r="BW746" i="8"/>
  <c r="AY746" i="8"/>
  <c r="CI746" i="8"/>
  <c r="AY299" i="8"/>
  <c r="AY314" i="8" s="1"/>
  <c r="AY329" i="8" s="1"/>
  <c r="AY344" i="8" s="1"/>
  <c r="AA299" i="8"/>
  <c r="AA314" i="8" s="1"/>
  <c r="AA329" i="8" s="1"/>
  <c r="AA344" i="8" s="1"/>
  <c r="DG299" i="8"/>
  <c r="DG314" i="8" s="1"/>
  <c r="DG329" i="8" s="1"/>
  <c r="DG344" i="8" s="1"/>
  <c r="AM299" i="8"/>
  <c r="AM314" i="8" s="1"/>
  <c r="AM329" i="8" s="1"/>
  <c r="AM344" i="8" s="1"/>
  <c r="O299" i="8"/>
  <c r="O314" i="8" s="1"/>
  <c r="O329" i="8" s="1"/>
  <c r="O344" i="8" s="1"/>
  <c r="BK299" i="8"/>
  <c r="BK314" i="8" s="1"/>
  <c r="BK329" i="8" s="1"/>
  <c r="BK344" i="8" s="1"/>
  <c r="BW299" i="8"/>
  <c r="BW314" i="8" s="1"/>
  <c r="BW329" i="8" s="1"/>
  <c r="BW344" i="8" s="1"/>
  <c r="CU299" i="8"/>
  <c r="CU314" i="8" s="1"/>
  <c r="CU329" i="8" s="1"/>
  <c r="CU344" i="8" s="1"/>
  <c r="C299" i="8"/>
  <c r="C314" i="8" s="1"/>
  <c r="C329" i="8" s="1"/>
  <c r="C344" i="8" s="1"/>
  <c r="CI299" i="8"/>
  <c r="CI314" i="8" s="1"/>
  <c r="CI329" i="8" s="1"/>
  <c r="CI344" i="8" s="1"/>
  <c r="T31" i="8"/>
  <c r="Z165" i="8"/>
  <c r="Z190" i="8" s="1"/>
  <c r="Z180" i="8"/>
  <c r="N168" i="8"/>
  <c r="N193" i="8" s="1"/>
  <c r="N183" i="8"/>
  <c r="Z226" i="8"/>
  <c r="AL202" i="8"/>
  <c r="AM436" i="8"/>
  <c r="AL432" i="8"/>
  <c r="AM629" i="8"/>
  <c r="AL624" i="8"/>
  <c r="T160" i="8"/>
  <c r="CI308" i="8"/>
  <c r="CH304" i="8"/>
  <c r="BK747" i="8"/>
  <c r="BW747" i="8"/>
  <c r="C747" i="8"/>
  <c r="CI747" i="8"/>
  <c r="AA747" i="8"/>
  <c r="DG747" i="8"/>
  <c r="AM747" i="8"/>
  <c r="O747" i="8"/>
  <c r="AY747" i="8"/>
  <c r="CU747" i="8"/>
  <c r="BF160" i="8"/>
  <c r="B752" i="8"/>
  <c r="BD159" i="8"/>
  <c r="CI564" i="8"/>
  <c r="CH560" i="8"/>
  <c r="O426" i="8"/>
  <c r="O441" i="8" s="1"/>
  <c r="O456" i="8" s="1"/>
  <c r="O471" i="8" s="1"/>
  <c r="CU426" i="8"/>
  <c r="CU441" i="8" s="1"/>
  <c r="CU456" i="8" s="1"/>
  <c r="CU471" i="8" s="1"/>
  <c r="BK426" i="8"/>
  <c r="BK441" i="8" s="1"/>
  <c r="BK456" i="8" s="1"/>
  <c r="BK471" i="8" s="1"/>
  <c r="DG426" i="8"/>
  <c r="DG441" i="8" s="1"/>
  <c r="DG456" i="8" s="1"/>
  <c r="DG471" i="8" s="1"/>
  <c r="C426" i="8"/>
  <c r="C441" i="8" s="1"/>
  <c r="C456" i="8" s="1"/>
  <c r="C471" i="8" s="1"/>
  <c r="AM426" i="8"/>
  <c r="AM441" i="8" s="1"/>
  <c r="AM456" i="8" s="1"/>
  <c r="AM471" i="8" s="1"/>
  <c r="CI426" i="8"/>
  <c r="CI441" i="8" s="1"/>
  <c r="CI456" i="8" s="1"/>
  <c r="CI471" i="8" s="1"/>
  <c r="AY426" i="8"/>
  <c r="AY441" i="8" s="1"/>
  <c r="AY456" i="8" s="1"/>
  <c r="AY471" i="8" s="1"/>
  <c r="BW426" i="8"/>
  <c r="BW441" i="8" s="1"/>
  <c r="BW456" i="8" s="1"/>
  <c r="BW471" i="8" s="1"/>
  <c r="AA426" i="8"/>
  <c r="AA441" i="8" s="1"/>
  <c r="AA456" i="8" s="1"/>
  <c r="AA471" i="8" s="1"/>
  <c r="BK619" i="8"/>
  <c r="BK634" i="8" s="1"/>
  <c r="BK649" i="8" s="1"/>
  <c r="BK664" i="8" s="1"/>
  <c r="BW619" i="8"/>
  <c r="BW634" i="8" s="1"/>
  <c r="BW649" i="8" s="1"/>
  <c r="BW664" i="8" s="1"/>
  <c r="O619" i="8"/>
  <c r="O634" i="8" s="1"/>
  <c r="O649" i="8" s="1"/>
  <c r="O664" i="8" s="1"/>
  <c r="DG619" i="8"/>
  <c r="DG634" i="8" s="1"/>
  <c r="DG649" i="8" s="1"/>
  <c r="DG664" i="8" s="1"/>
  <c r="C619" i="8"/>
  <c r="C634" i="8" s="1"/>
  <c r="C649" i="8" s="1"/>
  <c r="C664" i="8" s="1"/>
  <c r="AA619" i="8"/>
  <c r="AA634" i="8" s="1"/>
  <c r="AA649" i="8" s="1"/>
  <c r="AA664" i="8" s="1"/>
  <c r="CI619" i="8"/>
  <c r="CI634" i="8" s="1"/>
  <c r="CI649" i="8" s="1"/>
  <c r="CI664" i="8" s="1"/>
  <c r="CU619" i="8"/>
  <c r="CU634" i="8" s="1"/>
  <c r="CU649" i="8" s="1"/>
  <c r="CU664" i="8" s="1"/>
  <c r="AM619" i="8"/>
  <c r="AM634" i="8" s="1"/>
  <c r="AM649" i="8" s="1"/>
  <c r="AM664" i="8" s="1"/>
  <c r="AY619" i="8"/>
  <c r="AY634" i="8" s="1"/>
  <c r="AY649" i="8" s="1"/>
  <c r="AY664" i="8" s="1"/>
  <c r="AV28" i="7"/>
  <c r="AI62" i="7"/>
  <c r="BW372" i="8"/>
  <c r="BV368" i="8"/>
  <c r="N164" i="8"/>
  <c r="N189" i="8" s="1"/>
  <c r="N179" i="8"/>
  <c r="Z169" i="8"/>
  <c r="Z194" i="8" s="1"/>
  <c r="Z184" i="8"/>
  <c r="AY692" i="8"/>
  <c r="AX688" i="8"/>
  <c r="AL208" i="8"/>
  <c r="Z610" i="8"/>
  <c r="B560" i="8"/>
  <c r="C564" i="8"/>
  <c r="BW308" i="8"/>
  <c r="BV304" i="8"/>
  <c r="AY682" i="8"/>
  <c r="AY697" i="8" s="1"/>
  <c r="AY712" i="8" s="1"/>
  <c r="AY727" i="8" s="1"/>
  <c r="AA682" i="8"/>
  <c r="AA697" i="8" s="1"/>
  <c r="AA712" i="8" s="1"/>
  <c r="AA727" i="8" s="1"/>
  <c r="DG682" i="8"/>
  <c r="DG697" i="8" s="1"/>
  <c r="DG712" i="8" s="1"/>
  <c r="DG727" i="8" s="1"/>
  <c r="AM682" i="8"/>
  <c r="AM697" i="8" s="1"/>
  <c r="AM712" i="8" s="1"/>
  <c r="AM727" i="8" s="1"/>
  <c r="CU682" i="8"/>
  <c r="CU697" i="8" s="1"/>
  <c r="CU712" i="8" s="1"/>
  <c r="CU727" i="8" s="1"/>
  <c r="C682" i="8"/>
  <c r="C697" i="8" s="1"/>
  <c r="C712" i="8" s="1"/>
  <c r="C727" i="8" s="1"/>
  <c r="O682" i="8"/>
  <c r="O697" i="8" s="1"/>
  <c r="O712" i="8" s="1"/>
  <c r="O727" i="8" s="1"/>
  <c r="BK682" i="8"/>
  <c r="BK697" i="8" s="1"/>
  <c r="BK712" i="8" s="1"/>
  <c r="BK727" i="8" s="1"/>
  <c r="BW682" i="8"/>
  <c r="BW697" i="8" s="1"/>
  <c r="BW712" i="8" s="1"/>
  <c r="BW727" i="8" s="1"/>
  <c r="CI682" i="8"/>
  <c r="CI697" i="8" s="1"/>
  <c r="CI712" i="8" s="1"/>
  <c r="CI727" i="8" s="1"/>
  <c r="AY491" i="8"/>
  <c r="AY506" i="8" s="1"/>
  <c r="AY521" i="8" s="1"/>
  <c r="AY536" i="8" s="1"/>
  <c r="C491" i="8"/>
  <c r="C506" i="8" s="1"/>
  <c r="C521" i="8" s="1"/>
  <c r="C536" i="8" s="1"/>
  <c r="CI491" i="8"/>
  <c r="CI506" i="8" s="1"/>
  <c r="CI521" i="8" s="1"/>
  <c r="CI536" i="8" s="1"/>
  <c r="O491" i="8"/>
  <c r="O506" i="8" s="1"/>
  <c r="O521" i="8" s="1"/>
  <c r="O536" i="8" s="1"/>
  <c r="CU491" i="8"/>
  <c r="CU506" i="8" s="1"/>
  <c r="CU521" i="8" s="1"/>
  <c r="CU536" i="8" s="1"/>
  <c r="DG491" i="8"/>
  <c r="DG506" i="8" s="1"/>
  <c r="DG521" i="8" s="1"/>
  <c r="DG536" i="8" s="1"/>
  <c r="BW491" i="8"/>
  <c r="BW506" i="8" s="1"/>
  <c r="BW521" i="8" s="1"/>
  <c r="BW536" i="8" s="1"/>
  <c r="BK491" i="8"/>
  <c r="BK506" i="8" s="1"/>
  <c r="BK521" i="8" s="1"/>
  <c r="BK536" i="8" s="1"/>
  <c r="AA491" i="8"/>
  <c r="AA506" i="8" s="1"/>
  <c r="AA521" i="8" s="1"/>
  <c r="AA536" i="8" s="1"/>
  <c r="AM491" i="8"/>
  <c r="AM506" i="8" s="1"/>
  <c r="AM521" i="8" s="1"/>
  <c r="AM536" i="8" s="1"/>
  <c r="AM557" i="8"/>
  <c r="AM572" i="8" s="1"/>
  <c r="AM587" i="8" s="1"/>
  <c r="AM602" i="8" s="1"/>
  <c r="DG557" i="8"/>
  <c r="DG572" i="8" s="1"/>
  <c r="DG587" i="8" s="1"/>
  <c r="DG602" i="8" s="1"/>
  <c r="BK557" i="8"/>
  <c r="BK572" i="8" s="1"/>
  <c r="BK587" i="8" s="1"/>
  <c r="BK602" i="8" s="1"/>
  <c r="AA557" i="8"/>
  <c r="AA572" i="8" s="1"/>
  <c r="AA587" i="8" s="1"/>
  <c r="AA602" i="8" s="1"/>
  <c r="CI557" i="8"/>
  <c r="CI572" i="8" s="1"/>
  <c r="CI587" i="8" s="1"/>
  <c r="CI602" i="8" s="1"/>
  <c r="CU557" i="8"/>
  <c r="CU572" i="8" s="1"/>
  <c r="CU587" i="8" s="1"/>
  <c r="CU602" i="8" s="1"/>
  <c r="BW557" i="8"/>
  <c r="BW572" i="8" s="1"/>
  <c r="BW587" i="8" s="1"/>
  <c r="BW602" i="8" s="1"/>
  <c r="AY557" i="8"/>
  <c r="AY572" i="8" s="1"/>
  <c r="AY587" i="8" s="1"/>
  <c r="AY602" i="8" s="1"/>
  <c r="C557" i="8"/>
  <c r="C572" i="8" s="1"/>
  <c r="C587" i="8" s="1"/>
  <c r="C602" i="8" s="1"/>
  <c r="O557" i="8"/>
  <c r="O572" i="8" s="1"/>
  <c r="O587" i="8" s="1"/>
  <c r="O602" i="8" s="1"/>
  <c r="N20" i="8"/>
  <c r="N26" i="8" s="1"/>
  <c r="N62" i="8"/>
  <c r="AR156" i="8"/>
  <c r="DL160" i="8"/>
  <c r="AU19" i="7"/>
  <c r="AU27" i="7" s="1"/>
  <c r="AY360" i="8"/>
  <c r="AY375" i="8" s="1"/>
  <c r="AY390" i="8" s="1"/>
  <c r="AY405" i="8" s="1"/>
  <c r="BK360" i="8"/>
  <c r="BK375" i="8" s="1"/>
  <c r="BK390" i="8" s="1"/>
  <c r="BK405" i="8" s="1"/>
  <c r="AM360" i="8"/>
  <c r="AM375" i="8" s="1"/>
  <c r="AM390" i="8" s="1"/>
  <c r="AM405" i="8" s="1"/>
  <c r="C360" i="8"/>
  <c r="C375" i="8" s="1"/>
  <c r="C390" i="8" s="1"/>
  <c r="C405" i="8" s="1"/>
  <c r="DG360" i="8"/>
  <c r="DG375" i="8" s="1"/>
  <c r="DG390" i="8" s="1"/>
  <c r="DG405" i="8" s="1"/>
  <c r="BW360" i="8"/>
  <c r="BW375" i="8" s="1"/>
  <c r="BW390" i="8" s="1"/>
  <c r="BW405" i="8" s="1"/>
  <c r="CI360" i="8"/>
  <c r="CI375" i="8" s="1"/>
  <c r="CI390" i="8" s="1"/>
  <c r="CI405" i="8" s="1"/>
  <c r="O360" i="8"/>
  <c r="O375" i="8" s="1"/>
  <c r="O390" i="8" s="1"/>
  <c r="O405" i="8" s="1"/>
  <c r="CU360" i="8"/>
  <c r="CU375" i="8" s="1"/>
  <c r="CU390" i="8" s="1"/>
  <c r="CU405" i="8" s="1"/>
  <c r="AA360" i="8"/>
  <c r="AA375" i="8" s="1"/>
  <c r="AA390" i="8" s="1"/>
  <c r="AA405" i="8" s="1"/>
  <c r="CZ161" i="8"/>
  <c r="BW564" i="8"/>
  <c r="BV560" i="8"/>
  <c r="CU308" i="8"/>
  <c r="CT304" i="8"/>
  <c r="AM618" i="8"/>
  <c r="AM633" i="8" s="1"/>
  <c r="AM648" i="8" s="1"/>
  <c r="AM663" i="8" s="1"/>
  <c r="DG618" i="8"/>
  <c r="DG633" i="8" s="1"/>
  <c r="DG648" i="8" s="1"/>
  <c r="DG663" i="8" s="1"/>
  <c r="O618" i="8"/>
  <c r="O633" i="8" s="1"/>
  <c r="O648" i="8" s="1"/>
  <c r="O663" i="8" s="1"/>
  <c r="CU618" i="8"/>
  <c r="CU633" i="8" s="1"/>
  <c r="CU648" i="8" s="1"/>
  <c r="CU663" i="8" s="1"/>
  <c r="AY618" i="8"/>
  <c r="AY633" i="8" s="1"/>
  <c r="AY648" i="8" s="1"/>
  <c r="AY663" i="8" s="1"/>
  <c r="BK618" i="8"/>
  <c r="BK633" i="8" s="1"/>
  <c r="BK648" i="8" s="1"/>
  <c r="BK663" i="8" s="1"/>
  <c r="C618" i="8"/>
  <c r="C633" i="8" s="1"/>
  <c r="C648" i="8" s="1"/>
  <c r="C663" i="8" s="1"/>
  <c r="CI618" i="8"/>
  <c r="CI633" i="8" s="1"/>
  <c r="CI648" i="8" s="1"/>
  <c r="CI663" i="8" s="1"/>
  <c r="AA618" i="8"/>
  <c r="AA633" i="8" s="1"/>
  <c r="AA648" i="8" s="1"/>
  <c r="AA663" i="8" s="1"/>
  <c r="BW618" i="8"/>
  <c r="BW633" i="8" s="1"/>
  <c r="BW648" i="8" s="1"/>
  <c r="BW663" i="8" s="1"/>
  <c r="AL182" i="8"/>
  <c r="AL167" i="8"/>
  <c r="AL192" i="8" s="1"/>
  <c r="DF368" i="8"/>
  <c r="DG372" i="8"/>
  <c r="CI530" i="8"/>
  <c r="CH541" i="8" s="1"/>
  <c r="CH526" i="8"/>
  <c r="AY658" i="8"/>
  <c r="Z528" i="8"/>
  <c r="Z527" i="8"/>
  <c r="P22" i="8"/>
  <c r="AO19" i="7"/>
  <c r="AO27" i="7" s="1"/>
  <c r="AX498" i="8"/>
  <c r="AX497" i="8"/>
  <c r="CH432" i="8"/>
  <c r="CI436" i="8"/>
  <c r="AH160" i="8"/>
  <c r="AX9" i="7"/>
  <c r="AL688" i="8"/>
  <c r="AM692" i="8"/>
  <c r="BJ240" i="8"/>
  <c r="BK244" i="8"/>
  <c r="Z354" i="8"/>
  <c r="AL204" i="8"/>
  <c r="CU629" i="8"/>
  <c r="CT624" i="8"/>
  <c r="O553" i="8"/>
  <c r="O568" i="8" s="1"/>
  <c r="O583" i="8" s="1"/>
  <c r="O598" i="8" s="1"/>
  <c r="CI553" i="8"/>
  <c r="CI568" i="8" s="1"/>
  <c r="CI583" i="8" s="1"/>
  <c r="CI598" i="8" s="1"/>
  <c r="BK553" i="8"/>
  <c r="BK568" i="8" s="1"/>
  <c r="BK583" i="8" s="1"/>
  <c r="BK598" i="8" s="1"/>
  <c r="BW553" i="8"/>
  <c r="BW568" i="8" s="1"/>
  <c r="BW583" i="8" s="1"/>
  <c r="BW598" i="8" s="1"/>
  <c r="AM553" i="8"/>
  <c r="AM568" i="8" s="1"/>
  <c r="AM583" i="8" s="1"/>
  <c r="AM598" i="8" s="1"/>
  <c r="AY553" i="8"/>
  <c r="AY568" i="8" s="1"/>
  <c r="AY583" i="8" s="1"/>
  <c r="AY598" i="8" s="1"/>
  <c r="DG553" i="8"/>
  <c r="DG568" i="8" s="1"/>
  <c r="DG583" i="8" s="1"/>
  <c r="DG598" i="8" s="1"/>
  <c r="C553" i="8"/>
  <c r="C568" i="8" s="1"/>
  <c r="C583" i="8" s="1"/>
  <c r="C598" i="8" s="1"/>
  <c r="AA553" i="8"/>
  <c r="AA568" i="8" s="1"/>
  <c r="AA583" i="8" s="1"/>
  <c r="AA598" i="8" s="1"/>
  <c r="CU553" i="8"/>
  <c r="CU568" i="8" s="1"/>
  <c r="CU583" i="8" s="1"/>
  <c r="CU598" i="8" s="1"/>
  <c r="T159" i="8"/>
  <c r="AF169" i="8"/>
  <c r="AY429" i="8"/>
  <c r="AY444" i="8" s="1"/>
  <c r="AY459" i="8" s="1"/>
  <c r="AY474" i="8" s="1"/>
  <c r="BW429" i="8"/>
  <c r="BW444" i="8" s="1"/>
  <c r="BW459" i="8" s="1"/>
  <c r="BW474" i="8" s="1"/>
  <c r="CI429" i="8"/>
  <c r="CI444" i="8" s="1"/>
  <c r="CI459" i="8" s="1"/>
  <c r="CI474" i="8" s="1"/>
  <c r="O429" i="8"/>
  <c r="O444" i="8" s="1"/>
  <c r="O459" i="8" s="1"/>
  <c r="O474" i="8" s="1"/>
  <c r="AA429" i="8"/>
  <c r="AA444" i="8" s="1"/>
  <c r="AA459" i="8" s="1"/>
  <c r="AA474" i="8" s="1"/>
  <c r="DG429" i="8"/>
  <c r="DG444" i="8" s="1"/>
  <c r="DG459" i="8" s="1"/>
  <c r="DG474" i="8" s="1"/>
  <c r="C429" i="8"/>
  <c r="C444" i="8" s="1"/>
  <c r="C459" i="8" s="1"/>
  <c r="C474" i="8" s="1"/>
  <c r="CU429" i="8"/>
  <c r="CU444" i="8" s="1"/>
  <c r="CU459" i="8" s="1"/>
  <c r="CU474" i="8" s="1"/>
  <c r="BK429" i="8"/>
  <c r="BK444" i="8" s="1"/>
  <c r="BK459" i="8" s="1"/>
  <c r="BK474" i="8" s="1"/>
  <c r="AM429" i="8"/>
  <c r="AM444" i="8" s="1"/>
  <c r="AM459" i="8" s="1"/>
  <c r="AM474" i="8" s="1"/>
  <c r="T156" i="8"/>
  <c r="AF160" i="8"/>
  <c r="BJ526" i="8"/>
  <c r="BK530" i="8"/>
  <c r="BJ541" i="8" s="1"/>
  <c r="CN171" i="8"/>
  <c r="BK564" i="8"/>
  <c r="BJ560" i="8"/>
  <c r="Z304" i="8"/>
  <c r="AA308" i="8"/>
  <c r="BK555" i="8"/>
  <c r="BK570" i="8" s="1"/>
  <c r="BK585" i="8" s="1"/>
  <c r="BK600" i="8" s="1"/>
  <c r="BW555" i="8"/>
  <c r="BW570" i="8" s="1"/>
  <c r="BW585" i="8" s="1"/>
  <c r="BW600" i="8" s="1"/>
  <c r="O555" i="8"/>
  <c r="O570" i="8" s="1"/>
  <c r="O585" i="8" s="1"/>
  <c r="O600" i="8" s="1"/>
  <c r="DG555" i="8"/>
  <c r="DG570" i="8" s="1"/>
  <c r="DG585" i="8" s="1"/>
  <c r="DG600" i="8" s="1"/>
  <c r="AM555" i="8"/>
  <c r="AM570" i="8" s="1"/>
  <c r="AM585" i="8" s="1"/>
  <c r="AM600" i="8" s="1"/>
  <c r="AY555" i="8"/>
  <c r="AY570" i="8" s="1"/>
  <c r="AY585" i="8" s="1"/>
  <c r="AY600" i="8" s="1"/>
  <c r="AA555" i="8"/>
  <c r="AA570" i="8" s="1"/>
  <c r="AA585" i="8" s="1"/>
  <c r="AA600" i="8" s="1"/>
  <c r="CI555" i="8"/>
  <c r="CI570" i="8" s="1"/>
  <c r="CI585" i="8" s="1"/>
  <c r="CI600" i="8" s="1"/>
  <c r="CU555" i="8"/>
  <c r="CU570" i="8" s="1"/>
  <c r="CU585" i="8" s="1"/>
  <c r="CU600" i="8" s="1"/>
  <c r="C555" i="8"/>
  <c r="C570" i="8" s="1"/>
  <c r="C585" i="8" s="1"/>
  <c r="C600" i="8" s="1"/>
  <c r="BJ134" i="8"/>
  <c r="AX157" i="8"/>
  <c r="AL368" i="8"/>
  <c r="AM372" i="8"/>
  <c r="F26" i="8"/>
  <c r="W17" i="7"/>
  <c r="X17" i="7" s="1"/>
  <c r="Z153" i="8"/>
  <c r="AL130" i="8"/>
  <c r="AX240" i="8"/>
  <c r="AY244" i="8"/>
  <c r="T11" i="8"/>
  <c r="AY297" i="8"/>
  <c r="AY312" i="8" s="1"/>
  <c r="AY327" i="8" s="1"/>
  <c r="AY342" i="8" s="1"/>
  <c r="AA297" i="8"/>
  <c r="AA312" i="8" s="1"/>
  <c r="AA327" i="8" s="1"/>
  <c r="AA342" i="8" s="1"/>
  <c r="DG297" i="8"/>
  <c r="DG312" i="8" s="1"/>
  <c r="DG327" i="8" s="1"/>
  <c r="DG342" i="8" s="1"/>
  <c r="AM297" i="8"/>
  <c r="AM312" i="8" s="1"/>
  <c r="AM327" i="8" s="1"/>
  <c r="AM342" i="8" s="1"/>
  <c r="CU297" i="8"/>
  <c r="CU312" i="8" s="1"/>
  <c r="CU327" i="8" s="1"/>
  <c r="CU342" i="8" s="1"/>
  <c r="CI297" i="8"/>
  <c r="CI312" i="8" s="1"/>
  <c r="CI327" i="8" s="1"/>
  <c r="CI342" i="8" s="1"/>
  <c r="BK297" i="8"/>
  <c r="BK312" i="8" s="1"/>
  <c r="BK327" i="8" s="1"/>
  <c r="BK342" i="8" s="1"/>
  <c r="BW297" i="8"/>
  <c r="BW312" i="8" s="1"/>
  <c r="BW327" i="8" s="1"/>
  <c r="BW342" i="8" s="1"/>
  <c r="C297" i="8"/>
  <c r="C312" i="8" s="1"/>
  <c r="C327" i="8" s="1"/>
  <c r="C342" i="8" s="1"/>
  <c r="O297" i="8"/>
  <c r="O312" i="8" s="1"/>
  <c r="O327" i="8" s="1"/>
  <c r="O342" i="8" s="1"/>
  <c r="N368" i="8"/>
  <c r="O372" i="8"/>
  <c r="AX368" i="8"/>
  <c r="AY372" i="8"/>
  <c r="DF210" i="8"/>
  <c r="DF738" i="8" s="1"/>
  <c r="CT738" i="8"/>
  <c r="AP19" i="7"/>
  <c r="AP27" i="7" s="1"/>
  <c r="BV526" i="8"/>
  <c r="BW530" i="8"/>
  <c r="BV541" i="8" s="1"/>
  <c r="O20" i="8"/>
  <c r="O26" i="8" s="1"/>
  <c r="V161" i="8"/>
  <c r="CD161" i="8"/>
  <c r="BF161" i="8"/>
  <c r="CP161" i="8"/>
  <c r="AT161" i="8"/>
  <c r="BR161" i="8"/>
  <c r="J161" i="8"/>
  <c r="DN161" i="8"/>
  <c r="AH161" i="8"/>
  <c r="DB161" i="8"/>
  <c r="DF543" i="8"/>
  <c r="DF542" i="8"/>
  <c r="P32" i="8"/>
  <c r="P10" i="8"/>
  <c r="BR160" i="8"/>
  <c r="W10" i="7"/>
  <c r="X10" i="7" s="1"/>
  <c r="Z161" i="8"/>
  <c r="AL138" i="8"/>
  <c r="DG244" i="8"/>
  <c r="DF240" i="8"/>
  <c r="P37" i="8"/>
  <c r="AL209" i="8"/>
  <c r="Z674" i="8"/>
  <c r="O617" i="8"/>
  <c r="O632" i="8" s="1"/>
  <c r="O647" i="8" s="1"/>
  <c r="O662" i="8" s="1"/>
  <c r="CI617" i="8"/>
  <c r="CI632" i="8" s="1"/>
  <c r="CI647" i="8" s="1"/>
  <c r="CI662" i="8" s="1"/>
  <c r="AY617" i="8"/>
  <c r="AY632" i="8" s="1"/>
  <c r="AY647" i="8" s="1"/>
  <c r="AY662" i="8" s="1"/>
  <c r="BK617" i="8"/>
  <c r="BK632" i="8" s="1"/>
  <c r="BK647" i="8" s="1"/>
  <c r="BK662" i="8" s="1"/>
  <c r="DG617" i="8"/>
  <c r="DG632" i="8" s="1"/>
  <c r="DG647" i="8" s="1"/>
  <c r="DG662" i="8" s="1"/>
  <c r="C617" i="8"/>
  <c r="C632" i="8" s="1"/>
  <c r="C647" i="8" s="1"/>
  <c r="C662" i="8" s="1"/>
  <c r="CU617" i="8"/>
  <c r="CU632" i="8" s="1"/>
  <c r="CU647" i="8" s="1"/>
  <c r="CU662" i="8" s="1"/>
  <c r="AA617" i="8"/>
  <c r="AA632" i="8" s="1"/>
  <c r="AA647" i="8" s="1"/>
  <c r="AA662" i="8" s="1"/>
  <c r="AM617" i="8"/>
  <c r="AM632" i="8" s="1"/>
  <c r="AM647" i="8" s="1"/>
  <c r="AM662" i="8" s="1"/>
  <c r="BW617" i="8"/>
  <c r="BW632" i="8" s="1"/>
  <c r="BW647" i="8" s="1"/>
  <c r="BW662" i="8" s="1"/>
  <c r="T169" i="8"/>
  <c r="AY685" i="8"/>
  <c r="AY700" i="8" s="1"/>
  <c r="AY715" i="8" s="1"/>
  <c r="AY730" i="8" s="1"/>
  <c r="O685" i="8"/>
  <c r="O700" i="8" s="1"/>
  <c r="O715" i="8" s="1"/>
  <c r="O730" i="8" s="1"/>
  <c r="CU685" i="8"/>
  <c r="CU700" i="8" s="1"/>
  <c r="CU715" i="8" s="1"/>
  <c r="CU730" i="8" s="1"/>
  <c r="AA685" i="8"/>
  <c r="AA700" i="8" s="1"/>
  <c r="AA715" i="8" s="1"/>
  <c r="AA730" i="8" s="1"/>
  <c r="DG685" i="8"/>
  <c r="DG700" i="8" s="1"/>
  <c r="DG715" i="8" s="1"/>
  <c r="DG730" i="8" s="1"/>
  <c r="CI685" i="8"/>
  <c r="CI700" i="8" s="1"/>
  <c r="CI715" i="8" s="1"/>
  <c r="CI730" i="8" s="1"/>
  <c r="C685" i="8"/>
  <c r="C700" i="8" s="1"/>
  <c r="C715" i="8" s="1"/>
  <c r="C730" i="8" s="1"/>
  <c r="BK685" i="8"/>
  <c r="BK700" i="8" s="1"/>
  <c r="BK715" i="8" s="1"/>
  <c r="BK730" i="8" s="1"/>
  <c r="AM685" i="8"/>
  <c r="AM700" i="8" s="1"/>
  <c r="AM715" i="8" s="1"/>
  <c r="AM730" i="8" s="1"/>
  <c r="BW685" i="8"/>
  <c r="BW700" i="8" s="1"/>
  <c r="BW715" i="8" s="1"/>
  <c r="BW730" i="8" s="1"/>
  <c r="AA493" i="8"/>
  <c r="AA508" i="8" s="1"/>
  <c r="AA523" i="8" s="1"/>
  <c r="AA538" i="8" s="1"/>
  <c r="CU493" i="8"/>
  <c r="CU508" i="8" s="1"/>
  <c r="CU523" i="8" s="1"/>
  <c r="CU538" i="8" s="1"/>
  <c r="CI493" i="8"/>
  <c r="CI508" i="8" s="1"/>
  <c r="CI523" i="8" s="1"/>
  <c r="CI538" i="8" s="1"/>
  <c r="O493" i="8"/>
  <c r="O508" i="8" s="1"/>
  <c r="O523" i="8" s="1"/>
  <c r="O538" i="8" s="1"/>
  <c r="BW493" i="8"/>
  <c r="BW508" i="8" s="1"/>
  <c r="BW523" i="8" s="1"/>
  <c r="BW538" i="8" s="1"/>
  <c r="DG493" i="8"/>
  <c r="DG508" i="8" s="1"/>
  <c r="DG523" i="8" s="1"/>
  <c r="DG538" i="8" s="1"/>
  <c r="AM493" i="8"/>
  <c r="AM508" i="8" s="1"/>
  <c r="AM523" i="8" s="1"/>
  <c r="AM538" i="8" s="1"/>
  <c r="BK493" i="8"/>
  <c r="BK508" i="8" s="1"/>
  <c r="BK523" i="8" s="1"/>
  <c r="BK538" i="8" s="1"/>
  <c r="AY493" i="8"/>
  <c r="AY508" i="8" s="1"/>
  <c r="AY523" i="8" s="1"/>
  <c r="AY538" i="8" s="1"/>
  <c r="C493" i="8"/>
  <c r="C508" i="8" s="1"/>
  <c r="C523" i="8" s="1"/>
  <c r="C538" i="8" s="1"/>
  <c r="BP160" i="8"/>
  <c r="BD160" i="8"/>
  <c r="BK744" i="8"/>
  <c r="C744" i="8"/>
  <c r="CI744" i="8"/>
  <c r="O744" i="8"/>
  <c r="N752" i="8" s="1"/>
  <c r="CU744" i="8"/>
  <c r="AM744" i="8"/>
  <c r="AL752" i="8" s="1"/>
  <c r="DG744" i="8"/>
  <c r="AA744" i="8"/>
  <c r="AY744" i="8"/>
  <c r="BW744" i="8"/>
  <c r="H161" i="8"/>
  <c r="CN161" i="8"/>
  <c r="AX560" i="8"/>
  <c r="AY564" i="8"/>
  <c r="BJ304" i="8"/>
  <c r="BK308" i="8"/>
  <c r="AM554" i="8"/>
  <c r="AM569" i="8" s="1"/>
  <c r="AM584" i="8" s="1"/>
  <c r="AM599" i="8" s="1"/>
  <c r="DG554" i="8"/>
  <c r="DG569" i="8" s="1"/>
  <c r="DG584" i="8" s="1"/>
  <c r="DG599" i="8" s="1"/>
  <c r="CU554" i="8"/>
  <c r="CU569" i="8" s="1"/>
  <c r="CU584" i="8" s="1"/>
  <c r="CU599" i="8" s="1"/>
  <c r="AA554" i="8"/>
  <c r="AA569" i="8" s="1"/>
  <c r="AA584" i="8" s="1"/>
  <c r="AA599" i="8" s="1"/>
  <c r="O554" i="8"/>
  <c r="O569" i="8" s="1"/>
  <c r="O584" i="8" s="1"/>
  <c r="O599" i="8" s="1"/>
  <c r="AY554" i="8"/>
  <c r="AY569" i="8" s="1"/>
  <c r="AY584" i="8" s="1"/>
  <c r="AY599" i="8" s="1"/>
  <c r="C554" i="8"/>
  <c r="C569" i="8" s="1"/>
  <c r="C584" i="8" s="1"/>
  <c r="C599" i="8" s="1"/>
  <c r="BW554" i="8"/>
  <c r="BW569" i="8" s="1"/>
  <c r="BW584" i="8" s="1"/>
  <c r="BW599" i="8" s="1"/>
  <c r="CI554" i="8"/>
  <c r="CI569" i="8" s="1"/>
  <c r="CI584" i="8" s="1"/>
  <c r="CI599" i="8" s="1"/>
  <c r="BK554" i="8"/>
  <c r="BK569" i="8" s="1"/>
  <c r="BK584" i="8" s="1"/>
  <c r="BK599" i="8" s="1"/>
  <c r="CI363" i="8"/>
  <c r="CI378" i="8" s="1"/>
  <c r="CI393" i="8" s="1"/>
  <c r="CI408" i="8" s="1"/>
  <c r="O363" i="8"/>
  <c r="O378" i="8" s="1"/>
  <c r="O393" i="8" s="1"/>
  <c r="O408" i="8" s="1"/>
  <c r="AY363" i="8"/>
  <c r="AY378" i="8" s="1"/>
  <c r="AY393" i="8" s="1"/>
  <c r="AY408" i="8" s="1"/>
  <c r="BK363" i="8"/>
  <c r="BK378" i="8" s="1"/>
  <c r="BK393" i="8" s="1"/>
  <c r="BK408" i="8" s="1"/>
  <c r="AA363" i="8"/>
  <c r="AA378" i="8" s="1"/>
  <c r="AA393" i="8" s="1"/>
  <c r="AA408" i="8" s="1"/>
  <c r="AM363" i="8"/>
  <c r="AM378" i="8" s="1"/>
  <c r="AM393" i="8" s="1"/>
  <c r="AM408" i="8" s="1"/>
  <c r="C363" i="8"/>
  <c r="C378" i="8" s="1"/>
  <c r="C393" i="8" s="1"/>
  <c r="C408" i="8" s="1"/>
  <c r="BW363" i="8"/>
  <c r="BW378" i="8" s="1"/>
  <c r="BW393" i="8" s="1"/>
  <c r="BW408" i="8" s="1"/>
  <c r="DG363" i="8"/>
  <c r="DG378" i="8" s="1"/>
  <c r="DG393" i="8" s="1"/>
  <c r="DG408" i="8" s="1"/>
  <c r="CU363" i="8"/>
  <c r="CU378" i="8" s="1"/>
  <c r="CU393" i="8" s="1"/>
  <c r="CU408" i="8" s="1"/>
  <c r="AL754" i="8" l="1"/>
  <c r="AL753" i="8"/>
  <c r="N754" i="8"/>
  <c r="N753" i="8"/>
  <c r="BJ306" i="8"/>
  <c r="BJ305" i="8"/>
  <c r="CT639" i="8"/>
  <c r="CU644" i="8"/>
  <c r="B561" i="8"/>
  <c r="B562" i="8"/>
  <c r="AL434" i="8"/>
  <c r="AL433" i="8"/>
  <c r="B689" i="8"/>
  <c r="B690" i="8"/>
  <c r="CT370" i="8"/>
  <c r="CT369" i="8"/>
  <c r="Z434" i="8"/>
  <c r="Z433" i="8"/>
  <c r="CH383" i="8"/>
  <c r="CI387" i="8"/>
  <c r="CT703" i="8"/>
  <c r="CU707" i="8"/>
  <c r="BJ383" i="8"/>
  <c r="BK387" i="8"/>
  <c r="AP28" i="7"/>
  <c r="AC62" i="7"/>
  <c r="AX204" i="8"/>
  <c r="AL354" i="8"/>
  <c r="AM451" i="8"/>
  <c r="AL447" i="8"/>
  <c r="N319" i="8"/>
  <c r="O323" i="8"/>
  <c r="B703" i="8"/>
  <c r="C707" i="8"/>
  <c r="BV447" i="8"/>
  <c r="BW451" i="8"/>
  <c r="AX129" i="8"/>
  <c r="AL152" i="8"/>
  <c r="O451" i="8"/>
  <c r="N447" i="8"/>
  <c r="N626" i="8"/>
  <c r="N625" i="8"/>
  <c r="CH242" i="8"/>
  <c r="CH241" i="8"/>
  <c r="O707" i="8"/>
  <c r="N703" i="8"/>
  <c r="B625" i="8"/>
  <c r="B626" i="8"/>
  <c r="AL184" i="8"/>
  <c r="AL169" i="8"/>
  <c r="AL194" i="8" s="1"/>
  <c r="BJ370" i="8"/>
  <c r="BJ369" i="8"/>
  <c r="CH543" i="8"/>
  <c r="CH542" i="8"/>
  <c r="AX208" i="8"/>
  <c r="AL610" i="8"/>
  <c r="BV434" i="8"/>
  <c r="BV433" i="8"/>
  <c r="Z162" i="8"/>
  <c r="Z187" i="8" s="1"/>
  <c r="Z177" i="8"/>
  <c r="BJ639" i="8"/>
  <c r="BK644" i="8"/>
  <c r="N433" i="8"/>
  <c r="N434" i="8"/>
  <c r="AA644" i="8"/>
  <c r="Z639" i="8"/>
  <c r="C644" i="8"/>
  <c r="B639" i="8"/>
  <c r="AX447" i="8"/>
  <c r="AY451" i="8"/>
  <c r="CU579" i="8"/>
  <c r="CT575" i="8"/>
  <c r="BJ255" i="8"/>
  <c r="BK259" i="8"/>
  <c r="CI451" i="8"/>
  <c r="CH447" i="8"/>
  <c r="DG579" i="8"/>
  <c r="DF575" i="8"/>
  <c r="Z185" i="8"/>
  <c r="Z170" i="8"/>
  <c r="Z195" i="8" s="1"/>
  <c r="C259" i="8"/>
  <c r="B255" i="8"/>
  <c r="DF690" i="8"/>
  <c r="DF689" i="8"/>
  <c r="Z626" i="8"/>
  <c r="Z625" i="8"/>
  <c r="AL255" i="8"/>
  <c r="AM259" i="8"/>
  <c r="AY387" i="8"/>
  <c r="AX383" i="8"/>
  <c r="BJ242" i="8"/>
  <c r="BJ241" i="8"/>
  <c r="CH433" i="8"/>
  <c r="CH434" i="8"/>
  <c r="AX690" i="8"/>
  <c r="AX689" i="8"/>
  <c r="DF561" i="8"/>
  <c r="DF562" i="8"/>
  <c r="AL160" i="8"/>
  <c r="AX137" i="8"/>
  <c r="AY530" i="8"/>
  <c r="AX541" i="8" s="1"/>
  <c r="AX526" i="8"/>
  <c r="B383" i="8"/>
  <c r="C387" i="8"/>
  <c r="AL242" i="8"/>
  <c r="AL241" i="8"/>
  <c r="AY323" i="8"/>
  <c r="AX319" i="8"/>
  <c r="AX209" i="8"/>
  <c r="AL674" i="8"/>
  <c r="AX369" i="8"/>
  <c r="AX370" i="8"/>
  <c r="AM387" i="8"/>
  <c r="AL383" i="8"/>
  <c r="AX182" i="8"/>
  <c r="AX167" i="8"/>
  <c r="AX192" i="8" s="1"/>
  <c r="CT305" i="8"/>
  <c r="CT306" i="8"/>
  <c r="AY707" i="8"/>
  <c r="AX703" i="8"/>
  <c r="CH305" i="8"/>
  <c r="CH306" i="8"/>
  <c r="AM579" i="8"/>
  <c r="AL575" i="8"/>
  <c r="BV156" i="8"/>
  <c r="CH133" i="8"/>
  <c r="CT242" i="8"/>
  <c r="CT241" i="8"/>
  <c r="CU740" i="8"/>
  <c r="DG740" i="8"/>
  <c r="C740" i="8"/>
  <c r="O740" i="8"/>
  <c r="BK740" i="8"/>
  <c r="AA740" i="8"/>
  <c r="BW740" i="8"/>
  <c r="CI740" i="8"/>
  <c r="AM740" i="8"/>
  <c r="AY740" i="8"/>
  <c r="AL370" i="8"/>
  <c r="AL369" i="8"/>
  <c r="BV134" i="8"/>
  <c r="BJ157" i="8"/>
  <c r="Z306" i="8"/>
  <c r="Z305" i="8"/>
  <c r="AM707" i="8"/>
  <c r="AL703" i="8"/>
  <c r="CT319" i="8"/>
  <c r="CU323" i="8"/>
  <c r="CI323" i="8"/>
  <c r="CH319" i="8"/>
  <c r="T41" i="8"/>
  <c r="T43" i="8" s="1"/>
  <c r="T24" i="8"/>
  <c r="BV703" i="8"/>
  <c r="BW707" i="8"/>
  <c r="Z703" i="8"/>
  <c r="AA707" i="8"/>
  <c r="CI707" i="8"/>
  <c r="CH703" i="8"/>
  <c r="AL418" i="8"/>
  <c r="AX205" i="8"/>
  <c r="DF242" i="8"/>
  <c r="DF241" i="8"/>
  <c r="N370" i="8"/>
  <c r="N369" i="8"/>
  <c r="BJ561" i="8"/>
  <c r="BJ562" i="8"/>
  <c r="AL689" i="8"/>
  <c r="AL690" i="8"/>
  <c r="BV562" i="8"/>
  <c r="BV561" i="8"/>
  <c r="BJ690" i="8"/>
  <c r="BJ689" i="8"/>
  <c r="BV690" i="8"/>
  <c r="BV689" i="8"/>
  <c r="Z690" i="8"/>
  <c r="Z689" i="8"/>
  <c r="AL158" i="8"/>
  <c r="AX135" i="8"/>
  <c r="BV575" i="8"/>
  <c r="BW579" i="8"/>
  <c r="BK707" i="8"/>
  <c r="BJ703" i="8"/>
  <c r="N527" i="8"/>
  <c r="N528" i="8"/>
  <c r="AL319" i="8"/>
  <c r="AM323" i="8"/>
  <c r="CU451" i="8"/>
  <c r="CT447" i="8"/>
  <c r="AX626" i="8"/>
  <c r="AX625" i="8"/>
  <c r="Z179" i="8"/>
  <c r="Z164" i="8"/>
  <c r="Z189" i="8" s="1"/>
  <c r="BJ543" i="8"/>
  <c r="BJ542" i="8"/>
  <c r="AU28" i="7"/>
  <c r="AH62" i="7"/>
  <c r="BV306" i="8"/>
  <c r="BV305" i="8"/>
  <c r="AN27" i="7"/>
  <c r="BJ447" i="8"/>
  <c r="BK451" i="8"/>
  <c r="Z369" i="8"/>
  <c r="Z370" i="8"/>
  <c r="AL306" i="8"/>
  <c r="AL305" i="8"/>
  <c r="CT434" i="8"/>
  <c r="CT433" i="8"/>
  <c r="AY644" i="8"/>
  <c r="AX639" i="8"/>
  <c r="DF434" i="8"/>
  <c r="DF433" i="8"/>
  <c r="X21" i="7"/>
  <c r="W24" i="7"/>
  <c r="AL154" i="8"/>
  <c r="AX131" i="8"/>
  <c r="N255" i="8"/>
  <c r="O259" i="8"/>
  <c r="Z752" i="8"/>
  <c r="BV543" i="8"/>
  <c r="BV542" i="8"/>
  <c r="AX242" i="8"/>
  <c r="AX241" i="8"/>
  <c r="BJ527" i="8"/>
  <c r="BJ528" i="8"/>
  <c r="BV319" i="8"/>
  <c r="BW323" i="8"/>
  <c r="BV370" i="8"/>
  <c r="BV369" i="8"/>
  <c r="CH561" i="8"/>
  <c r="CH562" i="8"/>
  <c r="AL626" i="8"/>
  <c r="AL625" i="8"/>
  <c r="AA387" i="8"/>
  <c r="Z383" i="8"/>
  <c r="O579" i="8"/>
  <c r="N575" i="8"/>
  <c r="DF626" i="8"/>
  <c r="DF625" i="8"/>
  <c r="DG451" i="8"/>
  <c r="DF447" i="8"/>
  <c r="N242" i="8"/>
  <c r="N241" i="8"/>
  <c r="AL165" i="8"/>
  <c r="AL190" i="8" s="1"/>
  <c r="AL180" i="8"/>
  <c r="Z171" i="8"/>
  <c r="Z196" i="8" s="1"/>
  <c r="Z186" i="8"/>
  <c r="Z163" i="8"/>
  <c r="Z188" i="8" s="1"/>
  <c r="Z178" i="8"/>
  <c r="DF305" i="8"/>
  <c r="DF306" i="8"/>
  <c r="BV242" i="8"/>
  <c r="BV241" i="8"/>
  <c r="CH255" i="8"/>
  <c r="CI259" i="8"/>
  <c r="B319" i="8"/>
  <c r="C323" i="8"/>
  <c r="AY579" i="8"/>
  <c r="AX575" i="8"/>
  <c r="CH528" i="8"/>
  <c r="CH527" i="8"/>
  <c r="B753" i="8"/>
  <c r="B754" i="8"/>
  <c r="BJ626" i="8"/>
  <c r="BJ625" i="8"/>
  <c r="CT383" i="8"/>
  <c r="CU387" i="8"/>
  <c r="Z561" i="8"/>
  <c r="Z562" i="8"/>
  <c r="BW259" i="8"/>
  <c r="BV255" i="8"/>
  <c r="AX433" i="8"/>
  <c r="AX434" i="8"/>
  <c r="CT562" i="8"/>
  <c r="CT561" i="8"/>
  <c r="AX562" i="8"/>
  <c r="AX561" i="8"/>
  <c r="AX202" i="8"/>
  <c r="AL226" i="8"/>
  <c r="N306" i="8"/>
  <c r="N305" i="8"/>
  <c r="O644" i="8"/>
  <c r="N639" i="8"/>
  <c r="AA579" i="8"/>
  <c r="Z575" i="8"/>
  <c r="B241" i="8"/>
  <c r="B242" i="8"/>
  <c r="N690" i="8"/>
  <c r="N689" i="8"/>
  <c r="BJ136" i="8"/>
  <c r="AX159" i="8"/>
  <c r="DG387" i="8"/>
  <c r="DF383" i="8"/>
  <c r="B434" i="8"/>
  <c r="B433" i="8"/>
  <c r="AX513" i="8"/>
  <c r="AX512" i="8"/>
  <c r="AX306" i="8"/>
  <c r="AX305" i="8"/>
  <c r="BV626" i="8"/>
  <c r="BV625" i="8"/>
  <c r="DF370" i="8"/>
  <c r="DF369" i="8"/>
  <c r="C451" i="8"/>
  <c r="B447" i="8"/>
  <c r="DF703" i="8"/>
  <c r="DG707" i="8"/>
  <c r="CU259" i="8"/>
  <c r="CT255" i="8"/>
  <c r="CH207" i="8"/>
  <c r="BV546" i="8"/>
  <c r="BW644" i="8"/>
  <c r="BV639" i="8"/>
  <c r="AA323" i="8"/>
  <c r="Z319" i="8"/>
  <c r="B369" i="8"/>
  <c r="B370" i="8"/>
  <c r="Z242" i="8"/>
  <c r="Z241" i="8"/>
  <c r="O387" i="8"/>
  <c r="N383" i="8"/>
  <c r="AL562" i="8"/>
  <c r="AL561" i="8"/>
  <c r="CH625" i="8"/>
  <c r="CH626" i="8"/>
  <c r="BJ166" i="8"/>
  <c r="BJ191" i="8" s="1"/>
  <c r="BJ181" i="8"/>
  <c r="Z168" i="8"/>
  <c r="Z193" i="8" s="1"/>
  <c r="Z183" i="8"/>
  <c r="Z255" i="8"/>
  <c r="AA259" i="8"/>
  <c r="Q10" i="8"/>
  <c r="AO28" i="7"/>
  <c r="AB62" i="7"/>
  <c r="CI644" i="8"/>
  <c r="CH639" i="8"/>
  <c r="N542" i="8"/>
  <c r="N543" i="8"/>
  <c r="CH690" i="8"/>
  <c r="CH689" i="8"/>
  <c r="DF255" i="8"/>
  <c r="DG259" i="8"/>
  <c r="BK579" i="8"/>
  <c r="BJ575" i="8"/>
  <c r="P24" i="8"/>
  <c r="BJ433" i="8"/>
  <c r="BJ434" i="8"/>
  <c r="AY259" i="8"/>
  <c r="AX255" i="8"/>
  <c r="BJ319" i="8"/>
  <c r="BK323" i="8"/>
  <c r="AX138" i="8"/>
  <c r="AL161" i="8"/>
  <c r="BV528" i="8"/>
  <c r="BV527" i="8"/>
  <c r="AX130" i="8"/>
  <c r="AL153" i="8"/>
  <c r="CT625" i="8"/>
  <c r="CT626" i="8"/>
  <c r="B575" i="8"/>
  <c r="C579" i="8"/>
  <c r="BV383" i="8"/>
  <c r="BW387" i="8"/>
  <c r="CH575" i="8"/>
  <c r="CI579" i="8"/>
  <c r="AM644" i="8"/>
  <c r="AL639" i="8"/>
  <c r="X9" i="7"/>
  <c r="CH203" i="8"/>
  <c r="BV290" i="8"/>
  <c r="N561" i="8"/>
  <c r="N562" i="8"/>
  <c r="DF319" i="8"/>
  <c r="DG323" i="8"/>
  <c r="DG644" i="8"/>
  <c r="DF639" i="8"/>
  <c r="Z447" i="8"/>
  <c r="AA451" i="8"/>
  <c r="B306" i="8"/>
  <c r="B305" i="8"/>
  <c r="CH370" i="8"/>
  <c r="CH369" i="8"/>
  <c r="CT690" i="8"/>
  <c r="CT689" i="8"/>
  <c r="AX155" i="8"/>
  <c r="BJ132" i="8"/>
  <c r="AX752" i="8"/>
  <c r="AX754" i="8" s="1"/>
  <c r="AM752" i="8"/>
  <c r="C752" i="8"/>
  <c r="O752" i="8"/>
  <c r="BJ155" i="8" l="1"/>
  <c r="BV132" i="8"/>
  <c r="AL163" i="8"/>
  <c r="AL188" i="8" s="1"/>
  <c r="AL178" i="8"/>
  <c r="BV270" i="8"/>
  <c r="BW274" i="8"/>
  <c r="BV285" i="8" s="1"/>
  <c r="DF448" i="8"/>
  <c r="DF449" i="8"/>
  <c r="AL705" i="8"/>
  <c r="AL704" i="8"/>
  <c r="AL398" i="8"/>
  <c r="AM402" i="8"/>
  <c r="AL413" i="8" s="1"/>
  <c r="C402" i="8"/>
  <c r="B413" i="8" s="1"/>
  <c r="B398" i="8"/>
  <c r="DF590" i="8"/>
  <c r="DG594" i="8"/>
  <c r="DF605" i="8" s="1"/>
  <c r="B640" i="8"/>
  <c r="B641" i="8"/>
  <c r="AL162" i="8"/>
  <c r="AL187" i="8" s="1"/>
  <c r="AL177" i="8"/>
  <c r="BJ204" i="8"/>
  <c r="AX354" i="8"/>
  <c r="CT640" i="8"/>
  <c r="CT641" i="8"/>
  <c r="AX180" i="8"/>
  <c r="AX165" i="8"/>
  <c r="AX190" i="8" s="1"/>
  <c r="DF641" i="8"/>
  <c r="DF640" i="8"/>
  <c r="BJ130" i="8"/>
  <c r="AX153" i="8"/>
  <c r="CT270" i="8"/>
  <c r="CU274" i="8"/>
  <c r="CT285" i="8" s="1"/>
  <c r="BJ202" i="8"/>
  <c r="AX226" i="8"/>
  <c r="AX577" i="8"/>
  <c r="AX576" i="8"/>
  <c r="DG466" i="8"/>
  <c r="DF477" i="8" s="1"/>
  <c r="DF462" i="8"/>
  <c r="BJ448" i="8"/>
  <c r="BJ449" i="8"/>
  <c r="Z718" i="8"/>
  <c r="AA722" i="8"/>
  <c r="Z733" i="8" s="1"/>
  <c r="AM722" i="8"/>
  <c r="AL733" i="8" s="1"/>
  <c r="AL718" i="8"/>
  <c r="AL576" i="8"/>
  <c r="AL577" i="8"/>
  <c r="B384" i="8"/>
  <c r="B385" i="8"/>
  <c r="C659" i="8"/>
  <c r="B669" i="8" s="1"/>
  <c r="B654" i="8"/>
  <c r="BJ129" i="8"/>
  <c r="AX152" i="8"/>
  <c r="DG659" i="8"/>
  <c r="DF669" i="8" s="1"/>
  <c r="DF654" i="8"/>
  <c r="AL640" i="8"/>
  <c r="AL641" i="8"/>
  <c r="DG722" i="8"/>
  <c r="DF733" i="8" s="1"/>
  <c r="DF718" i="8"/>
  <c r="AX590" i="8"/>
  <c r="AY594" i="8"/>
  <c r="AX605" i="8" s="1"/>
  <c r="AX640" i="8"/>
  <c r="AX641" i="8"/>
  <c r="AN28" i="7"/>
  <c r="AA62" i="7"/>
  <c r="BJ704" i="8"/>
  <c r="BJ705" i="8"/>
  <c r="Z705" i="8"/>
  <c r="Z704" i="8"/>
  <c r="AM594" i="8"/>
  <c r="AL605" i="8" s="1"/>
  <c r="AL590" i="8"/>
  <c r="Z640" i="8"/>
  <c r="Z641" i="8"/>
  <c r="N705" i="8"/>
  <c r="N704" i="8"/>
  <c r="BV462" i="8"/>
  <c r="BW466" i="8"/>
  <c r="BV477" i="8" s="1"/>
  <c r="AM659" i="8"/>
  <c r="AL669" i="8" s="1"/>
  <c r="AL654" i="8"/>
  <c r="CH641" i="8"/>
  <c r="CH640" i="8"/>
  <c r="DF704" i="8"/>
  <c r="DF705" i="8"/>
  <c r="C338" i="8"/>
  <c r="B349" i="8" s="1"/>
  <c r="B334" i="8"/>
  <c r="Z754" i="8"/>
  <c r="Z753" i="8"/>
  <c r="AY659" i="8"/>
  <c r="AX669" i="8" s="1"/>
  <c r="AX654" i="8"/>
  <c r="BJ718" i="8"/>
  <c r="BK722" i="8"/>
  <c r="BJ733" i="8" s="1"/>
  <c r="CH449" i="8"/>
  <c r="CH448" i="8"/>
  <c r="AA659" i="8"/>
  <c r="Z669" i="8" s="1"/>
  <c r="Z654" i="8"/>
  <c r="BJ208" i="8"/>
  <c r="AX610" i="8"/>
  <c r="O722" i="8"/>
  <c r="N733" i="8" s="1"/>
  <c r="N718" i="8"/>
  <c r="BV449" i="8"/>
  <c r="BV448" i="8"/>
  <c r="DG338" i="8"/>
  <c r="DF349" i="8" s="1"/>
  <c r="DF334" i="8"/>
  <c r="CI594" i="8"/>
  <c r="CH605" i="8" s="1"/>
  <c r="CH590" i="8"/>
  <c r="CI659" i="8"/>
  <c r="CH669" i="8" s="1"/>
  <c r="CH654" i="8"/>
  <c r="B449" i="8"/>
  <c r="B448" i="8"/>
  <c r="CU402" i="8"/>
  <c r="CT413" i="8" s="1"/>
  <c r="CT398" i="8"/>
  <c r="B321" i="8"/>
  <c r="B320" i="8"/>
  <c r="O274" i="8"/>
  <c r="N285" i="8" s="1"/>
  <c r="N270" i="8"/>
  <c r="BV590" i="8"/>
  <c r="BW594" i="8"/>
  <c r="BV605" i="8" s="1"/>
  <c r="BV718" i="8"/>
  <c r="BW722" i="8"/>
  <c r="BV733" i="8" s="1"/>
  <c r="BJ167" i="8"/>
  <c r="BJ192" i="8" s="1"/>
  <c r="BJ182" i="8"/>
  <c r="AX528" i="8"/>
  <c r="AX527" i="8"/>
  <c r="CI466" i="8"/>
  <c r="CH477" i="8" s="1"/>
  <c r="CH462" i="8"/>
  <c r="B718" i="8"/>
  <c r="C722" i="8"/>
  <c r="B733" i="8" s="1"/>
  <c r="BJ398" i="8"/>
  <c r="BK402" i="8"/>
  <c r="BJ413" i="8" s="1"/>
  <c r="DF321" i="8"/>
  <c r="DF320" i="8"/>
  <c r="CH576" i="8"/>
  <c r="CH577" i="8"/>
  <c r="AL171" i="8"/>
  <c r="AL196" i="8" s="1"/>
  <c r="AL186" i="8"/>
  <c r="BJ576" i="8"/>
  <c r="BJ577" i="8"/>
  <c r="Z321" i="8"/>
  <c r="Z320" i="8"/>
  <c r="B462" i="8"/>
  <c r="C466" i="8"/>
  <c r="B477" i="8" s="1"/>
  <c r="Z577" i="8"/>
  <c r="Z576" i="8"/>
  <c r="CT385" i="8"/>
  <c r="CT384" i="8"/>
  <c r="N256" i="8"/>
  <c r="N257" i="8"/>
  <c r="CT448" i="8"/>
  <c r="CT449" i="8"/>
  <c r="BV576" i="8"/>
  <c r="BV577" i="8"/>
  <c r="BV705" i="8"/>
  <c r="BV704" i="8"/>
  <c r="BV157" i="8"/>
  <c r="CH134" i="8"/>
  <c r="AX705" i="8"/>
  <c r="AX704" i="8"/>
  <c r="BJ209" i="8"/>
  <c r="AX674" i="8"/>
  <c r="AX543" i="8"/>
  <c r="AX542" i="8"/>
  <c r="AX384" i="8"/>
  <c r="AX385" i="8"/>
  <c r="B256" i="8"/>
  <c r="B257" i="8"/>
  <c r="BK274" i="8"/>
  <c r="BJ285" i="8" s="1"/>
  <c r="BJ270" i="8"/>
  <c r="B705" i="8"/>
  <c r="B704" i="8"/>
  <c r="BJ385" i="8"/>
  <c r="BJ384" i="8"/>
  <c r="BV398" i="8"/>
  <c r="BW402" i="8"/>
  <c r="BV413" i="8" s="1"/>
  <c r="BJ138" i="8"/>
  <c r="AX161" i="8"/>
  <c r="BK594" i="8"/>
  <c r="BJ605" i="8" s="1"/>
  <c r="BJ590" i="8"/>
  <c r="AA338" i="8"/>
  <c r="Z349" i="8" s="1"/>
  <c r="Z334" i="8"/>
  <c r="AA594" i="8"/>
  <c r="Z605" i="8" s="1"/>
  <c r="Z590" i="8"/>
  <c r="CH270" i="8"/>
  <c r="CI274" i="8"/>
  <c r="CH285" i="8" s="1"/>
  <c r="CT462" i="8"/>
  <c r="CU466" i="8"/>
  <c r="CT477" i="8" s="1"/>
  <c r="AX718" i="8"/>
  <c r="AY722" i="8"/>
  <c r="AX733" i="8" s="1"/>
  <c r="AX321" i="8"/>
  <c r="AX320" i="8"/>
  <c r="AX160" i="8"/>
  <c r="BJ137" i="8"/>
  <c r="AX398" i="8"/>
  <c r="AY402" i="8"/>
  <c r="AX413" i="8" s="1"/>
  <c r="B270" i="8"/>
  <c r="C274" i="8"/>
  <c r="B285" i="8" s="1"/>
  <c r="BJ257" i="8"/>
  <c r="BJ256" i="8"/>
  <c r="N334" i="8"/>
  <c r="O338" i="8"/>
  <c r="N349" i="8" s="1"/>
  <c r="CU722" i="8"/>
  <c r="CT733" i="8" s="1"/>
  <c r="CT718" i="8"/>
  <c r="BV384" i="8"/>
  <c r="BV385" i="8"/>
  <c r="BK338" i="8"/>
  <c r="BJ349" i="8" s="1"/>
  <c r="BJ334" i="8"/>
  <c r="DG274" i="8"/>
  <c r="DF285" i="8" s="1"/>
  <c r="DF270" i="8"/>
  <c r="DF385" i="8"/>
  <c r="DF384" i="8"/>
  <c r="CH257" i="8"/>
  <c r="CH256" i="8"/>
  <c r="BV334" i="8"/>
  <c r="BW338" i="8"/>
  <c r="BV349" i="8" s="1"/>
  <c r="AX154" i="8"/>
  <c r="BJ131" i="8"/>
  <c r="BJ205" i="8"/>
  <c r="AX418" i="8"/>
  <c r="AX334" i="8"/>
  <c r="AY338" i="8"/>
  <c r="AX349" i="8" s="1"/>
  <c r="AL185" i="8"/>
  <c r="AL170" i="8"/>
  <c r="AL195" i="8" s="1"/>
  <c r="CT576" i="8"/>
  <c r="CT577" i="8"/>
  <c r="BK659" i="8"/>
  <c r="BJ669" i="8" s="1"/>
  <c r="BJ654" i="8"/>
  <c r="N321" i="8"/>
  <c r="N320" i="8"/>
  <c r="CT705" i="8"/>
  <c r="CT704" i="8"/>
  <c r="B590" i="8"/>
  <c r="C594" i="8"/>
  <c r="B605" i="8" s="1"/>
  <c r="BJ321" i="8"/>
  <c r="BJ320" i="8"/>
  <c r="DF257" i="8"/>
  <c r="DF256" i="8"/>
  <c r="N385" i="8"/>
  <c r="N384" i="8"/>
  <c r="BV641" i="8"/>
  <c r="BV640" i="8"/>
  <c r="DG402" i="8"/>
  <c r="DF413" i="8" s="1"/>
  <c r="DF398" i="8"/>
  <c r="N641" i="8"/>
  <c r="N640" i="8"/>
  <c r="N576" i="8"/>
  <c r="N577" i="8"/>
  <c r="BV321" i="8"/>
  <c r="BV320" i="8"/>
  <c r="AL179" i="8"/>
  <c r="AL164" i="8"/>
  <c r="AL189" i="8" s="1"/>
  <c r="AX158" i="8"/>
  <c r="BJ135" i="8"/>
  <c r="CH320" i="8"/>
  <c r="CH321" i="8"/>
  <c r="CT590" i="8"/>
  <c r="CU594" i="8"/>
  <c r="CT605" i="8" s="1"/>
  <c r="BJ641" i="8"/>
  <c r="BJ640" i="8"/>
  <c r="CI402" i="8"/>
  <c r="CH413" i="8" s="1"/>
  <c r="CH398" i="8"/>
  <c r="AX753" i="8"/>
  <c r="CT203" i="8"/>
  <c r="CH290" i="8"/>
  <c r="B576" i="8"/>
  <c r="B577" i="8"/>
  <c r="AX257" i="8"/>
  <c r="AX256" i="8"/>
  <c r="AA274" i="8"/>
  <c r="Z285" i="8" s="1"/>
  <c r="Z270" i="8"/>
  <c r="O402" i="8"/>
  <c r="N413" i="8" s="1"/>
  <c r="N398" i="8"/>
  <c r="BW659" i="8"/>
  <c r="BV669" i="8" s="1"/>
  <c r="BV654" i="8"/>
  <c r="O659" i="8"/>
  <c r="N669" i="8" s="1"/>
  <c r="N654" i="8"/>
  <c r="N590" i="8"/>
  <c r="O594" i="8"/>
  <c r="N605" i="8" s="1"/>
  <c r="AL334" i="8"/>
  <c r="AM338" i="8"/>
  <c r="AL349" i="8" s="1"/>
  <c r="AL168" i="8"/>
  <c r="AL193" i="8" s="1"/>
  <c r="AL183" i="8"/>
  <c r="CI338" i="8"/>
  <c r="CH349" i="8" s="1"/>
  <c r="CH334" i="8"/>
  <c r="AL270" i="8"/>
  <c r="AM274" i="8"/>
  <c r="AL285" i="8" s="1"/>
  <c r="AL448" i="8"/>
  <c r="AL449" i="8"/>
  <c r="CH384" i="8"/>
  <c r="CH385" i="8"/>
  <c r="Z462" i="8"/>
  <c r="AA466" i="8"/>
  <c r="Z477" i="8" s="1"/>
  <c r="AX270" i="8"/>
  <c r="AY274" i="8"/>
  <c r="AX285" i="8" s="1"/>
  <c r="Z257" i="8"/>
  <c r="Z256" i="8"/>
  <c r="AX184" i="8"/>
  <c r="AX169" i="8"/>
  <c r="AX194" i="8" s="1"/>
  <c r="Z385" i="8"/>
  <c r="Z384" i="8"/>
  <c r="X24" i="7"/>
  <c r="AL321" i="8"/>
  <c r="AL320" i="8"/>
  <c r="CH704" i="8"/>
  <c r="CH705" i="8"/>
  <c r="CU338" i="8"/>
  <c r="CT349" i="8" s="1"/>
  <c r="CT334" i="8"/>
  <c r="CH156" i="8"/>
  <c r="CT133" i="8"/>
  <c r="AL257" i="8"/>
  <c r="AL256" i="8"/>
  <c r="AX462" i="8"/>
  <c r="AY466" i="8"/>
  <c r="AX477" i="8" s="1"/>
  <c r="N449" i="8"/>
  <c r="N448" i="8"/>
  <c r="AM466" i="8"/>
  <c r="AL477" i="8" s="1"/>
  <c r="AL462" i="8"/>
  <c r="CT256" i="8"/>
  <c r="CT257" i="8"/>
  <c r="BK466" i="8"/>
  <c r="BJ477" i="8" s="1"/>
  <c r="BJ462" i="8"/>
  <c r="Z449" i="8"/>
  <c r="Z448" i="8"/>
  <c r="CT207" i="8"/>
  <c r="CH546" i="8"/>
  <c r="BV136" i="8"/>
  <c r="BJ159" i="8"/>
  <c r="BV257" i="8"/>
  <c r="BV256" i="8"/>
  <c r="Z398" i="8"/>
  <c r="AA402" i="8"/>
  <c r="Z413" i="8" s="1"/>
  <c r="CI722" i="8"/>
  <c r="CH733" i="8" s="1"/>
  <c r="CH718" i="8"/>
  <c r="CT320" i="8"/>
  <c r="CT321" i="8"/>
  <c r="BV181" i="8"/>
  <c r="BV166" i="8"/>
  <c r="BV191" i="8" s="1"/>
  <c r="AL385" i="8"/>
  <c r="AL384" i="8"/>
  <c r="DF576" i="8"/>
  <c r="DF577" i="8"/>
  <c r="AX449" i="8"/>
  <c r="AX448" i="8"/>
  <c r="O466" i="8"/>
  <c r="N477" i="8" s="1"/>
  <c r="N462" i="8"/>
  <c r="CU659" i="8"/>
  <c r="CT669" i="8" s="1"/>
  <c r="CT654" i="8"/>
  <c r="BJ752" i="8"/>
  <c r="BJ754" i="8"/>
  <c r="BJ753" i="8"/>
  <c r="AA752" i="8"/>
  <c r="AY752" i="8"/>
  <c r="BK752" i="8"/>
  <c r="CH720" i="8" l="1"/>
  <c r="CH719" i="8"/>
  <c r="N591" i="8"/>
  <c r="N592" i="8"/>
  <c r="BV286" i="8"/>
  <c r="BV287" i="8"/>
  <c r="BV159" i="8"/>
  <c r="CH136" i="8"/>
  <c r="AL478" i="8"/>
  <c r="AL479" i="8"/>
  <c r="AX287" i="8"/>
  <c r="AX286" i="8"/>
  <c r="N336" i="8"/>
  <c r="N335" i="8"/>
  <c r="AX719" i="8"/>
  <c r="AX720" i="8"/>
  <c r="B720" i="8"/>
  <c r="B719" i="8"/>
  <c r="N287" i="8"/>
  <c r="N286" i="8"/>
  <c r="DF351" i="8"/>
  <c r="DF350" i="8"/>
  <c r="BJ720" i="8"/>
  <c r="BJ719" i="8"/>
  <c r="AL671" i="8"/>
  <c r="AL670" i="8"/>
  <c r="DF671" i="8"/>
  <c r="DF670" i="8"/>
  <c r="Z720" i="8"/>
  <c r="Z719" i="8"/>
  <c r="BV130" i="8"/>
  <c r="BJ153" i="8"/>
  <c r="Z286" i="8"/>
  <c r="Z287" i="8"/>
  <c r="CT479" i="8"/>
  <c r="CT478" i="8"/>
  <c r="BV414" i="8"/>
  <c r="BV415" i="8"/>
  <c r="CH463" i="8"/>
  <c r="CH464" i="8"/>
  <c r="AX656" i="8"/>
  <c r="AX655" i="8"/>
  <c r="BV479" i="8"/>
  <c r="BV478" i="8"/>
  <c r="AX162" i="8"/>
  <c r="AX187" i="8" s="1"/>
  <c r="AX177" i="8"/>
  <c r="DF607" i="8"/>
  <c r="DF606" i="8"/>
  <c r="CT546" i="8"/>
  <c r="DF207" i="8"/>
  <c r="DF546" i="8" s="1"/>
  <c r="Z479" i="8"/>
  <c r="Z478" i="8"/>
  <c r="AL351" i="8"/>
  <c r="AL350" i="8"/>
  <c r="CT592" i="8"/>
  <c r="CT591" i="8"/>
  <c r="BV400" i="8"/>
  <c r="BV399" i="8"/>
  <c r="AX670" i="8"/>
  <c r="AX671" i="8"/>
  <c r="BV464" i="8"/>
  <c r="BV463" i="8"/>
  <c r="BJ152" i="8"/>
  <c r="BV129" i="8"/>
  <c r="DF591" i="8"/>
  <c r="DF592" i="8"/>
  <c r="N464" i="8"/>
  <c r="N463" i="8"/>
  <c r="BJ158" i="8"/>
  <c r="BV135" i="8"/>
  <c r="BJ335" i="8"/>
  <c r="BJ336" i="8"/>
  <c r="AX415" i="8"/>
  <c r="AX414" i="8"/>
  <c r="Z592" i="8"/>
  <c r="Z591" i="8"/>
  <c r="B335" i="8"/>
  <c r="B336" i="8"/>
  <c r="AX606" i="8"/>
  <c r="AX607" i="8"/>
  <c r="AL415" i="8"/>
  <c r="AL414" i="8"/>
  <c r="N479" i="8"/>
  <c r="N478" i="8"/>
  <c r="CH735" i="8"/>
  <c r="CH734" i="8"/>
  <c r="N656" i="8"/>
  <c r="N655" i="8"/>
  <c r="AX168" i="8"/>
  <c r="AX193" i="8" s="1"/>
  <c r="AX183" i="8"/>
  <c r="BV205" i="8"/>
  <c r="BJ418" i="8"/>
  <c r="BJ350" i="8"/>
  <c r="BJ351" i="8"/>
  <c r="AX400" i="8"/>
  <c r="AX399" i="8"/>
  <c r="Z606" i="8"/>
  <c r="Z607" i="8"/>
  <c r="BV208" i="8"/>
  <c r="BJ610" i="8"/>
  <c r="B350" i="8"/>
  <c r="B351" i="8"/>
  <c r="AX591" i="8"/>
  <c r="AX592" i="8"/>
  <c r="AL400" i="8"/>
  <c r="AL399" i="8"/>
  <c r="Z414" i="8"/>
  <c r="Z415" i="8"/>
  <c r="BJ464" i="8"/>
  <c r="BJ463" i="8"/>
  <c r="CT156" i="8"/>
  <c r="DF133" i="8"/>
  <c r="DF156" i="8" s="1"/>
  <c r="N671" i="8"/>
  <c r="N670" i="8"/>
  <c r="CT290" i="8"/>
  <c r="DF203" i="8"/>
  <c r="DF290" i="8" s="1"/>
  <c r="BV131" i="8"/>
  <c r="BJ154" i="8"/>
  <c r="BV137" i="8"/>
  <c r="BJ160" i="8"/>
  <c r="Z336" i="8"/>
  <c r="Z335" i="8"/>
  <c r="BJ272" i="8"/>
  <c r="BJ271" i="8"/>
  <c r="CT134" i="8"/>
  <c r="CH157" i="8"/>
  <c r="BV735" i="8"/>
  <c r="BV734" i="8"/>
  <c r="CH656" i="8"/>
  <c r="CH655" i="8"/>
  <c r="Z656" i="8"/>
  <c r="Z655" i="8"/>
  <c r="AL592" i="8"/>
  <c r="AL591" i="8"/>
  <c r="DF719" i="8"/>
  <c r="DF720" i="8"/>
  <c r="Z399" i="8"/>
  <c r="Z400" i="8"/>
  <c r="BJ478" i="8"/>
  <c r="BJ479" i="8"/>
  <c r="CH166" i="8"/>
  <c r="CH191" i="8" s="1"/>
  <c r="CH181" i="8"/>
  <c r="AL287" i="8"/>
  <c r="AL286" i="8"/>
  <c r="BV655" i="8"/>
  <c r="BV656" i="8"/>
  <c r="AX164" i="8"/>
  <c r="AX189" i="8" s="1"/>
  <c r="AX179" i="8"/>
  <c r="AX185" i="8"/>
  <c r="AX170" i="8"/>
  <c r="AX195" i="8" s="1"/>
  <c r="Z351" i="8"/>
  <c r="Z350" i="8"/>
  <c r="BJ287" i="8"/>
  <c r="BJ286" i="8"/>
  <c r="BV167" i="8"/>
  <c r="BV192" i="8" s="1"/>
  <c r="BV182" i="8"/>
  <c r="BV720" i="8"/>
  <c r="BV719" i="8"/>
  <c r="CH671" i="8"/>
  <c r="CH670" i="8"/>
  <c r="Z671" i="8"/>
  <c r="Z670" i="8"/>
  <c r="AL606" i="8"/>
  <c r="AL607" i="8"/>
  <c r="DF735" i="8"/>
  <c r="DF734" i="8"/>
  <c r="BV202" i="8"/>
  <c r="BJ226" i="8"/>
  <c r="BV204" i="8"/>
  <c r="BJ354" i="8"/>
  <c r="CT335" i="8"/>
  <c r="CT336" i="8"/>
  <c r="AL272" i="8"/>
  <c r="AL271" i="8"/>
  <c r="BV671" i="8"/>
  <c r="BV670" i="8"/>
  <c r="CH399" i="8"/>
  <c r="CH400" i="8"/>
  <c r="BJ656" i="8"/>
  <c r="BJ655" i="8"/>
  <c r="BV351" i="8"/>
  <c r="BV350" i="8"/>
  <c r="CT720" i="8"/>
  <c r="CT719" i="8"/>
  <c r="BJ591" i="8"/>
  <c r="BJ592" i="8"/>
  <c r="B479" i="8"/>
  <c r="B478" i="8"/>
  <c r="BJ415" i="8"/>
  <c r="BJ414" i="8"/>
  <c r="BV607" i="8"/>
  <c r="BV606" i="8"/>
  <c r="CH591" i="8"/>
  <c r="CH592" i="8"/>
  <c r="AL720" i="8"/>
  <c r="AL719" i="8"/>
  <c r="CT287" i="8"/>
  <c r="CT286" i="8"/>
  <c r="CT350" i="8"/>
  <c r="CT351" i="8"/>
  <c r="CH336" i="8"/>
  <c r="CH335" i="8"/>
  <c r="N400" i="8"/>
  <c r="N399" i="8"/>
  <c r="CH414" i="8"/>
  <c r="CH415" i="8"/>
  <c r="BJ671" i="8"/>
  <c r="BJ670" i="8"/>
  <c r="BV336" i="8"/>
  <c r="BV335" i="8"/>
  <c r="CT735" i="8"/>
  <c r="CT734" i="8"/>
  <c r="BJ607" i="8"/>
  <c r="BJ606" i="8"/>
  <c r="B464" i="8"/>
  <c r="B463" i="8"/>
  <c r="BJ400" i="8"/>
  <c r="BJ399" i="8"/>
  <c r="BV592" i="8"/>
  <c r="BV591" i="8"/>
  <c r="CH606" i="8"/>
  <c r="CH607" i="8"/>
  <c r="AL734" i="8"/>
  <c r="AL735" i="8"/>
  <c r="CT272" i="8"/>
  <c r="CT271" i="8"/>
  <c r="BJ184" i="8"/>
  <c r="BJ169" i="8"/>
  <c r="BJ194" i="8" s="1"/>
  <c r="AL464" i="8"/>
  <c r="AL463" i="8"/>
  <c r="CH351" i="8"/>
  <c r="CH350" i="8"/>
  <c r="N415" i="8"/>
  <c r="N414" i="8"/>
  <c r="AX735" i="8"/>
  <c r="AX734" i="8"/>
  <c r="AX186" i="8"/>
  <c r="AX171" i="8"/>
  <c r="AX196" i="8" s="1"/>
  <c r="B735" i="8"/>
  <c r="B734" i="8"/>
  <c r="BJ735" i="8"/>
  <c r="BJ734" i="8"/>
  <c r="AL656" i="8"/>
  <c r="AL655" i="8"/>
  <c r="DF656" i="8"/>
  <c r="DF655" i="8"/>
  <c r="CT464" i="8"/>
  <c r="CT463" i="8"/>
  <c r="CH479" i="8"/>
  <c r="CH478" i="8"/>
  <c r="CT655" i="8"/>
  <c r="CT656" i="8"/>
  <c r="AX479" i="8"/>
  <c r="AX478" i="8"/>
  <c r="Z464" i="8"/>
  <c r="Z463" i="8"/>
  <c r="AL336" i="8"/>
  <c r="AL335" i="8"/>
  <c r="DF400" i="8"/>
  <c r="DF399" i="8"/>
  <c r="B606" i="8"/>
  <c r="B607" i="8"/>
  <c r="AX350" i="8"/>
  <c r="AX351" i="8"/>
  <c r="DF271" i="8"/>
  <c r="DF272" i="8"/>
  <c r="B287" i="8"/>
  <c r="B286" i="8"/>
  <c r="CH287" i="8"/>
  <c r="CH286" i="8"/>
  <c r="CT399" i="8"/>
  <c r="CT400" i="8"/>
  <c r="N719" i="8"/>
  <c r="N720" i="8"/>
  <c r="B655" i="8"/>
  <c r="B656" i="8"/>
  <c r="DF464" i="8"/>
  <c r="DF463" i="8"/>
  <c r="B399" i="8"/>
  <c r="B400" i="8"/>
  <c r="BV155" i="8"/>
  <c r="CH132" i="8"/>
  <c r="N350" i="8"/>
  <c r="N351" i="8"/>
  <c r="N272" i="8"/>
  <c r="N271" i="8"/>
  <c r="DF336" i="8"/>
  <c r="DF335" i="8"/>
  <c r="Z734" i="8"/>
  <c r="Z735" i="8"/>
  <c r="AX163" i="8"/>
  <c r="AX188" i="8" s="1"/>
  <c r="AX178" i="8"/>
  <c r="Z271" i="8"/>
  <c r="Z272" i="8"/>
  <c r="BV138" i="8"/>
  <c r="BJ161" i="8"/>
  <c r="BV271" i="8"/>
  <c r="BV272" i="8"/>
  <c r="AX272" i="8"/>
  <c r="AX271" i="8"/>
  <c r="CT606" i="8"/>
  <c r="CT607" i="8"/>
  <c r="CT671" i="8"/>
  <c r="CT670" i="8"/>
  <c r="AX464" i="8"/>
  <c r="AX463" i="8"/>
  <c r="N607" i="8"/>
  <c r="N606" i="8"/>
  <c r="DF415" i="8"/>
  <c r="DF414" i="8"/>
  <c r="B592" i="8"/>
  <c r="B591" i="8"/>
  <c r="AX335" i="8"/>
  <c r="AX336" i="8"/>
  <c r="DF287" i="8"/>
  <c r="DF286" i="8"/>
  <c r="B272" i="8"/>
  <c r="B271" i="8"/>
  <c r="CH272" i="8"/>
  <c r="CH271" i="8"/>
  <c r="BV209" i="8"/>
  <c r="BJ674" i="8"/>
  <c r="CT415" i="8"/>
  <c r="CT414" i="8"/>
  <c r="N735" i="8"/>
  <c r="N734" i="8"/>
  <c r="B671" i="8"/>
  <c r="B670" i="8"/>
  <c r="DF479" i="8"/>
  <c r="DF478" i="8"/>
  <c r="B415" i="8"/>
  <c r="B414" i="8"/>
  <c r="BJ180" i="8"/>
  <c r="BJ165" i="8"/>
  <c r="BJ190" i="8" s="1"/>
  <c r="BV752" i="8"/>
  <c r="BV754" i="8" s="1"/>
  <c r="BJ179" i="8" l="1"/>
  <c r="BJ164" i="8"/>
  <c r="BJ189" i="8" s="1"/>
  <c r="BJ171" i="8"/>
  <c r="BJ196" i="8" s="1"/>
  <c r="BJ186" i="8"/>
  <c r="CT132" i="8"/>
  <c r="CH155" i="8"/>
  <c r="CT136" i="8"/>
  <c r="CH159" i="8"/>
  <c r="CT157" i="8"/>
  <c r="DF134" i="8"/>
  <c r="DF157" i="8" s="1"/>
  <c r="BV169" i="8"/>
  <c r="BV194" i="8" s="1"/>
  <c r="BV184" i="8"/>
  <c r="CH208" i="8"/>
  <c r="BV610" i="8"/>
  <c r="BV753" i="8"/>
  <c r="CH204" i="8"/>
  <c r="BV354" i="8"/>
  <c r="CH131" i="8"/>
  <c r="BV154" i="8"/>
  <c r="BJ168" i="8"/>
  <c r="BJ193" i="8" s="1"/>
  <c r="BJ183" i="8"/>
  <c r="BV161" i="8"/>
  <c r="CH138" i="8"/>
  <c r="CH182" i="8"/>
  <c r="CH167" i="8"/>
  <c r="CH192" i="8" s="1"/>
  <c r="DF166" i="8"/>
  <c r="DF191" i="8" s="1"/>
  <c r="DF181" i="8"/>
  <c r="CT166" i="8"/>
  <c r="CT191" i="8" s="1"/>
  <c r="CT181" i="8"/>
  <c r="BJ162" i="8"/>
  <c r="BJ187" i="8" s="1"/>
  <c r="BJ177" i="8"/>
  <c r="BJ170" i="8"/>
  <c r="BJ195" i="8" s="1"/>
  <c r="BJ185" i="8"/>
  <c r="CH135" i="8"/>
  <c r="BV158" i="8"/>
  <c r="CH209" i="8"/>
  <c r="BV674" i="8"/>
  <c r="CH205" i="8"/>
  <c r="BV418" i="8"/>
  <c r="BJ163" i="8"/>
  <c r="BJ188" i="8" s="1"/>
  <c r="BJ178" i="8"/>
  <c r="BV165" i="8"/>
  <c r="BV190" i="8" s="1"/>
  <c r="BV180" i="8"/>
  <c r="BV153" i="8"/>
  <c r="CH130" i="8"/>
  <c r="CH129" i="8"/>
  <c r="BV152" i="8"/>
  <c r="BV226" i="8"/>
  <c r="CH202" i="8"/>
  <c r="BV160" i="8"/>
  <c r="CH137" i="8"/>
  <c r="CH752" i="8"/>
  <c r="CH754" i="8"/>
  <c r="CH753" i="8"/>
  <c r="BW752" i="8"/>
  <c r="CI752" i="8"/>
  <c r="CT138" i="8" l="1"/>
  <c r="CH161" i="8"/>
  <c r="BV171" i="8"/>
  <c r="BV196" i="8" s="1"/>
  <c r="BV186" i="8"/>
  <c r="CH180" i="8"/>
  <c r="CH165" i="8"/>
  <c r="CH190" i="8" s="1"/>
  <c r="CT209" i="8"/>
  <c r="CH674" i="8"/>
  <c r="BV162" i="8"/>
  <c r="BV187" i="8" s="1"/>
  <c r="BV177" i="8"/>
  <c r="CT135" i="8"/>
  <c r="CH158" i="8"/>
  <c r="DF167" i="8"/>
  <c r="DF192" i="8" s="1"/>
  <c r="DF182" i="8"/>
  <c r="CH153" i="8"/>
  <c r="CT130" i="8"/>
  <c r="CT182" i="8"/>
  <c r="CT167" i="8"/>
  <c r="CT192" i="8" s="1"/>
  <c r="BV163" i="8"/>
  <c r="BV188" i="8" s="1"/>
  <c r="BV178" i="8"/>
  <c r="CH169" i="8"/>
  <c r="CH194" i="8" s="1"/>
  <c r="CH184" i="8"/>
  <c r="BV164" i="8"/>
  <c r="BV189" i="8" s="1"/>
  <c r="BV179" i="8"/>
  <c r="CT159" i="8"/>
  <c r="DF136" i="8"/>
  <c r="DF159" i="8" s="1"/>
  <c r="CT131" i="8"/>
  <c r="CH154" i="8"/>
  <c r="DF132" i="8"/>
  <c r="DF155" i="8" s="1"/>
  <c r="CT155" i="8"/>
  <c r="CT204" i="8"/>
  <c r="CH354" i="8"/>
  <c r="BV170" i="8"/>
  <c r="BV195" i="8" s="1"/>
  <c r="BV185" i="8"/>
  <c r="CT205" i="8"/>
  <c r="CH418" i="8"/>
  <c r="BV168" i="8"/>
  <c r="BV193" i="8" s="1"/>
  <c r="BV183" i="8"/>
  <c r="CH152" i="8"/>
  <c r="CT129" i="8"/>
  <c r="CT137" i="8"/>
  <c r="CH160" i="8"/>
  <c r="CT202" i="8"/>
  <c r="CH226" i="8"/>
  <c r="CT208" i="8"/>
  <c r="CH610" i="8"/>
  <c r="CT752" i="8"/>
  <c r="CT754" i="8"/>
  <c r="CT753" i="8"/>
  <c r="CU752" i="8"/>
  <c r="CT169" i="8" l="1"/>
  <c r="CT194" i="8" s="1"/>
  <c r="CT184" i="8"/>
  <c r="DF138" i="8"/>
  <c r="DF161" i="8" s="1"/>
  <c r="CT161" i="8"/>
  <c r="CH183" i="8"/>
  <c r="CH168" i="8"/>
  <c r="CH193" i="8" s="1"/>
  <c r="DF202" i="8"/>
  <c r="DF226" i="8" s="1"/>
  <c r="CT226" i="8"/>
  <c r="CT354" i="8"/>
  <c r="DF204" i="8"/>
  <c r="DF354" i="8" s="1"/>
  <c r="DF209" i="8"/>
  <c r="DF674" i="8" s="1"/>
  <c r="CT674" i="8"/>
  <c r="CH170" i="8"/>
  <c r="CH195" i="8" s="1"/>
  <c r="CH185" i="8"/>
  <c r="CT180" i="8"/>
  <c r="CT165" i="8"/>
  <c r="CT190" i="8" s="1"/>
  <c r="DF180" i="8"/>
  <c r="DF165" i="8"/>
  <c r="DF190" i="8" s="1"/>
  <c r="CH164" i="8"/>
  <c r="CH189" i="8" s="1"/>
  <c r="CH179" i="8"/>
  <c r="DF130" i="8"/>
  <c r="DF153" i="8" s="1"/>
  <c r="CT153" i="8"/>
  <c r="CH162" i="8"/>
  <c r="CH187" i="8" s="1"/>
  <c r="CH177" i="8"/>
  <c r="CT154" i="8"/>
  <c r="DF131" i="8"/>
  <c r="DF154" i="8" s="1"/>
  <c r="CH178" i="8"/>
  <c r="CH163" i="8"/>
  <c r="CH188" i="8" s="1"/>
  <c r="DF205" i="8"/>
  <c r="DF418" i="8" s="1"/>
  <c r="CT418" i="8"/>
  <c r="CT158" i="8"/>
  <c r="DF135" i="8"/>
  <c r="DF158" i="8" s="1"/>
  <c r="CT610" i="8"/>
  <c r="DF208" i="8"/>
  <c r="DF610" i="8" s="1"/>
  <c r="CT160" i="8"/>
  <c r="DF137" i="8"/>
  <c r="DF160" i="8" s="1"/>
  <c r="DF129" i="8"/>
  <c r="DF152" i="8" s="1"/>
  <c r="CT152" i="8"/>
  <c r="DF169" i="8"/>
  <c r="DF194" i="8" s="1"/>
  <c r="DF184" i="8"/>
  <c r="CH171" i="8"/>
  <c r="CH196" i="8" s="1"/>
  <c r="CH186" i="8"/>
  <c r="DF752" i="8"/>
  <c r="DF754" i="8"/>
  <c r="DF753" i="8"/>
  <c r="DG752" i="8"/>
  <c r="DF185" i="8" l="1"/>
  <c r="DF170" i="8"/>
  <c r="DF195" i="8" s="1"/>
  <c r="CT163" i="8"/>
  <c r="CT188" i="8" s="1"/>
  <c r="CT178" i="8"/>
  <c r="DF163" i="8"/>
  <c r="DF188" i="8" s="1"/>
  <c r="DF178" i="8"/>
  <c r="DF168" i="8"/>
  <c r="DF193" i="8" s="1"/>
  <c r="DF183" i="8"/>
  <c r="CT168" i="8"/>
  <c r="CT193" i="8" s="1"/>
  <c r="CT183" i="8"/>
  <c r="CT186" i="8"/>
  <c r="CT171" i="8"/>
  <c r="CT196" i="8" s="1"/>
  <c r="DF171" i="8"/>
  <c r="DF196" i="8" s="1"/>
  <c r="DF186" i="8"/>
  <c r="CT162" i="8"/>
  <c r="CT187" i="8" s="1"/>
  <c r="CT177" i="8"/>
  <c r="DF179" i="8"/>
  <c r="DF164" i="8"/>
  <c r="DF189" i="8" s="1"/>
  <c r="CT185" i="8"/>
  <c r="CT170" i="8"/>
  <c r="CT195" i="8" s="1"/>
  <c r="DF162" i="8"/>
  <c r="DF187" i="8" s="1"/>
  <c r="DF177" i="8"/>
  <c r="CT164" i="8"/>
  <c r="CT189" i="8" s="1"/>
  <c r="CT179" i="8"/>
  <c r="C756" i="8"/>
  <c r="O756" i="8"/>
  <c r="AA756" i="8"/>
  <c r="AM756" i="8"/>
  <c r="AY756" i="8"/>
  <c r="BK756" i="8"/>
  <c r="BW756" i="8"/>
  <c r="CI756" i="8"/>
  <c r="CU756" i="8"/>
  <c r="DG756" i="8"/>
  <c r="C757" i="8"/>
  <c r="B767" i="8" s="1"/>
  <c r="O757" i="8"/>
  <c r="AA757" i="8"/>
  <c r="AM757" i="8"/>
  <c r="AY757" i="8"/>
  <c r="BK757" i="8"/>
  <c r="BW757" i="8"/>
  <c r="CI757" i="8"/>
  <c r="CU757" i="8"/>
  <c r="DG757" i="8"/>
  <c r="C758" i="8"/>
  <c r="O758" i="8"/>
  <c r="AA758" i="8"/>
  <c r="AM758" i="8"/>
  <c r="AY758" i="8"/>
  <c r="BK758" i="8"/>
  <c r="BW758" i="8"/>
  <c r="CI758" i="8"/>
  <c r="CU758" i="8"/>
  <c r="DG758" i="8"/>
  <c r="C759" i="8"/>
  <c r="O759" i="8"/>
  <c r="AA759" i="8"/>
  <c r="AM759" i="8"/>
  <c r="AY759" i="8"/>
  <c r="BK759" i="8"/>
  <c r="BW759" i="8"/>
  <c r="CI759" i="8"/>
  <c r="CU759" i="8"/>
  <c r="DG759" i="8"/>
  <c r="C760" i="8"/>
  <c r="O760" i="8"/>
  <c r="AA760" i="8"/>
  <c r="AM760" i="8"/>
  <c r="AY760" i="8"/>
  <c r="BK760" i="8"/>
  <c r="BW760" i="8"/>
  <c r="CI760" i="8"/>
  <c r="CU760" i="8"/>
  <c r="DG760" i="8"/>
  <c r="C761" i="8"/>
  <c r="O761" i="8"/>
  <c r="AA761" i="8"/>
  <c r="AM761" i="8"/>
  <c r="AY761" i="8"/>
  <c r="BK761" i="8"/>
  <c r="BW761" i="8"/>
  <c r="CI761" i="8"/>
  <c r="CU761" i="8"/>
  <c r="DG761" i="8"/>
  <c r="C762" i="8"/>
  <c r="O762" i="8"/>
  <c r="AA762" i="8"/>
  <c r="AM762" i="8"/>
  <c r="AY762" i="8"/>
  <c r="BK762" i="8"/>
  <c r="BW762" i="8"/>
  <c r="CI762" i="8"/>
  <c r="CU762" i="8"/>
  <c r="DG762" i="8"/>
  <c r="C763" i="8"/>
  <c r="O763" i="8"/>
  <c r="AA763" i="8"/>
  <c r="AM763" i="8"/>
  <c r="AY763" i="8"/>
  <c r="BK763" i="8"/>
  <c r="BW763" i="8"/>
  <c r="CI763" i="8"/>
  <c r="CU763" i="8"/>
  <c r="DG763" i="8"/>
  <c r="C764" i="8"/>
  <c r="O764" i="8"/>
  <c r="AA764" i="8"/>
  <c r="AM764" i="8"/>
  <c r="AY764" i="8"/>
  <c r="BK764" i="8"/>
  <c r="BW764" i="8"/>
  <c r="CI764" i="8"/>
  <c r="CU764" i="8"/>
  <c r="DG764" i="8"/>
  <c r="C765" i="8"/>
  <c r="O765" i="8"/>
  <c r="AA765" i="8"/>
  <c r="AM765" i="8"/>
  <c r="AY765" i="8"/>
  <c r="BK765" i="8"/>
  <c r="BW765" i="8"/>
  <c r="CI765" i="8"/>
  <c r="CU765" i="8"/>
  <c r="DG765" i="8"/>
  <c r="B766" i="8"/>
  <c r="N766" i="8"/>
  <c r="Z766" i="8"/>
  <c r="AL766" i="8"/>
  <c r="AX766" i="8"/>
  <c r="BJ766" i="8"/>
  <c r="BV766" i="8"/>
  <c r="CH766" i="8"/>
  <c r="CT766" i="8"/>
  <c r="DF766" i="8"/>
  <c r="B769" i="8" l="1"/>
  <c r="B768" i="8"/>
  <c r="N767" i="8"/>
  <c r="N769" i="8" s="1"/>
  <c r="N768" i="8"/>
  <c r="C767" i="8"/>
  <c r="O767" i="8"/>
  <c r="Z767" i="8"/>
  <c r="Z769" i="8" s="1"/>
  <c r="Z768" i="8" l="1"/>
  <c r="AL767" i="8"/>
  <c r="AL769" i="8"/>
  <c r="AL768" i="8"/>
  <c r="AA767" i="8"/>
  <c r="AM767" i="8"/>
  <c r="AX767" i="8"/>
  <c r="AX769" i="8" s="1"/>
  <c r="AX768" i="8" l="1"/>
  <c r="BJ767" i="8"/>
  <c r="BJ769" i="8"/>
  <c r="BJ768" i="8"/>
  <c r="AY767" i="8"/>
  <c r="BK767" i="8"/>
  <c r="BV767" i="8"/>
  <c r="BV769" i="8"/>
  <c r="BV768" i="8"/>
  <c r="BW767" i="8"/>
  <c r="CH767" i="8"/>
  <c r="CH769" i="8" s="1"/>
  <c r="CH768" i="8" l="1"/>
  <c r="CT767" i="8"/>
  <c r="CT769" i="8" s="1"/>
  <c r="CT768" i="8"/>
  <c r="CI767" i="8"/>
  <c r="CU767" i="8"/>
  <c r="DF767" i="8"/>
  <c r="DF769" i="8"/>
  <c r="DF768" i="8"/>
  <c r="DG767" i="8"/>
  <c r="C771" i="8"/>
  <c r="O771" i="8"/>
  <c r="AA771" i="8"/>
  <c r="AM771" i="8"/>
  <c r="AY771" i="8"/>
  <c r="BK771" i="8"/>
  <c r="BW771" i="8"/>
  <c r="CI771" i="8"/>
  <c r="CU771" i="8"/>
  <c r="DG771" i="8"/>
  <c r="C772" i="8"/>
  <c r="B782" i="8" s="1"/>
  <c r="O772" i="8"/>
  <c r="AA772" i="8"/>
  <c r="AM772" i="8"/>
  <c r="AY772" i="8"/>
  <c r="BK772" i="8"/>
  <c r="BW772" i="8"/>
  <c r="CI772" i="8"/>
  <c r="CU772" i="8"/>
  <c r="DG772" i="8"/>
  <c r="C773" i="8"/>
  <c r="O773" i="8"/>
  <c r="AA773" i="8"/>
  <c r="AM773" i="8"/>
  <c r="AY773" i="8"/>
  <c r="BK773" i="8"/>
  <c r="BW773" i="8"/>
  <c r="CI773" i="8"/>
  <c r="CU773" i="8"/>
  <c r="DG773" i="8"/>
  <c r="C774" i="8"/>
  <c r="O774" i="8"/>
  <c r="AA774" i="8"/>
  <c r="AM774" i="8"/>
  <c r="AY774" i="8"/>
  <c r="BK774" i="8"/>
  <c r="BW774" i="8"/>
  <c r="CI774" i="8"/>
  <c r="CU774" i="8"/>
  <c r="DG774" i="8"/>
  <c r="C775" i="8"/>
  <c r="O775" i="8"/>
  <c r="AA775" i="8"/>
  <c r="AM775" i="8"/>
  <c r="AY775" i="8"/>
  <c r="BK775" i="8"/>
  <c r="BW775" i="8"/>
  <c r="CI775" i="8"/>
  <c r="CU775" i="8"/>
  <c r="DG775" i="8"/>
  <c r="C776" i="8"/>
  <c r="O776" i="8"/>
  <c r="AA776" i="8"/>
  <c r="AM776" i="8"/>
  <c r="AY776" i="8"/>
  <c r="BK776" i="8"/>
  <c r="BW776" i="8"/>
  <c r="CI776" i="8"/>
  <c r="CU776" i="8"/>
  <c r="DG776" i="8"/>
  <c r="C777" i="8"/>
  <c r="O777" i="8"/>
  <c r="AA777" i="8"/>
  <c r="AM777" i="8"/>
  <c r="AY777" i="8"/>
  <c r="BK777" i="8"/>
  <c r="BW777" i="8"/>
  <c r="CI777" i="8"/>
  <c r="CU777" i="8"/>
  <c r="DG777" i="8"/>
  <c r="C778" i="8"/>
  <c r="O778" i="8"/>
  <c r="AA778" i="8"/>
  <c r="AM778" i="8"/>
  <c r="AY778" i="8"/>
  <c r="BK778" i="8"/>
  <c r="BW778" i="8"/>
  <c r="CI778" i="8"/>
  <c r="CU778" i="8"/>
  <c r="DG778" i="8"/>
  <c r="C779" i="8"/>
  <c r="O779" i="8"/>
  <c r="AA779" i="8"/>
  <c r="AM779" i="8"/>
  <c r="AY779" i="8"/>
  <c r="BK779" i="8"/>
  <c r="BW779" i="8"/>
  <c r="CI779" i="8"/>
  <c r="CU779" i="8"/>
  <c r="DG779" i="8"/>
  <c r="C780" i="8"/>
  <c r="O780" i="8"/>
  <c r="AA780" i="8"/>
  <c r="AM780" i="8"/>
  <c r="AY780" i="8"/>
  <c r="BK780" i="8"/>
  <c r="BW780" i="8"/>
  <c r="CI780" i="8"/>
  <c r="CU780" i="8"/>
  <c r="DG780" i="8"/>
  <c r="B781" i="8"/>
  <c r="N781" i="8"/>
  <c r="Z781" i="8"/>
  <c r="AL781" i="8"/>
  <c r="AX781" i="8"/>
  <c r="BJ781" i="8"/>
  <c r="BV781" i="8"/>
  <c r="CH781" i="8"/>
  <c r="CT781" i="8"/>
  <c r="DF781" i="8"/>
  <c r="B784" i="8" l="1"/>
  <c r="B783" i="8"/>
  <c r="N782" i="8"/>
  <c r="N784" i="8"/>
  <c r="N783" i="8"/>
  <c r="C782" i="8"/>
  <c r="O782" i="8"/>
  <c r="Z782" i="8"/>
  <c r="Z784" i="8" s="1"/>
  <c r="Z783" i="8"/>
  <c r="AA782" i="8"/>
  <c r="AL782" i="8"/>
  <c r="AL784" i="8" s="1"/>
  <c r="AL783" i="8" l="1"/>
  <c r="AX782" i="8"/>
  <c r="AX784" i="8"/>
  <c r="AX783" i="8"/>
  <c r="AM782" i="8"/>
  <c r="AY782" i="8"/>
  <c r="BJ782" i="8"/>
  <c r="BJ784" i="8" s="1"/>
  <c r="BJ783" i="8"/>
  <c r="BK782" i="8"/>
  <c r="BV782" i="8"/>
  <c r="BV784" i="8" s="1"/>
  <c r="BV783" i="8" l="1"/>
  <c r="CH782" i="8"/>
  <c r="CH784" i="8"/>
  <c r="CH783" i="8"/>
  <c r="BW782" i="8"/>
  <c r="CI782" i="8"/>
  <c r="CT782" i="8"/>
  <c r="CT784" i="8"/>
  <c r="CT783" i="8"/>
  <c r="CU782" i="8"/>
  <c r="DF782" i="8"/>
  <c r="DF784" i="8" s="1"/>
  <c r="DF783" i="8" l="1"/>
  <c r="C786" i="8"/>
  <c r="O786" i="8"/>
  <c r="AA786" i="8"/>
  <c r="AM786" i="8"/>
  <c r="AY786" i="8"/>
  <c r="BK786" i="8"/>
  <c r="BW786" i="8"/>
  <c r="CI786" i="8"/>
  <c r="CU786" i="8"/>
  <c r="DG786" i="8"/>
  <c r="C787" i="8"/>
  <c r="B797" i="8" s="1"/>
  <c r="O787" i="8"/>
  <c r="AA787" i="8"/>
  <c r="AM787" i="8"/>
  <c r="AY787" i="8"/>
  <c r="BK787" i="8"/>
  <c r="BW787" i="8"/>
  <c r="CI787" i="8"/>
  <c r="CU787" i="8"/>
  <c r="DG787" i="8"/>
  <c r="C788" i="8"/>
  <c r="O788" i="8"/>
  <c r="AA788" i="8"/>
  <c r="AM788" i="8"/>
  <c r="AY788" i="8"/>
  <c r="BK788" i="8"/>
  <c r="BW788" i="8"/>
  <c r="CI788" i="8"/>
  <c r="CU788" i="8"/>
  <c r="DG788" i="8"/>
  <c r="C789" i="8"/>
  <c r="O789" i="8"/>
  <c r="AA789" i="8"/>
  <c r="AM789" i="8"/>
  <c r="AY789" i="8"/>
  <c r="BK789" i="8"/>
  <c r="BW789" i="8"/>
  <c r="CI789" i="8"/>
  <c r="CU789" i="8"/>
  <c r="DG789" i="8"/>
  <c r="C790" i="8"/>
  <c r="O790" i="8"/>
  <c r="AA790" i="8"/>
  <c r="AM790" i="8"/>
  <c r="AY790" i="8"/>
  <c r="BK790" i="8"/>
  <c r="BW790" i="8"/>
  <c r="CI790" i="8"/>
  <c r="CU790" i="8"/>
  <c r="DG790" i="8"/>
  <c r="C791" i="8"/>
  <c r="O791" i="8"/>
  <c r="AA791" i="8"/>
  <c r="AM791" i="8"/>
  <c r="AY791" i="8"/>
  <c r="BK791" i="8"/>
  <c r="BW791" i="8"/>
  <c r="CI791" i="8"/>
  <c r="CU791" i="8"/>
  <c r="DG791" i="8"/>
  <c r="C792" i="8"/>
  <c r="O792" i="8"/>
  <c r="AA792" i="8"/>
  <c r="AM792" i="8"/>
  <c r="AY792" i="8"/>
  <c r="BK792" i="8"/>
  <c r="BW792" i="8"/>
  <c r="CI792" i="8"/>
  <c r="CU792" i="8"/>
  <c r="DG792" i="8"/>
  <c r="C793" i="8"/>
  <c r="O793" i="8"/>
  <c r="AA793" i="8"/>
  <c r="AM793" i="8"/>
  <c r="AY793" i="8"/>
  <c r="BK793" i="8"/>
  <c r="BW793" i="8"/>
  <c r="CI793" i="8"/>
  <c r="CU793" i="8"/>
  <c r="DG793" i="8"/>
  <c r="C794" i="8"/>
  <c r="O794" i="8"/>
  <c r="AA794" i="8"/>
  <c r="AM794" i="8"/>
  <c r="AY794" i="8"/>
  <c r="BK794" i="8"/>
  <c r="BW794" i="8"/>
  <c r="CI794" i="8"/>
  <c r="CU794" i="8"/>
  <c r="DG794" i="8"/>
  <c r="C795" i="8"/>
  <c r="O795" i="8"/>
  <c r="AA795" i="8"/>
  <c r="AM795" i="8"/>
  <c r="AY795" i="8"/>
  <c r="BK795" i="8"/>
  <c r="BW795" i="8"/>
  <c r="CI795" i="8"/>
  <c r="CU795" i="8"/>
  <c r="DG795" i="8"/>
  <c r="B796" i="8"/>
  <c r="N796" i="8"/>
  <c r="Z796" i="8"/>
  <c r="AL796" i="8"/>
  <c r="AX796" i="8"/>
  <c r="BJ796" i="8"/>
  <c r="BV796" i="8"/>
  <c r="CH796" i="8"/>
  <c r="CT796" i="8"/>
  <c r="DF796" i="8"/>
  <c r="DG782" i="8"/>
  <c r="B799" i="8" l="1"/>
  <c r="B798" i="8"/>
  <c r="N797" i="8"/>
  <c r="N799" i="8"/>
  <c r="N798" i="8"/>
  <c r="C797" i="8"/>
  <c r="O797" i="8"/>
  <c r="Z797" i="8"/>
  <c r="Z799" i="8" s="1"/>
  <c r="Z798" i="8" l="1"/>
  <c r="AL797" i="8"/>
  <c r="AL799" i="8"/>
  <c r="AL798" i="8"/>
  <c r="AA797" i="8"/>
  <c r="AM797" i="8"/>
  <c r="AX797" i="8"/>
  <c r="AX799" i="8" s="1"/>
  <c r="AX798" i="8" l="1"/>
  <c r="BJ797" i="8"/>
  <c r="BJ799" i="8"/>
  <c r="BJ798" i="8"/>
  <c r="AY797" i="8"/>
  <c r="BK797" i="8"/>
  <c r="BV797" i="8"/>
  <c r="BV799" i="8"/>
  <c r="BV798" i="8"/>
  <c r="BW797" i="8"/>
  <c r="CH797" i="8"/>
  <c r="CH799" i="8" s="1"/>
  <c r="CH798" i="8" l="1"/>
  <c r="CT797" i="8"/>
  <c r="CT799" i="8"/>
  <c r="CT798" i="8"/>
  <c r="CI797" i="8"/>
  <c r="CU797" i="8"/>
  <c r="DF797" i="8"/>
  <c r="DF799" i="8" s="1"/>
  <c r="DF798" i="8" l="1"/>
  <c r="B825" i="8"/>
  <c r="B826" i="8"/>
  <c r="B852" i="8" s="1"/>
  <c r="B827" i="8"/>
  <c r="B853" i="8" s="1"/>
  <c r="B828" i="8"/>
  <c r="B854" i="8" s="1"/>
  <c r="B829" i="8"/>
  <c r="B855" i="8" s="1"/>
  <c r="B830" i="8"/>
  <c r="B856" i="8" s="1"/>
  <c r="B831" i="8"/>
  <c r="B857" i="8" s="1"/>
  <c r="B832" i="8"/>
  <c r="B858" i="8" s="1"/>
  <c r="B833" i="8"/>
  <c r="B834" i="8"/>
  <c r="B860" i="8" s="1"/>
  <c r="B835" i="8"/>
  <c r="B861" i="8" s="1"/>
  <c r="B836" i="8"/>
  <c r="B837" i="8"/>
  <c r="B838" i="8"/>
  <c r="B864" i="8" s="1"/>
  <c r="B839" i="8"/>
  <c r="B865" i="8" s="1"/>
  <c r="B840" i="8"/>
  <c r="B866" i="8" s="1"/>
  <c r="B841" i="8"/>
  <c r="B842" i="8"/>
  <c r="B843" i="8"/>
  <c r="B844" i="8"/>
  <c r="B845" i="8"/>
  <c r="B846" i="8"/>
  <c r="B851" i="8"/>
  <c r="C855" i="8"/>
  <c r="D855" i="8"/>
  <c r="E855" i="8"/>
  <c r="F855" i="8"/>
  <c r="G855" i="8"/>
  <c r="H855" i="8"/>
  <c r="I855" i="8"/>
  <c r="J855" i="8"/>
  <c r="K855" i="8"/>
  <c r="L855" i="8"/>
  <c r="C856" i="8"/>
  <c r="D856" i="8"/>
  <c r="E856" i="8"/>
  <c r="F856" i="8"/>
  <c r="G856" i="8"/>
  <c r="H856" i="8"/>
  <c r="I856" i="8"/>
  <c r="J856" i="8"/>
  <c r="K856" i="8"/>
  <c r="L856" i="8"/>
  <c r="C857" i="8"/>
  <c r="D857" i="8"/>
  <c r="E857" i="8"/>
  <c r="F857" i="8"/>
  <c r="G857" i="8"/>
  <c r="H857" i="8"/>
  <c r="I857" i="8"/>
  <c r="J857" i="8"/>
  <c r="K857" i="8"/>
  <c r="L857" i="8"/>
  <c r="C858" i="8"/>
  <c r="D858" i="8"/>
  <c r="E858" i="8"/>
  <c r="F858" i="8"/>
  <c r="G858" i="8"/>
  <c r="H858" i="8"/>
  <c r="I858" i="8"/>
  <c r="J858" i="8"/>
  <c r="K858" i="8"/>
  <c r="L858" i="8"/>
  <c r="B859" i="8"/>
  <c r="C859" i="8"/>
  <c r="D859" i="8"/>
  <c r="E859" i="8"/>
  <c r="F859" i="8"/>
  <c r="G859" i="8"/>
  <c r="H859" i="8"/>
  <c r="I859" i="8"/>
  <c r="J859" i="8"/>
  <c r="K859" i="8"/>
  <c r="L859" i="8"/>
  <c r="C860" i="8"/>
  <c r="D860" i="8"/>
  <c r="E860" i="8"/>
  <c r="F860" i="8"/>
  <c r="G860" i="8"/>
  <c r="H860" i="8"/>
  <c r="I860" i="8"/>
  <c r="J860" i="8"/>
  <c r="K860" i="8"/>
  <c r="L860" i="8"/>
  <c r="B862" i="8"/>
  <c r="B863" i="8"/>
  <c r="C865" i="8"/>
  <c r="D865" i="8"/>
  <c r="E865" i="8"/>
  <c r="F865" i="8"/>
  <c r="G865" i="8"/>
  <c r="H865" i="8"/>
  <c r="I865" i="8"/>
  <c r="J865" i="8"/>
  <c r="K865" i="8"/>
  <c r="L865" i="8"/>
  <c r="C866" i="8"/>
  <c r="D866" i="8"/>
  <c r="E866" i="8"/>
  <c r="F866" i="8"/>
  <c r="G866" i="8"/>
  <c r="H866" i="8"/>
  <c r="I866" i="8"/>
  <c r="J866" i="8"/>
  <c r="K866" i="8"/>
  <c r="L866" i="8"/>
  <c r="B867" i="8"/>
  <c r="C867" i="8"/>
  <c r="D867" i="8"/>
  <c r="E867" i="8"/>
  <c r="F867" i="8"/>
  <c r="G867" i="8"/>
  <c r="H867" i="8"/>
  <c r="I867" i="8"/>
  <c r="J867" i="8"/>
  <c r="K867" i="8"/>
  <c r="L867" i="8"/>
  <c r="B868" i="8"/>
  <c r="C868" i="8"/>
  <c r="D868" i="8"/>
  <c r="E868" i="8"/>
  <c r="F868" i="8"/>
  <c r="G868" i="8"/>
  <c r="H868" i="8"/>
  <c r="I868" i="8"/>
  <c r="J868" i="8"/>
  <c r="K868" i="8"/>
  <c r="L868" i="8"/>
  <c r="B869" i="8"/>
  <c r="C869" i="8"/>
  <c r="D869" i="8"/>
  <c r="E869" i="8"/>
  <c r="F869" i="8"/>
  <c r="G869" i="8"/>
  <c r="H869" i="8"/>
  <c r="I869" i="8"/>
  <c r="J869" i="8"/>
  <c r="K869" i="8"/>
  <c r="L869" i="8"/>
  <c r="B870" i="8"/>
  <c r="C870" i="8"/>
  <c r="D870" i="8"/>
  <c r="E870" i="8"/>
  <c r="F870" i="8"/>
  <c r="G870" i="8"/>
  <c r="H870" i="8"/>
  <c r="I870" i="8"/>
  <c r="J870" i="8"/>
  <c r="K870" i="8"/>
  <c r="L870" i="8"/>
  <c r="B873" i="8"/>
  <c r="B882" i="8"/>
  <c r="B891" i="8"/>
  <c r="B900" i="8"/>
  <c r="B909" i="8"/>
  <c r="B918" i="8"/>
  <c r="B927" i="8"/>
  <c r="B936" i="8"/>
  <c r="B945" i="8"/>
  <c r="C947" i="8"/>
  <c r="D947" i="8"/>
  <c r="E947" i="8"/>
  <c r="F947" i="8"/>
  <c r="G947" i="8"/>
  <c r="H947" i="8"/>
  <c r="I947" i="8"/>
  <c r="J947" i="8"/>
  <c r="K947" i="8"/>
  <c r="L947" i="8"/>
  <c r="C948" i="8"/>
  <c r="D948" i="8"/>
  <c r="E948" i="8"/>
  <c r="F948" i="8"/>
  <c r="G948" i="8"/>
  <c r="H948" i="8"/>
  <c r="I948" i="8"/>
  <c r="J948" i="8"/>
  <c r="K948" i="8"/>
  <c r="L948" i="8"/>
  <c r="C949" i="8"/>
  <c r="D949" i="8"/>
  <c r="E949" i="8"/>
  <c r="F949" i="8"/>
  <c r="G949" i="8"/>
  <c r="H949" i="8"/>
  <c r="I949" i="8"/>
  <c r="J949" i="8"/>
  <c r="K949" i="8"/>
  <c r="L949" i="8"/>
  <c r="C950" i="8"/>
  <c r="D950" i="8"/>
  <c r="E950" i="8"/>
  <c r="F950" i="8"/>
  <c r="G950" i="8"/>
  <c r="H950" i="8"/>
  <c r="I950" i="8"/>
  <c r="J950" i="8"/>
  <c r="K950" i="8"/>
  <c r="L950" i="8"/>
  <c r="C951" i="8"/>
  <c r="D951" i="8"/>
  <c r="E951" i="8"/>
  <c r="F951" i="8"/>
  <c r="G951" i="8"/>
  <c r="H951" i="8"/>
  <c r="I951" i="8"/>
  <c r="J951" i="8"/>
  <c r="K951" i="8"/>
  <c r="B1664" i="8"/>
  <c r="B955" i="8"/>
  <c r="C956" i="8"/>
  <c r="B968" i="8" s="1"/>
  <c r="D956" i="8"/>
  <c r="E956" i="8"/>
  <c r="F956" i="8" s="1"/>
  <c r="G956" i="8" s="1"/>
  <c r="H956" i="8" s="1"/>
  <c r="I956" i="8" s="1"/>
  <c r="J956" i="8" s="1"/>
  <c r="K956" i="8" s="1"/>
  <c r="L956" i="8" s="1"/>
  <c r="C957" i="8"/>
  <c r="D957" i="8"/>
  <c r="E957" i="8"/>
  <c r="F957" i="8"/>
  <c r="G957" i="8" s="1"/>
  <c r="H957" i="8" s="1"/>
  <c r="I957" i="8" s="1"/>
  <c r="J957" i="8" s="1"/>
  <c r="K957" i="8" s="1"/>
  <c r="L957" i="8" s="1"/>
  <c r="C958" i="8"/>
  <c r="D958" i="8"/>
  <c r="E958" i="8"/>
  <c r="F958" i="8"/>
  <c r="G958" i="8"/>
  <c r="H958" i="8" s="1"/>
  <c r="I958" i="8" s="1"/>
  <c r="J958" i="8" s="1"/>
  <c r="K958" i="8" s="1"/>
  <c r="L958" i="8" s="1"/>
  <c r="C959" i="8"/>
  <c r="D959" i="8"/>
  <c r="E959" i="8"/>
  <c r="F959" i="8"/>
  <c r="G959" i="8"/>
  <c r="H959" i="8"/>
  <c r="I959" i="8" s="1"/>
  <c r="J959" i="8" s="1"/>
  <c r="K959" i="8" s="1"/>
  <c r="L959" i="8" s="1"/>
  <c r="C960" i="8"/>
  <c r="D960" i="8"/>
  <c r="E960" i="8"/>
  <c r="F960" i="8"/>
  <c r="G960" i="8"/>
  <c r="H960" i="8"/>
  <c r="I960" i="8"/>
  <c r="J960" i="8" s="1"/>
  <c r="K960" i="8" s="1"/>
  <c r="L960" i="8" s="1"/>
  <c r="C961" i="8"/>
  <c r="D961" i="8"/>
  <c r="E961" i="8"/>
  <c r="F961" i="8"/>
  <c r="G961" i="8"/>
  <c r="H961" i="8"/>
  <c r="I961" i="8"/>
  <c r="J961" i="8"/>
  <c r="K961" i="8" s="1"/>
  <c r="L961" i="8" s="1"/>
  <c r="C962" i="8"/>
  <c r="D962" i="8"/>
  <c r="E962" i="8"/>
  <c r="F962" i="8"/>
  <c r="G962" i="8"/>
  <c r="H962" i="8"/>
  <c r="I962" i="8"/>
  <c r="J962" i="8"/>
  <c r="K962" i="8"/>
  <c r="L962" i="8" s="1"/>
  <c r="C963" i="8"/>
  <c r="D963" i="8" s="1"/>
  <c r="E963" i="8" s="1"/>
  <c r="F963" i="8" s="1"/>
  <c r="G963" i="8" s="1"/>
  <c r="H963" i="8" s="1"/>
  <c r="I963" i="8" s="1"/>
  <c r="J963" i="8" s="1"/>
  <c r="K963" i="8" s="1"/>
  <c r="L963" i="8" s="1"/>
  <c r="C964" i="8"/>
  <c r="D964" i="8"/>
  <c r="E964" i="8" s="1"/>
  <c r="F964" i="8" s="1"/>
  <c r="G964" i="8" s="1"/>
  <c r="H964" i="8" s="1"/>
  <c r="I964" i="8" s="1"/>
  <c r="J964" i="8" s="1"/>
  <c r="K964" i="8" s="1"/>
  <c r="L964" i="8" s="1"/>
  <c r="C965" i="8"/>
  <c r="D965" i="8"/>
  <c r="E965" i="8"/>
  <c r="F965" i="8" s="1"/>
  <c r="G965" i="8" s="1"/>
  <c r="H965" i="8" s="1"/>
  <c r="I965" i="8" s="1"/>
  <c r="J965" i="8" s="1"/>
  <c r="K965" i="8" s="1"/>
  <c r="L965" i="8" s="1"/>
  <c r="B966" i="8"/>
  <c r="J1554" i="8"/>
  <c r="C1584" i="8"/>
  <c r="F1554" i="8"/>
  <c r="F1555" i="8"/>
  <c r="F1556" i="8"/>
  <c r="F1558" i="8"/>
  <c r="F1559" i="8"/>
  <c r="F1560" i="8"/>
  <c r="F1561" i="8"/>
  <c r="F1562" i="8"/>
  <c r="F1563" i="8"/>
  <c r="F1564" i="8"/>
  <c r="F1565" i="8"/>
  <c r="F1566" i="8"/>
  <c r="F1567" i="8"/>
  <c r="F1568" i="8"/>
  <c r="F1569" i="8"/>
  <c r="F1570" i="8"/>
  <c r="F1571" i="8"/>
  <c r="F1572" i="8"/>
  <c r="F1573" i="8"/>
  <c r="F1574" i="8"/>
  <c r="D1610" i="8"/>
  <c r="E1610" i="8"/>
  <c r="F1610" i="8"/>
  <c r="G1610" i="8" s="1"/>
  <c r="DG797" i="8"/>
  <c r="L951" i="8" l="1"/>
  <c r="H1610" i="8"/>
  <c r="C969" i="8"/>
  <c r="B969" i="8"/>
  <c r="D969" i="8"/>
  <c r="I1610" i="8" l="1"/>
  <c r="E969" i="8"/>
  <c r="J1610" i="8" l="1"/>
  <c r="F969" i="8"/>
  <c r="K1610" i="8" l="1"/>
  <c r="G969" i="8"/>
  <c r="H969" i="8" l="1"/>
  <c r="I969" i="8"/>
  <c r="J969" i="8"/>
  <c r="K969" i="8"/>
  <c r="L969" i="8"/>
  <c r="C972" i="8"/>
  <c r="D972" i="8"/>
  <c r="E972" i="8"/>
  <c r="F972" i="8"/>
  <c r="G972" i="8"/>
  <c r="H972" i="8"/>
  <c r="I972" i="8"/>
  <c r="J972" i="8"/>
  <c r="K972" i="8"/>
  <c r="L972" i="8"/>
  <c r="C973" i="8"/>
  <c r="D973" i="8"/>
  <c r="E973" i="8"/>
  <c r="F973" i="8"/>
  <c r="G973" i="8"/>
  <c r="H973" i="8"/>
  <c r="I973" i="8"/>
  <c r="J973" i="8"/>
  <c r="K973" i="8"/>
  <c r="L973" i="8"/>
  <c r="C974" i="8"/>
  <c r="D974" i="8"/>
  <c r="E974" i="8"/>
  <c r="F974" i="8"/>
  <c r="G974" i="8"/>
  <c r="H974" i="8"/>
  <c r="I974" i="8"/>
  <c r="J974" i="8"/>
  <c r="K974" i="8"/>
  <c r="L974" i="8"/>
  <c r="C975" i="8"/>
  <c r="D975" i="8"/>
  <c r="E975" i="8"/>
  <c r="F975" i="8"/>
  <c r="G975" i="8"/>
  <c r="H975" i="8"/>
  <c r="I975" i="8"/>
  <c r="J975" i="8"/>
  <c r="K975" i="8"/>
  <c r="L975" i="8"/>
  <c r="C976" i="8"/>
  <c r="D976" i="8"/>
  <c r="E976" i="8"/>
  <c r="F976" i="8"/>
  <c r="G976" i="8"/>
  <c r="H976" i="8"/>
  <c r="I976" i="8"/>
  <c r="J976" i="8"/>
  <c r="K976" i="8"/>
  <c r="L976" i="8"/>
  <c r="C977" i="8"/>
  <c r="D977" i="8"/>
  <c r="E977" i="8"/>
  <c r="F977" i="8"/>
  <c r="G977" i="8"/>
  <c r="H977" i="8"/>
  <c r="I977" i="8"/>
  <c r="J977" i="8"/>
  <c r="K977" i="8"/>
  <c r="L977" i="8"/>
  <c r="C978" i="8"/>
  <c r="D978" i="8"/>
  <c r="E978" i="8"/>
  <c r="F978" i="8"/>
  <c r="G978" i="8"/>
  <c r="H978" i="8"/>
  <c r="I978" i="8"/>
  <c r="J978" i="8"/>
  <c r="K978" i="8"/>
  <c r="L978" i="8"/>
  <c r="C979" i="8"/>
  <c r="D979" i="8"/>
  <c r="E979" i="8"/>
  <c r="F979" i="8"/>
  <c r="G979" i="8"/>
  <c r="H979" i="8"/>
  <c r="I979" i="8"/>
  <c r="J979" i="8"/>
  <c r="K979" i="8"/>
  <c r="L979" i="8"/>
  <c r="C980" i="8"/>
  <c r="D980" i="8"/>
  <c r="E980" i="8"/>
  <c r="F980" i="8"/>
  <c r="G980" i="8"/>
  <c r="H980" i="8"/>
  <c r="I980" i="8"/>
  <c r="J980" i="8"/>
  <c r="K980" i="8"/>
  <c r="L980" i="8"/>
  <c r="C981" i="8"/>
  <c r="D981" i="8"/>
  <c r="E981" i="8"/>
  <c r="F981" i="8"/>
  <c r="G981" i="8"/>
  <c r="H981" i="8"/>
  <c r="I981" i="8"/>
  <c r="J981" i="8"/>
  <c r="K981" i="8"/>
  <c r="L981" i="8"/>
  <c r="B982" i="8"/>
  <c r="B984" i="8"/>
  <c r="C985" i="8"/>
  <c r="B985" i="8"/>
  <c r="D985" i="8"/>
  <c r="E985" i="8"/>
  <c r="F985" i="8"/>
  <c r="G985" i="8"/>
  <c r="H985" i="8"/>
  <c r="I985" i="8"/>
  <c r="J985" i="8"/>
  <c r="K985" i="8"/>
  <c r="L985" i="8"/>
  <c r="C988" i="8"/>
  <c r="D988" i="8"/>
  <c r="E988" i="8"/>
  <c r="F988" i="8"/>
  <c r="G988" i="8"/>
  <c r="H988" i="8"/>
  <c r="I988" i="8"/>
  <c r="J988" i="8"/>
  <c r="K988" i="8"/>
  <c r="L988" i="8"/>
  <c r="C989" i="8"/>
  <c r="D989" i="8"/>
  <c r="E989" i="8"/>
  <c r="F989" i="8"/>
  <c r="G989" i="8"/>
  <c r="H989" i="8"/>
  <c r="I989" i="8"/>
  <c r="J989" i="8"/>
  <c r="K989" i="8"/>
  <c r="L989" i="8"/>
  <c r="C990" i="8"/>
  <c r="D990" i="8"/>
  <c r="E990" i="8"/>
  <c r="F990" i="8"/>
  <c r="G990" i="8"/>
  <c r="H990" i="8"/>
  <c r="I990" i="8"/>
  <c r="J990" i="8"/>
  <c r="K990" i="8"/>
  <c r="L990" i="8"/>
  <c r="C991" i="8"/>
  <c r="D991" i="8"/>
  <c r="E991" i="8"/>
  <c r="F991" i="8"/>
  <c r="G991" i="8"/>
  <c r="H991" i="8"/>
  <c r="I991" i="8"/>
  <c r="J991" i="8"/>
  <c r="K991" i="8"/>
  <c r="L991" i="8"/>
  <c r="C992" i="8"/>
  <c r="D992" i="8"/>
  <c r="E992" i="8"/>
  <c r="F992" i="8"/>
  <c r="G992" i="8"/>
  <c r="H992" i="8"/>
  <c r="I992" i="8"/>
  <c r="J992" i="8"/>
  <c r="K992" i="8"/>
  <c r="L992" i="8"/>
  <c r="C993" i="8"/>
  <c r="D993" i="8"/>
  <c r="E993" i="8"/>
  <c r="F993" i="8"/>
  <c r="G993" i="8"/>
  <c r="H993" i="8"/>
  <c r="I993" i="8"/>
  <c r="J993" i="8"/>
  <c r="K993" i="8"/>
  <c r="L993" i="8"/>
  <c r="C994" i="8"/>
  <c r="D994" i="8"/>
  <c r="E994" i="8"/>
  <c r="F994" i="8"/>
  <c r="G994" i="8"/>
  <c r="H994" i="8"/>
  <c r="I994" i="8"/>
  <c r="J994" i="8"/>
  <c r="K994" i="8"/>
  <c r="L994" i="8"/>
  <c r="C995" i="8"/>
  <c r="D995" i="8"/>
  <c r="E995" i="8"/>
  <c r="F995" i="8"/>
  <c r="G995" i="8"/>
  <c r="H995" i="8"/>
  <c r="I995" i="8"/>
  <c r="J995" i="8"/>
  <c r="K995" i="8"/>
  <c r="L995" i="8"/>
  <c r="C996" i="8"/>
  <c r="D996" i="8"/>
  <c r="E996" i="8"/>
  <c r="F996" i="8"/>
  <c r="G996" i="8"/>
  <c r="H996" i="8"/>
  <c r="I996" i="8"/>
  <c r="J996" i="8"/>
  <c r="K996" i="8"/>
  <c r="L996" i="8"/>
  <c r="C997" i="8"/>
  <c r="D997" i="8"/>
  <c r="E997" i="8"/>
  <c r="F997" i="8"/>
  <c r="G997" i="8"/>
  <c r="H997" i="8"/>
  <c r="I997" i="8"/>
  <c r="J997" i="8"/>
  <c r="K997" i="8"/>
  <c r="L997" i="8"/>
  <c r="B998" i="8"/>
  <c r="B1000" i="8"/>
  <c r="C1001" i="8"/>
  <c r="B1001" i="8"/>
  <c r="D1001" i="8"/>
  <c r="E1001" i="8"/>
  <c r="F1001" i="8"/>
  <c r="G1001" i="8"/>
  <c r="H1001" i="8"/>
  <c r="I1001" i="8"/>
  <c r="J1001" i="8"/>
  <c r="K1001" i="8"/>
  <c r="L1001" i="8"/>
  <c r="C1004" i="8"/>
  <c r="D1004" i="8"/>
  <c r="E1004" i="8"/>
  <c r="F1004" i="8"/>
  <c r="G1004" i="8"/>
  <c r="H1004" i="8"/>
  <c r="I1004" i="8"/>
  <c r="J1004" i="8"/>
  <c r="K1004" i="8"/>
  <c r="L1004" i="8"/>
  <c r="C1005" i="8"/>
  <c r="D1005" i="8"/>
  <c r="E1005" i="8"/>
  <c r="F1005" i="8"/>
  <c r="G1005" i="8"/>
  <c r="H1005" i="8"/>
  <c r="I1005" i="8"/>
  <c r="J1005" i="8"/>
  <c r="K1005" i="8"/>
  <c r="L1005" i="8"/>
  <c r="C1006" i="8"/>
  <c r="D1006" i="8"/>
  <c r="E1006" i="8"/>
  <c r="F1006" i="8"/>
  <c r="G1006" i="8"/>
  <c r="H1006" i="8"/>
  <c r="I1006" i="8"/>
  <c r="J1006" i="8"/>
  <c r="K1006" i="8"/>
  <c r="L1006" i="8"/>
  <c r="C1007" i="8"/>
  <c r="D1007" i="8"/>
  <c r="E1007" i="8"/>
  <c r="F1007" i="8"/>
  <c r="G1007" i="8"/>
  <c r="H1007" i="8"/>
  <c r="I1007" i="8"/>
  <c r="J1007" i="8"/>
  <c r="K1007" i="8"/>
  <c r="L1007" i="8"/>
  <c r="C1008" i="8"/>
  <c r="D1008" i="8"/>
  <c r="E1008" i="8"/>
  <c r="F1008" i="8"/>
  <c r="G1008" i="8"/>
  <c r="H1008" i="8"/>
  <c r="I1008" i="8"/>
  <c r="J1008" i="8"/>
  <c r="K1008" i="8"/>
  <c r="L1008" i="8"/>
  <c r="C1009" i="8"/>
  <c r="D1009" i="8"/>
  <c r="E1009" i="8"/>
  <c r="F1009" i="8"/>
  <c r="G1009" i="8"/>
  <c r="H1009" i="8"/>
  <c r="I1009" i="8"/>
  <c r="J1009" i="8"/>
  <c r="K1009" i="8"/>
  <c r="L1009" i="8"/>
  <c r="C1010" i="8"/>
  <c r="D1010" i="8"/>
  <c r="E1010" i="8"/>
  <c r="F1010" i="8"/>
  <c r="G1010" i="8"/>
  <c r="H1010" i="8"/>
  <c r="I1010" i="8"/>
  <c r="J1010" i="8"/>
  <c r="K1010" i="8"/>
  <c r="L1010" i="8"/>
  <c r="C1011" i="8"/>
  <c r="D1011" i="8"/>
  <c r="E1011" i="8"/>
  <c r="F1011" i="8"/>
  <c r="G1011" i="8"/>
  <c r="H1011" i="8"/>
  <c r="I1011" i="8"/>
  <c r="J1011" i="8"/>
  <c r="K1011" i="8"/>
  <c r="L1011" i="8"/>
  <c r="C1012" i="8"/>
  <c r="D1012" i="8"/>
  <c r="E1012" i="8"/>
  <c r="F1012" i="8"/>
  <c r="G1012" i="8"/>
  <c r="H1012" i="8"/>
  <c r="I1012" i="8"/>
  <c r="J1012" i="8"/>
  <c r="K1012" i="8"/>
  <c r="L1012" i="8"/>
  <c r="C1013" i="8"/>
  <c r="D1013" i="8"/>
  <c r="E1013" i="8"/>
  <c r="F1013" i="8"/>
  <c r="G1013" i="8"/>
  <c r="H1013" i="8"/>
  <c r="I1013" i="8"/>
  <c r="J1013" i="8"/>
  <c r="K1013" i="8"/>
  <c r="L1013" i="8"/>
  <c r="B1014" i="8"/>
  <c r="B1016" i="8"/>
  <c r="C1017" i="8"/>
  <c r="B1017" i="8"/>
  <c r="D1017" i="8"/>
  <c r="E1017" i="8"/>
  <c r="F1017" i="8"/>
  <c r="G1017" i="8"/>
  <c r="H1017" i="8"/>
  <c r="I1017" i="8"/>
  <c r="J1017" i="8"/>
  <c r="K1017" i="8"/>
  <c r="L1017" i="8"/>
  <c r="B1673" i="8"/>
  <c r="B1021" i="8"/>
  <c r="C1022" i="8"/>
  <c r="D1022" i="8"/>
  <c r="E1022" i="8"/>
  <c r="F1022" i="8"/>
  <c r="G1022" i="8"/>
  <c r="H1022" i="8"/>
  <c r="I1022" i="8"/>
  <c r="J1022" i="8"/>
  <c r="K1022" i="8"/>
  <c r="L1022" i="8" s="1"/>
  <c r="C1023" i="8"/>
  <c r="D1023" i="8"/>
  <c r="E1023" i="8"/>
  <c r="F1023" i="8"/>
  <c r="G1023" i="8"/>
  <c r="H1023" i="8"/>
  <c r="I1023" i="8"/>
  <c r="J1023" i="8"/>
  <c r="K1023" i="8"/>
  <c r="L1023" i="8"/>
  <c r="C1024" i="8"/>
  <c r="D1024" i="8"/>
  <c r="E1024" i="8"/>
  <c r="F1024" i="8"/>
  <c r="G1024" i="8"/>
  <c r="H1024" i="8"/>
  <c r="I1024" i="8"/>
  <c r="J1024" i="8"/>
  <c r="K1024" i="8"/>
  <c r="L1024" i="8"/>
  <c r="C1025" i="8"/>
  <c r="D1025" i="8"/>
  <c r="E1025" i="8"/>
  <c r="F1025" i="8"/>
  <c r="G1025" i="8"/>
  <c r="H1025" i="8"/>
  <c r="I1025" i="8"/>
  <c r="J1025" i="8"/>
  <c r="K1025" i="8"/>
  <c r="L1025" i="8"/>
  <c r="C1026" i="8"/>
  <c r="D1026" i="8" s="1"/>
  <c r="E1026" i="8" s="1"/>
  <c r="F1026" i="8" s="1"/>
  <c r="G1026" i="8" s="1"/>
  <c r="H1026" i="8" s="1"/>
  <c r="I1026" i="8" s="1"/>
  <c r="J1026" i="8" s="1"/>
  <c r="K1026" i="8" s="1"/>
  <c r="L1026" i="8" s="1"/>
  <c r="C1027" i="8"/>
  <c r="D1027" i="8"/>
  <c r="E1027" i="8" s="1"/>
  <c r="F1027" i="8" s="1"/>
  <c r="G1027" i="8" s="1"/>
  <c r="H1027" i="8" s="1"/>
  <c r="I1027" i="8" s="1"/>
  <c r="J1027" i="8" s="1"/>
  <c r="K1027" i="8" s="1"/>
  <c r="L1027" i="8" s="1"/>
  <c r="C1028" i="8"/>
  <c r="D1028" i="8"/>
  <c r="E1028" i="8"/>
  <c r="F1028" i="8" s="1"/>
  <c r="G1028" i="8" s="1"/>
  <c r="H1028" i="8" s="1"/>
  <c r="I1028" i="8" s="1"/>
  <c r="J1028" i="8" s="1"/>
  <c r="K1028" i="8" s="1"/>
  <c r="L1028" i="8" s="1"/>
  <c r="C1029" i="8"/>
  <c r="D1029" i="8"/>
  <c r="E1029" i="8"/>
  <c r="F1029" i="8"/>
  <c r="G1029" i="8" s="1"/>
  <c r="H1029" i="8" s="1"/>
  <c r="I1029" i="8" s="1"/>
  <c r="J1029" i="8" s="1"/>
  <c r="K1029" i="8" s="1"/>
  <c r="L1029" i="8" s="1"/>
  <c r="C1030" i="8"/>
  <c r="D1030" i="8"/>
  <c r="E1030" i="8"/>
  <c r="F1030" i="8"/>
  <c r="G1030" i="8"/>
  <c r="H1030" i="8" s="1"/>
  <c r="I1030" i="8" s="1"/>
  <c r="J1030" i="8" s="1"/>
  <c r="K1030" i="8" s="1"/>
  <c r="L1030" i="8" s="1"/>
  <c r="C1031" i="8"/>
  <c r="D1031" i="8"/>
  <c r="E1031" i="8"/>
  <c r="F1031" i="8"/>
  <c r="G1031" i="8"/>
  <c r="H1031" i="8"/>
  <c r="I1031" i="8" s="1"/>
  <c r="J1031" i="8" s="1"/>
  <c r="K1031" i="8" s="1"/>
  <c r="L1031" i="8" s="1"/>
  <c r="B1032" i="8"/>
  <c r="J1555" i="8"/>
  <c r="B1034" i="8"/>
  <c r="C1035" i="8"/>
  <c r="B1035" i="8"/>
  <c r="D1035" i="8"/>
  <c r="E1035" i="8"/>
  <c r="F1035" i="8"/>
  <c r="G1035" i="8"/>
  <c r="H1035" i="8"/>
  <c r="I1035" i="8"/>
  <c r="J1035" i="8"/>
  <c r="K1035" i="8"/>
  <c r="L1035" i="8"/>
  <c r="C1038" i="8"/>
  <c r="D1038" i="8"/>
  <c r="E1038" i="8"/>
  <c r="F1038" i="8"/>
  <c r="G1038" i="8"/>
  <c r="H1038" i="8"/>
  <c r="I1038" i="8"/>
  <c r="J1038" i="8"/>
  <c r="K1038" i="8"/>
  <c r="L1038" i="8"/>
  <c r="C1039" i="8"/>
  <c r="D1039" i="8"/>
  <c r="E1039" i="8"/>
  <c r="F1039" i="8"/>
  <c r="G1039" i="8"/>
  <c r="H1039" i="8"/>
  <c r="I1039" i="8"/>
  <c r="J1039" i="8"/>
  <c r="K1039" i="8"/>
  <c r="L1039" i="8"/>
  <c r="C1040" i="8"/>
  <c r="D1040" i="8"/>
  <c r="E1040" i="8"/>
  <c r="F1040" i="8"/>
  <c r="G1040" i="8"/>
  <c r="H1040" i="8"/>
  <c r="I1040" i="8"/>
  <c r="J1040" i="8"/>
  <c r="K1040" i="8"/>
  <c r="L1040" i="8"/>
  <c r="C1041" i="8"/>
  <c r="D1041" i="8"/>
  <c r="E1041" i="8"/>
  <c r="F1041" i="8"/>
  <c r="G1041" i="8"/>
  <c r="H1041" i="8"/>
  <c r="I1041" i="8"/>
  <c r="J1041" i="8"/>
  <c r="K1041" i="8"/>
  <c r="L1041" i="8"/>
  <c r="C1042" i="8"/>
  <c r="D1042" i="8"/>
  <c r="E1042" i="8"/>
  <c r="F1042" i="8"/>
  <c r="G1042" i="8"/>
  <c r="H1042" i="8"/>
  <c r="I1042" i="8"/>
  <c r="J1042" i="8"/>
  <c r="K1042" i="8"/>
  <c r="L1042" i="8"/>
  <c r="C1043" i="8"/>
  <c r="D1043" i="8"/>
  <c r="E1043" i="8"/>
  <c r="F1043" i="8"/>
  <c r="G1043" i="8"/>
  <c r="H1043" i="8"/>
  <c r="I1043" i="8"/>
  <c r="J1043" i="8"/>
  <c r="K1043" i="8"/>
  <c r="L1043" i="8"/>
  <c r="C1044" i="8"/>
  <c r="D1044" i="8"/>
  <c r="E1044" i="8"/>
  <c r="F1044" i="8"/>
  <c r="G1044" i="8"/>
  <c r="H1044" i="8"/>
  <c r="I1044" i="8"/>
  <c r="J1044" i="8"/>
  <c r="K1044" i="8"/>
  <c r="L1044" i="8"/>
  <c r="C1045" i="8"/>
  <c r="D1045" i="8"/>
  <c r="E1045" i="8"/>
  <c r="F1045" i="8"/>
  <c r="G1045" i="8"/>
  <c r="H1045" i="8"/>
  <c r="I1045" i="8"/>
  <c r="J1045" i="8"/>
  <c r="K1045" i="8"/>
  <c r="L1045" i="8"/>
  <c r="C1046" i="8"/>
  <c r="D1046" i="8"/>
  <c r="E1046" i="8"/>
  <c r="F1046" i="8"/>
  <c r="G1046" i="8"/>
  <c r="H1046" i="8"/>
  <c r="I1046" i="8"/>
  <c r="J1046" i="8"/>
  <c r="K1046" i="8"/>
  <c r="L1046" i="8"/>
  <c r="C1047" i="8"/>
  <c r="D1047" i="8"/>
  <c r="E1047" i="8"/>
  <c r="F1047" i="8"/>
  <c r="G1047" i="8"/>
  <c r="H1047" i="8"/>
  <c r="I1047" i="8"/>
  <c r="J1047" i="8"/>
  <c r="K1047" i="8"/>
  <c r="L1047" i="8"/>
  <c r="B1048" i="8"/>
  <c r="B1050" i="8"/>
  <c r="C1051" i="8"/>
  <c r="B1051" i="8"/>
  <c r="D1051" i="8"/>
  <c r="E1051" i="8"/>
  <c r="F1051" i="8"/>
  <c r="G1051" i="8"/>
  <c r="H1051" i="8"/>
  <c r="I1051" i="8"/>
  <c r="J1051" i="8"/>
  <c r="K1051" i="8"/>
  <c r="L1051" i="8"/>
  <c r="C1054" i="8"/>
  <c r="D1054" i="8"/>
  <c r="E1054" i="8"/>
  <c r="F1054" i="8"/>
  <c r="G1054" i="8"/>
  <c r="H1054" i="8"/>
  <c r="I1054" i="8"/>
  <c r="J1054" i="8"/>
  <c r="K1054" i="8"/>
  <c r="L1054" i="8"/>
  <c r="C1055" i="8"/>
  <c r="D1055" i="8"/>
  <c r="E1055" i="8"/>
  <c r="F1055" i="8"/>
  <c r="G1055" i="8"/>
  <c r="H1055" i="8"/>
  <c r="I1055" i="8"/>
  <c r="J1055" i="8"/>
  <c r="K1055" i="8"/>
  <c r="L1055" i="8"/>
  <c r="C1056" i="8"/>
  <c r="D1056" i="8"/>
  <c r="E1056" i="8"/>
  <c r="F1056" i="8"/>
  <c r="G1056" i="8"/>
  <c r="H1056" i="8"/>
  <c r="I1056" i="8"/>
  <c r="J1056" i="8"/>
  <c r="K1056" i="8"/>
  <c r="L1056" i="8"/>
  <c r="C1057" i="8"/>
  <c r="D1057" i="8"/>
  <c r="E1057" i="8"/>
  <c r="F1057" i="8"/>
  <c r="G1057" i="8"/>
  <c r="H1057" i="8"/>
  <c r="I1057" i="8"/>
  <c r="J1057" i="8"/>
  <c r="K1057" i="8"/>
  <c r="L1057" i="8"/>
  <c r="C1058" i="8"/>
  <c r="D1058" i="8"/>
  <c r="E1058" i="8"/>
  <c r="F1058" i="8"/>
  <c r="G1058" i="8"/>
  <c r="H1058" i="8"/>
  <c r="I1058" i="8"/>
  <c r="J1058" i="8"/>
  <c r="K1058" i="8"/>
  <c r="L1058" i="8"/>
  <c r="C1059" i="8"/>
  <c r="D1059" i="8"/>
  <c r="E1059" i="8"/>
  <c r="F1059" i="8"/>
  <c r="G1059" i="8"/>
  <c r="H1059" i="8"/>
  <c r="I1059" i="8"/>
  <c r="J1059" i="8"/>
  <c r="K1059" i="8"/>
  <c r="L1059" i="8"/>
  <c r="C1060" i="8"/>
  <c r="D1060" i="8"/>
  <c r="E1060" i="8"/>
  <c r="F1060" i="8"/>
  <c r="G1060" i="8"/>
  <c r="H1060" i="8"/>
  <c r="I1060" i="8"/>
  <c r="J1060" i="8"/>
  <c r="K1060" i="8"/>
  <c r="L1060" i="8"/>
  <c r="C1061" i="8"/>
  <c r="D1061" i="8"/>
  <c r="E1061" i="8"/>
  <c r="F1061" i="8"/>
  <c r="G1061" i="8"/>
  <c r="H1061" i="8"/>
  <c r="I1061" i="8"/>
  <c r="J1061" i="8"/>
  <c r="K1061" i="8"/>
  <c r="L1061" i="8"/>
  <c r="C1062" i="8"/>
  <c r="D1062" i="8"/>
  <c r="E1062" i="8"/>
  <c r="F1062" i="8"/>
  <c r="G1062" i="8"/>
  <c r="H1062" i="8"/>
  <c r="I1062" i="8"/>
  <c r="J1062" i="8"/>
  <c r="K1062" i="8"/>
  <c r="L1062" i="8"/>
  <c r="C1063" i="8"/>
  <c r="D1063" i="8"/>
  <c r="E1063" i="8"/>
  <c r="F1063" i="8"/>
  <c r="G1063" i="8"/>
  <c r="H1063" i="8"/>
  <c r="I1063" i="8"/>
  <c r="J1063" i="8"/>
  <c r="K1063" i="8"/>
  <c r="L1063" i="8"/>
  <c r="B1064" i="8"/>
  <c r="B1066" i="8"/>
  <c r="C1067" i="8"/>
  <c r="B1067" i="8"/>
  <c r="D1067" i="8"/>
  <c r="E1067" i="8"/>
  <c r="F1067" i="8"/>
  <c r="G1067" i="8"/>
  <c r="H1067" i="8"/>
  <c r="I1067" i="8"/>
  <c r="J1067" i="8"/>
  <c r="K1067" i="8"/>
  <c r="L1067" i="8"/>
  <c r="C1070" i="8"/>
  <c r="D1070" i="8"/>
  <c r="E1070" i="8"/>
  <c r="F1070" i="8"/>
  <c r="G1070" i="8"/>
  <c r="H1070" i="8"/>
  <c r="I1070" i="8"/>
  <c r="J1070" i="8"/>
  <c r="K1070" i="8"/>
  <c r="L1070" i="8"/>
  <c r="C1071" i="8"/>
  <c r="D1071" i="8"/>
  <c r="E1071" i="8"/>
  <c r="F1071" i="8"/>
  <c r="G1071" i="8"/>
  <c r="H1071" i="8"/>
  <c r="I1071" i="8"/>
  <c r="J1071" i="8"/>
  <c r="K1071" i="8"/>
  <c r="L1071" i="8"/>
  <c r="C1072" i="8"/>
  <c r="D1072" i="8"/>
  <c r="E1072" i="8"/>
  <c r="F1072" i="8"/>
  <c r="G1072" i="8"/>
  <c r="H1072" i="8"/>
  <c r="I1072" i="8"/>
  <c r="J1072" i="8"/>
  <c r="K1072" i="8"/>
  <c r="L1072" i="8"/>
  <c r="C1073" i="8"/>
  <c r="D1073" i="8"/>
  <c r="E1073" i="8"/>
  <c r="F1073" i="8"/>
  <c r="G1073" i="8"/>
  <c r="H1073" i="8"/>
  <c r="I1073" i="8"/>
  <c r="J1073" i="8"/>
  <c r="K1073" i="8"/>
  <c r="L1073" i="8"/>
  <c r="C1074" i="8"/>
  <c r="D1074" i="8"/>
  <c r="E1074" i="8"/>
  <c r="F1074" i="8"/>
  <c r="G1074" i="8"/>
  <c r="H1074" i="8"/>
  <c r="I1074" i="8"/>
  <c r="J1074" i="8"/>
  <c r="K1074" i="8"/>
  <c r="L1074" i="8"/>
  <c r="C1075" i="8"/>
  <c r="D1075" i="8"/>
  <c r="E1075" i="8"/>
  <c r="F1075" i="8"/>
  <c r="G1075" i="8"/>
  <c r="H1075" i="8"/>
  <c r="I1075" i="8"/>
  <c r="J1075" i="8"/>
  <c r="K1075" i="8"/>
  <c r="L1075" i="8"/>
  <c r="C1076" i="8"/>
  <c r="D1076" i="8"/>
  <c r="E1076" i="8"/>
  <c r="F1076" i="8"/>
  <c r="G1076" i="8"/>
  <c r="H1076" i="8"/>
  <c r="I1076" i="8"/>
  <c r="J1076" i="8"/>
  <c r="K1076" i="8"/>
  <c r="L1076" i="8"/>
  <c r="C1077" i="8"/>
  <c r="D1077" i="8"/>
  <c r="E1077" i="8"/>
  <c r="F1077" i="8"/>
  <c r="G1077" i="8"/>
  <c r="H1077" i="8"/>
  <c r="I1077" i="8"/>
  <c r="J1077" i="8"/>
  <c r="K1077" i="8"/>
  <c r="L1077" i="8"/>
  <c r="C1078" i="8"/>
  <c r="D1078" i="8"/>
  <c r="E1078" i="8"/>
  <c r="F1078" i="8"/>
  <c r="G1078" i="8"/>
  <c r="H1078" i="8"/>
  <c r="I1078" i="8"/>
  <c r="J1078" i="8"/>
  <c r="K1078" i="8"/>
  <c r="L1078" i="8"/>
  <c r="C1079" i="8"/>
  <c r="D1079" i="8"/>
  <c r="E1079" i="8"/>
  <c r="F1079" i="8"/>
  <c r="G1079" i="8"/>
  <c r="H1079" i="8"/>
  <c r="I1079" i="8"/>
  <c r="J1079" i="8"/>
  <c r="K1079" i="8"/>
  <c r="L1079" i="8"/>
  <c r="B1080" i="8"/>
  <c r="B1082" i="8"/>
  <c r="C1083" i="8"/>
  <c r="B1083" i="8"/>
  <c r="D1083" i="8"/>
  <c r="E1083" i="8"/>
  <c r="F1083" i="8"/>
  <c r="G1083" i="8"/>
  <c r="H1083" i="8"/>
  <c r="I1083" i="8"/>
  <c r="J1083" i="8"/>
  <c r="K1083" i="8"/>
  <c r="L1083" i="8"/>
  <c r="B1682" i="8"/>
  <c r="B1087" i="8" s="1"/>
  <c r="C1088" i="8"/>
  <c r="D1088" i="8"/>
  <c r="E1088" i="8"/>
  <c r="F1088" i="8"/>
  <c r="G1088" i="8"/>
  <c r="H1088" i="8"/>
  <c r="I1088" i="8"/>
  <c r="J1088" i="8"/>
  <c r="K1088" i="8"/>
  <c r="L1088" i="8" s="1"/>
  <c r="C1089" i="8"/>
  <c r="D1089" i="8"/>
  <c r="E1089" i="8"/>
  <c r="F1089" i="8"/>
  <c r="G1089" i="8"/>
  <c r="H1089" i="8"/>
  <c r="I1089" i="8"/>
  <c r="J1089" i="8"/>
  <c r="K1089" i="8"/>
  <c r="L1089" i="8"/>
  <c r="C1090" i="8"/>
  <c r="D1090" i="8"/>
  <c r="E1090" i="8"/>
  <c r="F1090" i="8"/>
  <c r="G1090" i="8"/>
  <c r="H1090" i="8"/>
  <c r="I1090" i="8"/>
  <c r="J1090" i="8"/>
  <c r="K1090" i="8"/>
  <c r="L1090" i="8"/>
  <c r="C1091" i="8"/>
  <c r="D1091" i="8" s="1"/>
  <c r="E1091" i="8" s="1"/>
  <c r="F1091" i="8" s="1"/>
  <c r="G1091" i="8" s="1"/>
  <c r="H1091" i="8" s="1"/>
  <c r="I1091" i="8" s="1"/>
  <c r="J1091" i="8" s="1"/>
  <c r="K1091" i="8" s="1"/>
  <c r="L1091" i="8" s="1"/>
  <c r="C1092" i="8"/>
  <c r="D1092" i="8" s="1"/>
  <c r="E1092" i="8" s="1"/>
  <c r="F1092" i="8" s="1"/>
  <c r="G1092" i="8" s="1"/>
  <c r="H1092" i="8" s="1"/>
  <c r="I1092" i="8" s="1"/>
  <c r="J1092" i="8" s="1"/>
  <c r="K1092" i="8" s="1"/>
  <c r="L1092" i="8" s="1"/>
  <c r="C1093" i="8"/>
  <c r="D1093" i="8"/>
  <c r="E1093" i="8" s="1"/>
  <c r="F1093" i="8" s="1"/>
  <c r="G1093" i="8" s="1"/>
  <c r="H1093" i="8" s="1"/>
  <c r="I1093" i="8" s="1"/>
  <c r="J1093" i="8" s="1"/>
  <c r="K1093" i="8" s="1"/>
  <c r="L1093" i="8" s="1"/>
  <c r="C1094" i="8"/>
  <c r="D1094" i="8"/>
  <c r="E1094" i="8"/>
  <c r="F1094" i="8" s="1"/>
  <c r="G1094" i="8" s="1"/>
  <c r="H1094" i="8" s="1"/>
  <c r="I1094" i="8" s="1"/>
  <c r="J1094" i="8" s="1"/>
  <c r="K1094" i="8" s="1"/>
  <c r="L1094" i="8" s="1"/>
  <c r="C1095" i="8"/>
  <c r="D1095" i="8"/>
  <c r="E1095" i="8"/>
  <c r="F1095" i="8"/>
  <c r="G1095" i="8" s="1"/>
  <c r="H1095" i="8" s="1"/>
  <c r="I1095" i="8" s="1"/>
  <c r="J1095" i="8" s="1"/>
  <c r="K1095" i="8" s="1"/>
  <c r="L1095" i="8" s="1"/>
  <c r="C1096" i="8"/>
  <c r="D1096" i="8"/>
  <c r="E1096" i="8"/>
  <c r="F1096" i="8"/>
  <c r="G1096" i="8"/>
  <c r="H1096" i="8" s="1"/>
  <c r="I1096" i="8" s="1"/>
  <c r="J1096" i="8" s="1"/>
  <c r="K1096" i="8" s="1"/>
  <c r="L1096" i="8" s="1"/>
  <c r="C1097" i="8"/>
  <c r="D1097" i="8"/>
  <c r="E1097" i="8"/>
  <c r="F1097" i="8"/>
  <c r="G1097" i="8"/>
  <c r="H1097" i="8"/>
  <c r="I1097" i="8" s="1"/>
  <c r="J1097" i="8" s="1"/>
  <c r="K1097" i="8" s="1"/>
  <c r="L1097" i="8" s="1"/>
  <c r="B1098" i="8"/>
  <c r="J1556" i="8"/>
  <c r="B1100" i="8"/>
  <c r="C1101" i="8" s="1"/>
  <c r="B1101" i="8"/>
  <c r="D1101" i="8"/>
  <c r="E1101" i="8"/>
  <c r="F1101" i="8"/>
  <c r="G1101" i="8"/>
  <c r="H1101" i="8"/>
  <c r="I1101" i="8"/>
  <c r="J1101" i="8"/>
  <c r="K1101" i="8"/>
  <c r="L1101" i="8"/>
  <c r="C1104" i="8"/>
  <c r="D1104" i="8"/>
  <c r="E1104" i="8"/>
  <c r="F1104" i="8"/>
  <c r="G1104" i="8"/>
  <c r="H1104" i="8"/>
  <c r="I1104" i="8"/>
  <c r="J1104" i="8"/>
  <c r="K1104" i="8"/>
  <c r="L1104" i="8"/>
  <c r="C1105" i="8"/>
  <c r="D1105" i="8"/>
  <c r="E1105" i="8"/>
  <c r="F1105" i="8"/>
  <c r="G1105" i="8"/>
  <c r="H1105" i="8"/>
  <c r="I1105" i="8"/>
  <c r="J1105" i="8"/>
  <c r="K1105" i="8"/>
  <c r="L1105" i="8"/>
  <c r="C1106" i="8"/>
  <c r="D1106" i="8"/>
  <c r="E1106" i="8"/>
  <c r="F1106" i="8"/>
  <c r="G1106" i="8"/>
  <c r="H1106" i="8"/>
  <c r="I1106" i="8"/>
  <c r="J1106" i="8"/>
  <c r="K1106" i="8"/>
  <c r="L1106" i="8"/>
  <c r="C1107" i="8"/>
  <c r="D1107" i="8"/>
  <c r="E1107" i="8"/>
  <c r="F1107" i="8"/>
  <c r="G1107" i="8"/>
  <c r="H1107" i="8"/>
  <c r="I1107" i="8"/>
  <c r="J1107" i="8"/>
  <c r="K1107" i="8"/>
  <c r="L1107" i="8"/>
  <c r="C1108" i="8"/>
  <c r="D1108" i="8"/>
  <c r="E1108" i="8"/>
  <c r="F1108" i="8"/>
  <c r="G1108" i="8"/>
  <c r="H1108" i="8"/>
  <c r="I1108" i="8"/>
  <c r="J1108" i="8"/>
  <c r="K1108" i="8"/>
  <c r="L1108" i="8"/>
  <c r="C1109" i="8"/>
  <c r="D1109" i="8"/>
  <c r="E1109" i="8"/>
  <c r="F1109" i="8"/>
  <c r="G1109" i="8"/>
  <c r="H1109" i="8"/>
  <c r="I1109" i="8"/>
  <c r="J1109" i="8"/>
  <c r="K1109" i="8"/>
  <c r="L1109" i="8"/>
  <c r="C1110" i="8"/>
  <c r="D1110" i="8"/>
  <c r="E1110" i="8"/>
  <c r="F1110" i="8"/>
  <c r="G1110" i="8"/>
  <c r="H1110" i="8"/>
  <c r="I1110" i="8"/>
  <c r="J1110" i="8"/>
  <c r="K1110" i="8"/>
  <c r="L1110" i="8"/>
  <c r="C1111" i="8"/>
  <c r="D1111" i="8"/>
  <c r="E1111" i="8"/>
  <c r="F1111" i="8"/>
  <c r="G1111" i="8"/>
  <c r="H1111" i="8"/>
  <c r="I1111" i="8"/>
  <c r="J1111" i="8"/>
  <c r="K1111" i="8"/>
  <c r="L1111" i="8"/>
  <c r="C1112" i="8"/>
  <c r="D1112" i="8"/>
  <c r="E1112" i="8"/>
  <c r="F1112" i="8"/>
  <c r="G1112" i="8"/>
  <c r="H1112" i="8"/>
  <c r="I1112" i="8"/>
  <c r="J1112" i="8"/>
  <c r="K1112" i="8"/>
  <c r="L1112" i="8"/>
  <c r="C1113" i="8"/>
  <c r="D1113" i="8"/>
  <c r="E1113" i="8"/>
  <c r="F1113" i="8"/>
  <c r="G1113" i="8"/>
  <c r="H1113" i="8"/>
  <c r="I1113" i="8"/>
  <c r="J1113" i="8"/>
  <c r="K1113" i="8"/>
  <c r="L1113" i="8"/>
  <c r="B1114" i="8"/>
  <c r="B1116" i="8"/>
  <c r="C1117" i="8"/>
  <c r="B1117" i="8"/>
  <c r="D1117" i="8"/>
  <c r="E1117" i="8"/>
  <c r="F1117" i="8"/>
  <c r="G1117" i="8"/>
  <c r="H1117" i="8"/>
  <c r="I1117" i="8"/>
  <c r="J1117" i="8"/>
  <c r="K1117" i="8"/>
  <c r="L1117" i="8"/>
  <c r="C1120" i="8"/>
  <c r="D1120" i="8"/>
  <c r="E1120" i="8"/>
  <c r="F1120" i="8"/>
  <c r="G1120" i="8"/>
  <c r="H1120" i="8"/>
  <c r="I1120" i="8"/>
  <c r="J1120" i="8"/>
  <c r="K1120" i="8"/>
  <c r="L1120" i="8"/>
  <c r="C1121" i="8"/>
  <c r="D1121" i="8"/>
  <c r="E1121" i="8"/>
  <c r="F1121" i="8"/>
  <c r="G1121" i="8"/>
  <c r="H1121" i="8"/>
  <c r="I1121" i="8"/>
  <c r="J1121" i="8"/>
  <c r="K1121" i="8"/>
  <c r="L1121" i="8"/>
  <c r="C1122" i="8"/>
  <c r="D1122" i="8"/>
  <c r="E1122" i="8"/>
  <c r="F1122" i="8"/>
  <c r="G1122" i="8"/>
  <c r="H1122" i="8"/>
  <c r="I1122" i="8"/>
  <c r="J1122" i="8"/>
  <c r="K1122" i="8"/>
  <c r="L1122" i="8"/>
  <c r="C1123" i="8"/>
  <c r="D1123" i="8"/>
  <c r="E1123" i="8"/>
  <c r="F1123" i="8"/>
  <c r="G1123" i="8"/>
  <c r="H1123" i="8"/>
  <c r="I1123" i="8"/>
  <c r="J1123" i="8"/>
  <c r="K1123" i="8"/>
  <c r="L1123" i="8"/>
  <c r="C1124" i="8"/>
  <c r="D1124" i="8"/>
  <c r="E1124" i="8"/>
  <c r="F1124" i="8"/>
  <c r="G1124" i="8"/>
  <c r="H1124" i="8"/>
  <c r="I1124" i="8"/>
  <c r="J1124" i="8"/>
  <c r="K1124" i="8"/>
  <c r="L1124" i="8"/>
  <c r="C1125" i="8"/>
  <c r="D1125" i="8"/>
  <c r="E1125" i="8"/>
  <c r="F1125" i="8"/>
  <c r="G1125" i="8"/>
  <c r="H1125" i="8"/>
  <c r="I1125" i="8"/>
  <c r="J1125" i="8"/>
  <c r="K1125" i="8"/>
  <c r="L1125" i="8"/>
  <c r="C1126" i="8"/>
  <c r="D1126" i="8"/>
  <c r="E1126" i="8"/>
  <c r="F1126" i="8"/>
  <c r="G1126" i="8"/>
  <c r="H1126" i="8"/>
  <c r="I1126" i="8"/>
  <c r="J1126" i="8"/>
  <c r="K1126" i="8"/>
  <c r="L1126" i="8"/>
  <c r="C1127" i="8"/>
  <c r="D1127" i="8"/>
  <c r="E1127" i="8"/>
  <c r="F1127" i="8"/>
  <c r="G1127" i="8"/>
  <c r="H1127" i="8"/>
  <c r="I1127" i="8"/>
  <c r="J1127" i="8"/>
  <c r="K1127" i="8"/>
  <c r="L1127" i="8"/>
  <c r="C1128" i="8"/>
  <c r="D1128" i="8"/>
  <c r="E1128" i="8"/>
  <c r="F1128" i="8"/>
  <c r="G1128" i="8"/>
  <c r="H1128" i="8"/>
  <c r="I1128" i="8"/>
  <c r="J1128" i="8"/>
  <c r="K1128" i="8"/>
  <c r="L1128" i="8"/>
  <c r="C1129" i="8"/>
  <c r="D1129" i="8"/>
  <c r="E1129" i="8"/>
  <c r="F1129" i="8"/>
  <c r="G1129" i="8"/>
  <c r="H1129" i="8"/>
  <c r="I1129" i="8"/>
  <c r="J1129" i="8"/>
  <c r="K1129" i="8"/>
  <c r="L1129" i="8"/>
  <c r="B1130" i="8"/>
  <c r="B1132" i="8"/>
  <c r="C1133" i="8"/>
  <c r="B1133" i="8"/>
  <c r="D1133" i="8"/>
  <c r="E1133" i="8"/>
  <c r="F1133" i="8"/>
  <c r="G1133" i="8"/>
  <c r="H1133" i="8"/>
  <c r="I1133" i="8"/>
  <c r="J1133" i="8"/>
  <c r="K1133" i="8"/>
  <c r="L1133" i="8"/>
  <c r="C1136" i="8"/>
  <c r="D1136" i="8"/>
  <c r="E1136" i="8"/>
  <c r="F1136" i="8"/>
  <c r="G1136" i="8"/>
  <c r="H1136" i="8"/>
  <c r="I1136" i="8"/>
  <c r="J1136" i="8"/>
  <c r="K1136" i="8"/>
  <c r="L1136" i="8"/>
  <c r="C1137" i="8"/>
  <c r="D1137" i="8"/>
  <c r="E1137" i="8"/>
  <c r="F1137" i="8"/>
  <c r="G1137" i="8"/>
  <c r="H1137" i="8"/>
  <c r="I1137" i="8"/>
  <c r="J1137" i="8"/>
  <c r="K1137" i="8"/>
  <c r="L1137" i="8"/>
  <c r="C1138" i="8"/>
  <c r="D1138" i="8"/>
  <c r="E1138" i="8"/>
  <c r="F1138" i="8"/>
  <c r="G1138" i="8"/>
  <c r="H1138" i="8"/>
  <c r="I1138" i="8"/>
  <c r="J1138" i="8"/>
  <c r="K1138" i="8"/>
  <c r="L1138" i="8"/>
  <c r="C1139" i="8"/>
  <c r="D1139" i="8"/>
  <c r="E1139" i="8"/>
  <c r="F1139" i="8"/>
  <c r="G1139" i="8"/>
  <c r="H1139" i="8"/>
  <c r="I1139" i="8"/>
  <c r="J1139" i="8"/>
  <c r="K1139" i="8"/>
  <c r="L1139" i="8"/>
  <c r="C1140" i="8"/>
  <c r="D1140" i="8"/>
  <c r="E1140" i="8"/>
  <c r="F1140" i="8"/>
  <c r="G1140" i="8"/>
  <c r="H1140" i="8"/>
  <c r="I1140" i="8"/>
  <c r="J1140" i="8"/>
  <c r="K1140" i="8"/>
  <c r="L1140" i="8"/>
  <c r="C1141" i="8"/>
  <c r="D1141" i="8"/>
  <c r="E1141" i="8"/>
  <c r="F1141" i="8"/>
  <c r="G1141" i="8"/>
  <c r="H1141" i="8"/>
  <c r="I1141" i="8"/>
  <c r="J1141" i="8"/>
  <c r="K1141" i="8"/>
  <c r="L1141" i="8"/>
  <c r="C1142" i="8"/>
  <c r="D1142" i="8"/>
  <c r="E1142" i="8"/>
  <c r="F1142" i="8"/>
  <c r="G1142" i="8"/>
  <c r="H1142" i="8"/>
  <c r="I1142" i="8"/>
  <c r="J1142" i="8"/>
  <c r="K1142" i="8"/>
  <c r="L1142" i="8"/>
  <c r="C1143" i="8"/>
  <c r="D1143" i="8"/>
  <c r="E1143" i="8"/>
  <c r="F1143" i="8"/>
  <c r="G1143" i="8"/>
  <c r="H1143" i="8"/>
  <c r="I1143" i="8"/>
  <c r="J1143" i="8"/>
  <c r="K1143" i="8"/>
  <c r="L1143" i="8"/>
  <c r="C1144" i="8"/>
  <c r="D1144" i="8"/>
  <c r="E1144" i="8"/>
  <c r="F1144" i="8"/>
  <c r="G1144" i="8"/>
  <c r="H1144" i="8"/>
  <c r="I1144" i="8"/>
  <c r="J1144" i="8"/>
  <c r="K1144" i="8"/>
  <c r="L1144" i="8"/>
  <c r="C1145" i="8"/>
  <c r="D1145" i="8"/>
  <c r="E1145" i="8"/>
  <c r="F1145" i="8"/>
  <c r="G1145" i="8"/>
  <c r="H1145" i="8"/>
  <c r="I1145" i="8"/>
  <c r="J1145" i="8"/>
  <c r="K1145" i="8"/>
  <c r="L1145" i="8"/>
  <c r="B1146" i="8"/>
  <c r="B1148" i="8"/>
  <c r="C1149" i="8"/>
  <c r="B1149" i="8"/>
  <c r="D1149" i="8"/>
  <c r="E1149" i="8"/>
  <c r="F1149" i="8"/>
  <c r="G1149" i="8"/>
  <c r="H1149" i="8"/>
  <c r="I1149" i="8"/>
  <c r="J1149" i="8"/>
  <c r="K1149" i="8"/>
  <c r="L1149" i="8"/>
  <c r="B1691" i="8"/>
  <c r="B1153" i="8" s="1"/>
  <c r="C1154" i="8"/>
  <c r="D1154" i="8"/>
  <c r="E1154" i="8"/>
  <c r="F1154" i="8"/>
  <c r="G1154" i="8"/>
  <c r="H1154" i="8"/>
  <c r="I1154" i="8"/>
  <c r="J1154" i="8"/>
  <c r="K1154" i="8"/>
  <c r="L1154" i="8" s="1"/>
  <c r="C1155" i="8"/>
  <c r="D1155" i="8"/>
  <c r="E1155" i="8"/>
  <c r="F1155" i="8"/>
  <c r="G1155" i="8"/>
  <c r="H1155" i="8"/>
  <c r="I1155" i="8"/>
  <c r="J1155" i="8"/>
  <c r="K1155" i="8"/>
  <c r="L1155" i="8"/>
  <c r="C1156" i="8"/>
  <c r="D1156" i="8"/>
  <c r="E1156" i="8"/>
  <c r="F1156" i="8"/>
  <c r="G1156" i="8"/>
  <c r="H1156" i="8"/>
  <c r="I1156" i="8"/>
  <c r="J1156" i="8"/>
  <c r="K1156" i="8"/>
  <c r="L1156" i="8"/>
  <c r="C1157" i="8"/>
  <c r="D1157" i="8" s="1"/>
  <c r="E1157" i="8" s="1"/>
  <c r="F1157" i="8" s="1"/>
  <c r="G1157" i="8" s="1"/>
  <c r="H1157" i="8" s="1"/>
  <c r="I1157" i="8" s="1"/>
  <c r="J1157" i="8" s="1"/>
  <c r="K1157" i="8" s="1"/>
  <c r="L1157" i="8" s="1"/>
  <c r="C1158" i="8"/>
  <c r="D1158" i="8" s="1"/>
  <c r="E1158" i="8" s="1"/>
  <c r="F1158" i="8" s="1"/>
  <c r="G1158" i="8" s="1"/>
  <c r="H1158" i="8" s="1"/>
  <c r="I1158" i="8" s="1"/>
  <c r="J1158" i="8" s="1"/>
  <c r="K1158" i="8" s="1"/>
  <c r="L1158" i="8" s="1"/>
  <c r="C1159" i="8"/>
  <c r="D1159" i="8"/>
  <c r="E1159" i="8" s="1"/>
  <c r="F1159" i="8" s="1"/>
  <c r="G1159" i="8" s="1"/>
  <c r="H1159" i="8" s="1"/>
  <c r="I1159" i="8" s="1"/>
  <c r="J1159" i="8" s="1"/>
  <c r="K1159" i="8" s="1"/>
  <c r="L1159" i="8" s="1"/>
  <c r="C1160" i="8"/>
  <c r="D1160" i="8"/>
  <c r="E1160" i="8"/>
  <c r="F1160" i="8" s="1"/>
  <c r="G1160" i="8" s="1"/>
  <c r="H1160" i="8" s="1"/>
  <c r="I1160" i="8" s="1"/>
  <c r="J1160" i="8" s="1"/>
  <c r="K1160" i="8" s="1"/>
  <c r="L1160" i="8" s="1"/>
  <c r="C1161" i="8"/>
  <c r="D1161" i="8"/>
  <c r="E1161" i="8"/>
  <c r="F1161" i="8"/>
  <c r="G1161" i="8" s="1"/>
  <c r="H1161" i="8" s="1"/>
  <c r="I1161" i="8" s="1"/>
  <c r="J1161" i="8" s="1"/>
  <c r="K1161" i="8" s="1"/>
  <c r="L1161" i="8" s="1"/>
  <c r="C1162" i="8"/>
  <c r="D1162" i="8"/>
  <c r="E1162" i="8"/>
  <c r="F1162" i="8"/>
  <c r="G1162" i="8"/>
  <c r="H1162" i="8" s="1"/>
  <c r="I1162" i="8" s="1"/>
  <c r="J1162" i="8" s="1"/>
  <c r="K1162" i="8" s="1"/>
  <c r="L1162" i="8" s="1"/>
  <c r="C1163" i="8"/>
  <c r="D1163" i="8"/>
  <c r="E1163" i="8"/>
  <c r="F1163" i="8"/>
  <c r="G1163" i="8"/>
  <c r="H1163" i="8"/>
  <c r="I1163" i="8" s="1"/>
  <c r="J1163" i="8" s="1"/>
  <c r="K1163" i="8" s="1"/>
  <c r="L1163" i="8" s="1"/>
  <c r="B1164" i="8"/>
  <c r="J1557" i="8"/>
  <c r="B1166" i="8"/>
  <c r="C1167" i="8"/>
  <c r="B1167" i="8"/>
  <c r="D1167" i="8"/>
  <c r="E1167" i="8"/>
  <c r="F1167" i="8"/>
  <c r="G1167" i="8"/>
  <c r="H1167" i="8"/>
  <c r="I1167" i="8"/>
  <c r="J1167" i="8"/>
  <c r="K1167" i="8"/>
  <c r="L1167" i="8"/>
  <c r="C1170" i="8"/>
  <c r="D1170" i="8"/>
  <c r="E1170" i="8"/>
  <c r="F1170" i="8"/>
  <c r="G1170" i="8"/>
  <c r="H1170" i="8"/>
  <c r="I1170" i="8"/>
  <c r="J1170" i="8"/>
  <c r="K1170" i="8"/>
  <c r="L1170" i="8"/>
  <c r="C1171" i="8"/>
  <c r="D1171" i="8"/>
  <c r="E1171" i="8"/>
  <c r="F1171" i="8"/>
  <c r="G1171" i="8"/>
  <c r="H1171" i="8"/>
  <c r="I1171" i="8"/>
  <c r="J1171" i="8"/>
  <c r="K1171" i="8"/>
  <c r="L1171" i="8"/>
  <c r="C1172" i="8"/>
  <c r="D1172" i="8"/>
  <c r="E1172" i="8"/>
  <c r="F1172" i="8"/>
  <c r="G1172" i="8"/>
  <c r="H1172" i="8"/>
  <c r="I1172" i="8"/>
  <c r="J1172" i="8"/>
  <c r="K1172" i="8"/>
  <c r="L1172" i="8"/>
  <c r="C1173" i="8"/>
  <c r="D1173" i="8"/>
  <c r="E1173" i="8"/>
  <c r="F1173" i="8"/>
  <c r="G1173" i="8"/>
  <c r="H1173" i="8"/>
  <c r="I1173" i="8"/>
  <c r="J1173" i="8"/>
  <c r="K1173" i="8"/>
  <c r="L1173" i="8"/>
  <c r="C1174" i="8"/>
  <c r="D1174" i="8"/>
  <c r="E1174" i="8"/>
  <c r="F1174" i="8"/>
  <c r="G1174" i="8"/>
  <c r="H1174" i="8"/>
  <c r="I1174" i="8"/>
  <c r="J1174" i="8"/>
  <c r="K1174" i="8"/>
  <c r="L1174" i="8"/>
  <c r="C1175" i="8"/>
  <c r="D1175" i="8"/>
  <c r="E1175" i="8"/>
  <c r="F1175" i="8"/>
  <c r="G1175" i="8"/>
  <c r="H1175" i="8"/>
  <c r="I1175" i="8"/>
  <c r="J1175" i="8"/>
  <c r="K1175" i="8"/>
  <c r="L1175" i="8"/>
  <c r="C1176" i="8"/>
  <c r="D1176" i="8"/>
  <c r="E1176" i="8"/>
  <c r="F1176" i="8"/>
  <c r="G1176" i="8"/>
  <c r="H1176" i="8"/>
  <c r="I1176" i="8"/>
  <c r="J1176" i="8"/>
  <c r="K1176" i="8"/>
  <c r="L1176" i="8"/>
  <c r="C1177" i="8"/>
  <c r="D1177" i="8"/>
  <c r="E1177" i="8"/>
  <c r="F1177" i="8"/>
  <c r="G1177" i="8"/>
  <c r="H1177" i="8"/>
  <c r="I1177" i="8"/>
  <c r="J1177" i="8"/>
  <c r="K1177" i="8"/>
  <c r="L1177" i="8"/>
  <c r="C1178" i="8"/>
  <c r="D1178" i="8"/>
  <c r="E1178" i="8"/>
  <c r="F1178" i="8"/>
  <c r="G1178" i="8"/>
  <c r="H1178" i="8"/>
  <c r="I1178" i="8"/>
  <c r="J1178" i="8"/>
  <c r="K1178" i="8"/>
  <c r="L1178" i="8"/>
  <c r="C1179" i="8"/>
  <c r="D1179" i="8"/>
  <c r="E1179" i="8"/>
  <c r="F1179" i="8"/>
  <c r="G1179" i="8"/>
  <c r="H1179" i="8"/>
  <c r="I1179" i="8"/>
  <c r="J1179" i="8"/>
  <c r="K1179" i="8"/>
  <c r="L1179" i="8"/>
  <c r="B1180" i="8"/>
  <c r="B1182" i="8"/>
  <c r="C1183" i="8"/>
  <c r="B1183" i="8"/>
  <c r="D1183" i="8"/>
  <c r="E1183" i="8"/>
  <c r="F1183" i="8"/>
  <c r="G1183" i="8"/>
  <c r="H1183" i="8"/>
  <c r="I1183" i="8"/>
  <c r="J1183" i="8"/>
  <c r="K1183" i="8"/>
  <c r="L1183" i="8"/>
  <c r="C1186" i="8"/>
  <c r="D1186" i="8"/>
  <c r="E1186" i="8"/>
  <c r="F1186" i="8"/>
  <c r="G1186" i="8"/>
  <c r="H1186" i="8"/>
  <c r="I1186" i="8"/>
  <c r="J1186" i="8"/>
  <c r="K1186" i="8"/>
  <c r="L1186" i="8"/>
  <c r="C1187" i="8"/>
  <c r="D1187" i="8"/>
  <c r="E1187" i="8"/>
  <c r="F1187" i="8"/>
  <c r="G1187" i="8"/>
  <c r="H1187" i="8"/>
  <c r="I1187" i="8"/>
  <c r="J1187" i="8"/>
  <c r="K1187" i="8"/>
  <c r="L1187" i="8"/>
  <c r="C1188" i="8"/>
  <c r="D1188" i="8"/>
  <c r="E1188" i="8"/>
  <c r="F1188" i="8"/>
  <c r="G1188" i="8"/>
  <c r="H1188" i="8"/>
  <c r="I1188" i="8"/>
  <c r="J1188" i="8"/>
  <c r="K1188" i="8"/>
  <c r="L1188" i="8"/>
  <c r="C1189" i="8"/>
  <c r="D1189" i="8"/>
  <c r="E1189" i="8"/>
  <c r="F1189" i="8"/>
  <c r="G1189" i="8"/>
  <c r="H1189" i="8"/>
  <c r="I1189" i="8"/>
  <c r="J1189" i="8"/>
  <c r="K1189" i="8"/>
  <c r="L1189" i="8"/>
  <c r="C1190" i="8"/>
  <c r="D1190" i="8"/>
  <c r="E1190" i="8"/>
  <c r="F1190" i="8"/>
  <c r="G1190" i="8"/>
  <c r="H1190" i="8"/>
  <c r="I1190" i="8"/>
  <c r="J1190" i="8"/>
  <c r="K1190" i="8"/>
  <c r="L1190" i="8"/>
  <c r="C1191" i="8"/>
  <c r="D1191" i="8"/>
  <c r="E1191" i="8"/>
  <c r="F1191" i="8"/>
  <c r="G1191" i="8"/>
  <c r="H1191" i="8"/>
  <c r="I1191" i="8"/>
  <c r="J1191" i="8"/>
  <c r="K1191" i="8"/>
  <c r="L1191" i="8"/>
  <c r="C1192" i="8"/>
  <c r="D1192" i="8"/>
  <c r="E1192" i="8"/>
  <c r="F1192" i="8"/>
  <c r="G1192" i="8"/>
  <c r="H1192" i="8"/>
  <c r="I1192" i="8"/>
  <c r="J1192" i="8"/>
  <c r="K1192" i="8"/>
  <c r="L1192" i="8"/>
  <c r="C1193" i="8"/>
  <c r="D1193" i="8"/>
  <c r="E1193" i="8"/>
  <c r="F1193" i="8"/>
  <c r="G1193" i="8"/>
  <c r="H1193" i="8"/>
  <c r="I1193" i="8"/>
  <c r="J1193" i="8"/>
  <c r="K1193" i="8"/>
  <c r="L1193" i="8"/>
  <c r="C1194" i="8"/>
  <c r="D1194" i="8"/>
  <c r="E1194" i="8"/>
  <c r="F1194" i="8"/>
  <c r="G1194" i="8"/>
  <c r="H1194" i="8"/>
  <c r="I1194" i="8"/>
  <c r="J1194" i="8"/>
  <c r="K1194" i="8"/>
  <c r="L1194" i="8"/>
  <c r="C1195" i="8"/>
  <c r="D1195" i="8"/>
  <c r="E1195" i="8"/>
  <c r="F1195" i="8"/>
  <c r="G1195" i="8"/>
  <c r="H1195" i="8"/>
  <c r="I1195" i="8"/>
  <c r="J1195" i="8"/>
  <c r="K1195" i="8"/>
  <c r="L1195" i="8"/>
  <c r="B1196" i="8"/>
  <c r="B1198" i="8"/>
  <c r="C1199" i="8"/>
  <c r="B1199" i="8"/>
  <c r="D1199" i="8"/>
  <c r="E1199" i="8"/>
  <c r="F1199" i="8"/>
  <c r="G1199" i="8"/>
  <c r="H1199" i="8"/>
  <c r="I1199" i="8"/>
  <c r="J1199" i="8"/>
  <c r="K1199" i="8"/>
  <c r="L1199" i="8"/>
  <c r="C1202" i="8"/>
  <c r="D1202" i="8"/>
  <c r="E1202" i="8"/>
  <c r="F1202" i="8"/>
  <c r="G1202" i="8"/>
  <c r="H1202" i="8"/>
  <c r="I1202" i="8"/>
  <c r="J1202" i="8"/>
  <c r="K1202" i="8"/>
  <c r="L1202" i="8"/>
  <c r="C1203" i="8"/>
  <c r="D1203" i="8"/>
  <c r="E1203" i="8"/>
  <c r="F1203" i="8"/>
  <c r="G1203" i="8"/>
  <c r="H1203" i="8"/>
  <c r="I1203" i="8"/>
  <c r="J1203" i="8"/>
  <c r="K1203" i="8"/>
  <c r="L1203" i="8"/>
  <c r="C1204" i="8"/>
  <c r="D1204" i="8"/>
  <c r="E1204" i="8"/>
  <c r="F1204" i="8"/>
  <c r="G1204" i="8"/>
  <c r="H1204" i="8"/>
  <c r="I1204" i="8"/>
  <c r="J1204" i="8"/>
  <c r="K1204" i="8"/>
  <c r="L1204" i="8"/>
  <c r="C1205" i="8"/>
  <c r="D1205" i="8"/>
  <c r="E1205" i="8"/>
  <c r="F1205" i="8"/>
  <c r="G1205" i="8"/>
  <c r="H1205" i="8"/>
  <c r="I1205" i="8"/>
  <c r="J1205" i="8"/>
  <c r="K1205" i="8"/>
  <c r="L1205" i="8"/>
  <c r="C1206" i="8"/>
  <c r="D1206" i="8"/>
  <c r="E1206" i="8"/>
  <c r="F1206" i="8"/>
  <c r="G1206" i="8"/>
  <c r="H1206" i="8"/>
  <c r="I1206" i="8"/>
  <c r="J1206" i="8"/>
  <c r="K1206" i="8"/>
  <c r="L1206" i="8"/>
  <c r="C1207" i="8"/>
  <c r="D1207" i="8"/>
  <c r="E1207" i="8"/>
  <c r="F1207" i="8"/>
  <c r="G1207" i="8"/>
  <c r="H1207" i="8"/>
  <c r="I1207" i="8"/>
  <c r="J1207" i="8"/>
  <c r="K1207" i="8"/>
  <c r="L1207" i="8"/>
  <c r="C1208" i="8"/>
  <c r="D1208" i="8"/>
  <c r="E1208" i="8"/>
  <c r="F1208" i="8"/>
  <c r="G1208" i="8"/>
  <c r="H1208" i="8"/>
  <c r="I1208" i="8"/>
  <c r="J1208" i="8"/>
  <c r="K1208" i="8"/>
  <c r="L1208" i="8"/>
  <c r="C1209" i="8"/>
  <c r="D1209" i="8"/>
  <c r="E1209" i="8"/>
  <c r="F1209" i="8"/>
  <c r="G1209" i="8"/>
  <c r="H1209" i="8"/>
  <c r="I1209" i="8"/>
  <c r="J1209" i="8"/>
  <c r="K1209" i="8"/>
  <c r="L1209" i="8"/>
  <c r="C1210" i="8"/>
  <c r="D1210" i="8"/>
  <c r="E1210" i="8"/>
  <c r="F1210" i="8"/>
  <c r="G1210" i="8"/>
  <c r="H1210" i="8"/>
  <c r="I1210" i="8"/>
  <c r="J1210" i="8"/>
  <c r="K1210" i="8"/>
  <c r="L1210" i="8"/>
  <c r="C1211" i="8"/>
  <c r="D1211" i="8"/>
  <c r="E1211" i="8"/>
  <c r="F1211" i="8"/>
  <c r="G1211" i="8"/>
  <c r="H1211" i="8"/>
  <c r="I1211" i="8"/>
  <c r="J1211" i="8"/>
  <c r="K1211" i="8"/>
  <c r="L1211" i="8"/>
  <c r="B1212" i="8"/>
  <c r="B1214" i="8"/>
  <c r="C1215" i="8"/>
  <c r="B1215" i="8"/>
  <c r="D1215" i="8"/>
  <c r="E1215" i="8"/>
  <c r="F1215" i="8"/>
  <c r="G1215" i="8"/>
  <c r="H1215" i="8"/>
  <c r="I1215" i="8"/>
  <c r="J1215" i="8"/>
  <c r="K1215" i="8"/>
  <c r="L1215" i="8"/>
  <c r="B1700" i="8"/>
  <c r="B1219" i="8"/>
  <c r="C1220" i="8"/>
  <c r="D1220" i="8"/>
  <c r="E1220" i="8"/>
  <c r="F1220" i="8"/>
  <c r="G1220" i="8"/>
  <c r="H1220" i="8"/>
  <c r="I1220" i="8"/>
  <c r="J1220" i="8"/>
  <c r="K1220" i="8"/>
  <c r="L1220" i="8" s="1"/>
  <c r="C1221" i="8"/>
  <c r="D1221" i="8"/>
  <c r="E1221" i="8"/>
  <c r="F1221" i="8"/>
  <c r="G1221" i="8"/>
  <c r="H1221" i="8"/>
  <c r="I1221" i="8"/>
  <c r="J1221" i="8"/>
  <c r="K1221" i="8"/>
  <c r="L1221" i="8"/>
  <c r="C1222" i="8"/>
  <c r="D1222" i="8"/>
  <c r="E1222" i="8"/>
  <c r="F1222" i="8"/>
  <c r="G1222" i="8"/>
  <c r="H1222" i="8"/>
  <c r="I1222" i="8"/>
  <c r="J1222" i="8"/>
  <c r="K1222" i="8"/>
  <c r="L1222" i="8"/>
  <c r="C1223" i="8"/>
  <c r="D1223" i="8"/>
  <c r="E1223" i="8"/>
  <c r="F1223" i="8"/>
  <c r="G1223" i="8"/>
  <c r="H1223" i="8"/>
  <c r="I1223" i="8"/>
  <c r="J1223" i="8"/>
  <c r="K1223" i="8"/>
  <c r="L1223" i="8"/>
  <c r="C1224" i="8"/>
  <c r="D1224" i="8" s="1"/>
  <c r="E1224" i="8" s="1"/>
  <c r="F1224" i="8" s="1"/>
  <c r="G1224" i="8" s="1"/>
  <c r="H1224" i="8" s="1"/>
  <c r="I1224" i="8" s="1"/>
  <c r="J1224" i="8" s="1"/>
  <c r="K1224" i="8" s="1"/>
  <c r="L1224" i="8" s="1"/>
  <c r="C1225" i="8"/>
  <c r="D1225" i="8"/>
  <c r="E1225" i="8" s="1"/>
  <c r="F1225" i="8" s="1"/>
  <c r="G1225" i="8" s="1"/>
  <c r="H1225" i="8" s="1"/>
  <c r="I1225" i="8" s="1"/>
  <c r="J1225" i="8" s="1"/>
  <c r="K1225" i="8" s="1"/>
  <c r="L1225" i="8" s="1"/>
  <c r="C1226" i="8"/>
  <c r="D1226" i="8"/>
  <c r="E1226" i="8"/>
  <c r="F1226" i="8" s="1"/>
  <c r="G1226" i="8" s="1"/>
  <c r="H1226" i="8" s="1"/>
  <c r="I1226" i="8" s="1"/>
  <c r="J1226" i="8" s="1"/>
  <c r="K1226" i="8" s="1"/>
  <c r="L1226" i="8" s="1"/>
  <c r="C1227" i="8"/>
  <c r="D1227" i="8"/>
  <c r="E1227" i="8"/>
  <c r="F1227" i="8"/>
  <c r="G1227" i="8" s="1"/>
  <c r="H1227" i="8" s="1"/>
  <c r="I1227" i="8" s="1"/>
  <c r="J1227" i="8" s="1"/>
  <c r="K1227" i="8" s="1"/>
  <c r="L1227" i="8" s="1"/>
  <c r="C1228" i="8"/>
  <c r="D1228" i="8"/>
  <c r="E1228" i="8"/>
  <c r="F1228" i="8"/>
  <c r="G1228" i="8"/>
  <c r="H1228" i="8" s="1"/>
  <c r="I1228" i="8" s="1"/>
  <c r="J1228" i="8" s="1"/>
  <c r="K1228" i="8" s="1"/>
  <c r="L1228" i="8" s="1"/>
  <c r="C1229" i="8"/>
  <c r="D1229" i="8"/>
  <c r="E1229" i="8"/>
  <c r="F1229" i="8"/>
  <c r="G1229" i="8"/>
  <c r="H1229" i="8"/>
  <c r="I1229" i="8" s="1"/>
  <c r="J1229" i="8" s="1"/>
  <c r="K1229" i="8" s="1"/>
  <c r="L1229" i="8" s="1"/>
  <c r="B1230" i="8"/>
  <c r="J1558" i="8"/>
  <c r="B1232" i="8"/>
  <c r="C1233" i="8"/>
  <c r="B1233" i="8"/>
  <c r="D1233" i="8"/>
  <c r="E1233" i="8"/>
  <c r="F1233" i="8"/>
  <c r="G1233" i="8"/>
  <c r="H1233" i="8"/>
  <c r="I1233" i="8"/>
  <c r="J1233" i="8"/>
  <c r="K1233" i="8"/>
  <c r="L1233" i="8"/>
  <c r="C1236" i="8"/>
  <c r="D1236" i="8"/>
  <c r="E1236" i="8"/>
  <c r="F1236" i="8"/>
  <c r="G1236" i="8"/>
  <c r="H1236" i="8"/>
  <c r="I1236" i="8"/>
  <c r="J1236" i="8"/>
  <c r="K1236" i="8"/>
  <c r="L1236" i="8"/>
  <c r="C1237" i="8"/>
  <c r="D1237" i="8"/>
  <c r="E1237" i="8"/>
  <c r="F1237" i="8"/>
  <c r="G1237" i="8"/>
  <c r="H1237" i="8"/>
  <c r="I1237" i="8"/>
  <c r="J1237" i="8"/>
  <c r="K1237" i="8"/>
  <c r="L1237" i="8"/>
  <c r="C1238" i="8"/>
  <c r="D1238" i="8"/>
  <c r="E1238" i="8"/>
  <c r="F1238" i="8"/>
  <c r="G1238" i="8"/>
  <c r="H1238" i="8"/>
  <c r="I1238" i="8"/>
  <c r="J1238" i="8"/>
  <c r="K1238" i="8"/>
  <c r="L1238" i="8"/>
  <c r="C1239" i="8"/>
  <c r="D1239" i="8"/>
  <c r="E1239" i="8"/>
  <c r="F1239" i="8"/>
  <c r="G1239" i="8"/>
  <c r="H1239" i="8"/>
  <c r="I1239" i="8"/>
  <c r="J1239" i="8"/>
  <c r="K1239" i="8"/>
  <c r="L1239" i="8"/>
  <c r="C1240" i="8"/>
  <c r="D1240" i="8"/>
  <c r="E1240" i="8"/>
  <c r="F1240" i="8"/>
  <c r="G1240" i="8"/>
  <c r="H1240" i="8"/>
  <c r="I1240" i="8"/>
  <c r="J1240" i="8"/>
  <c r="K1240" i="8"/>
  <c r="L1240" i="8"/>
  <c r="C1241" i="8"/>
  <c r="D1241" i="8"/>
  <c r="E1241" i="8"/>
  <c r="F1241" i="8"/>
  <c r="G1241" i="8"/>
  <c r="H1241" i="8"/>
  <c r="I1241" i="8"/>
  <c r="J1241" i="8"/>
  <c r="K1241" i="8"/>
  <c r="L1241" i="8"/>
  <c r="C1242" i="8"/>
  <c r="D1242" i="8"/>
  <c r="E1242" i="8"/>
  <c r="F1242" i="8"/>
  <c r="G1242" i="8"/>
  <c r="H1242" i="8"/>
  <c r="I1242" i="8"/>
  <c r="J1242" i="8"/>
  <c r="K1242" i="8"/>
  <c r="L1242" i="8"/>
  <c r="C1243" i="8"/>
  <c r="D1243" i="8"/>
  <c r="E1243" i="8"/>
  <c r="F1243" i="8"/>
  <c r="G1243" i="8"/>
  <c r="H1243" i="8"/>
  <c r="I1243" i="8"/>
  <c r="J1243" i="8"/>
  <c r="K1243" i="8"/>
  <c r="L1243" i="8"/>
  <c r="C1244" i="8"/>
  <c r="D1244" i="8"/>
  <c r="E1244" i="8"/>
  <c r="F1244" i="8"/>
  <c r="G1244" i="8"/>
  <c r="H1244" i="8"/>
  <c r="I1244" i="8"/>
  <c r="J1244" i="8"/>
  <c r="K1244" i="8"/>
  <c r="L1244" i="8"/>
  <c r="C1245" i="8"/>
  <c r="D1245" i="8"/>
  <c r="E1245" i="8"/>
  <c r="F1245" i="8"/>
  <c r="G1245" i="8"/>
  <c r="H1245" i="8"/>
  <c r="I1245" i="8"/>
  <c r="J1245" i="8"/>
  <c r="K1245" i="8"/>
  <c r="L1245" i="8"/>
  <c r="B1246" i="8"/>
  <c r="B1248" i="8"/>
  <c r="C1249" i="8"/>
  <c r="B1249" i="8"/>
  <c r="D1249" i="8"/>
  <c r="E1249" i="8"/>
  <c r="F1249" i="8"/>
  <c r="G1249" i="8"/>
  <c r="H1249" i="8"/>
  <c r="I1249" i="8"/>
  <c r="J1249" i="8"/>
  <c r="K1249" i="8"/>
  <c r="L1249" i="8"/>
  <c r="C1252" i="8"/>
  <c r="D1252" i="8"/>
  <c r="E1252" i="8"/>
  <c r="F1252" i="8"/>
  <c r="G1252" i="8"/>
  <c r="H1252" i="8"/>
  <c r="I1252" i="8"/>
  <c r="J1252" i="8"/>
  <c r="K1252" i="8"/>
  <c r="L1252" i="8"/>
  <c r="C1253" i="8"/>
  <c r="D1253" i="8"/>
  <c r="E1253" i="8"/>
  <c r="F1253" i="8"/>
  <c r="G1253" i="8"/>
  <c r="H1253" i="8"/>
  <c r="I1253" i="8"/>
  <c r="J1253" i="8"/>
  <c r="K1253" i="8"/>
  <c r="L1253" i="8"/>
  <c r="C1254" i="8"/>
  <c r="D1254" i="8"/>
  <c r="E1254" i="8"/>
  <c r="F1254" i="8"/>
  <c r="G1254" i="8"/>
  <c r="H1254" i="8"/>
  <c r="I1254" i="8"/>
  <c r="J1254" i="8"/>
  <c r="K1254" i="8"/>
  <c r="L1254" i="8"/>
  <c r="C1255" i="8"/>
  <c r="D1255" i="8"/>
  <c r="E1255" i="8"/>
  <c r="F1255" i="8"/>
  <c r="G1255" i="8"/>
  <c r="H1255" i="8"/>
  <c r="I1255" i="8"/>
  <c r="J1255" i="8"/>
  <c r="K1255" i="8"/>
  <c r="L1255" i="8"/>
  <c r="C1256" i="8"/>
  <c r="D1256" i="8"/>
  <c r="E1256" i="8"/>
  <c r="F1256" i="8"/>
  <c r="G1256" i="8"/>
  <c r="H1256" i="8"/>
  <c r="I1256" i="8"/>
  <c r="J1256" i="8"/>
  <c r="K1256" i="8"/>
  <c r="L1256" i="8"/>
  <c r="C1257" i="8"/>
  <c r="D1257" i="8"/>
  <c r="E1257" i="8"/>
  <c r="F1257" i="8"/>
  <c r="G1257" i="8"/>
  <c r="H1257" i="8"/>
  <c r="I1257" i="8"/>
  <c r="J1257" i="8"/>
  <c r="K1257" i="8"/>
  <c r="L1257" i="8"/>
  <c r="C1258" i="8"/>
  <c r="D1258" i="8"/>
  <c r="E1258" i="8"/>
  <c r="F1258" i="8"/>
  <c r="G1258" i="8"/>
  <c r="H1258" i="8"/>
  <c r="I1258" i="8"/>
  <c r="J1258" i="8"/>
  <c r="K1258" i="8"/>
  <c r="L1258" i="8"/>
  <c r="C1259" i="8"/>
  <c r="D1259" i="8"/>
  <c r="E1259" i="8"/>
  <c r="F1259" i="8"/>
  <c r="G1259" i="8"/>
  <c r="H1259" i="8"/>
  <c r="I1259" i="8"/>
  <c r="J1259" i="8"/>
  <c r="K1259" i="8"/>
  <c r="L1259" i="8"/>
  <c r="C1260" i="8"/>
  <c r="D1260" i="8"/>
  <c r="E1260" i="8"/>
  <c r="F1260" i="8"/>
  <c r="G1260" i="8"/>
  <c r="H1260" i="8"/>
  <c r="I1260" i="8"/>
  <c r="J1260" i="8"/>
  <c r="K1260" i="8"/>
  <c r="L1260" i="8"/>
  <c r="C1261" i="8"/>
  <c r="D1261" i="8"/>
  <c r="E1261" i="8"/>
  <c r="F1261" i="8"/>
  <c r="G1261" i="8"/>
  <c r="H1261" i="8"/>
  <c r="I1261" i="8"/>
  <c r="J1261" i="8"/>
  <c r="K1261" i="8"/>
  <c r="L1261" i="8"/>
  <c r="B1262" i="8"/>
  <c r="B1264" i="8"/>
  <c r="C1265" i="8"/>
  <c r="B1265" i="8"/>
  <c r="D1265" i="8"/>
  <c r="E1265" i="8"/>
  <c r="F1265" i="8"/>
  <c r="G1265" i="8"/>
  <c r="H1265" i="8"/>
  <c r="I1265" i="8"/>
  <c r="J1265" i="8"/>
  <c r="K1265" i="8"/>
  <c r="L1265" i="8"/>
  <c r="C1268" i="8"/>
  <c r="D1268" i="8"/>
  <c r="E1268" i="8"/>
  <c r="F1268" i="8"/>
  <c r="G1268" i="8"/>
  <c r="H1268" i="8"/>
  <c r="I1268" i="8"/>
  <c r="J1268" i="8"/>
  <c r="K1268" i="8"/>
  <c r="L1268" i="8"/>
  <c r="C1269" i="8"/>
  <c r="D1269" i="8"/>
  <c r="E1269" i="8"/>
  <c r="F1269" i="8"/>
  <c r="G1269" i="8"/>
  <c r="H1269" i="8"/>
  <c r="I1269" i="8"/>
  <c r="J1269" i="8"/>
  <c r="K1269" i="8"/>
  <c r="L1269" i="8"/>
  <c r="C1270" i="8"/>
  <c r="D1270" i="8"/>
  <c r="E1270" i="8"/>
  <c r="F1270" i="8"/>
  <c r="G1270" i="8"/>
  <c r="H1270" i="8"/>
  <c r="I1270" i="8"/>
  <c r="J1270" i="8"/>
  <c r="K1270" i="8"/>
  <c r="L1270" i="8"/>
  <c r="C1271" i="8"/>
  <c r="D1271" i="8"/>
  <c r="E1271" i="8"/>
  <c r="F1271" i="8"/>
  <c r="G1271" i="8"/>
  <c r="H1271" i="8"/>
  <c r="I1271" i="8"/>
  <c r="J1271" i="8"/>
  <c r="K1271" i="8"/>
  <c r="L1271" i="8"/>
  <c r="C1272" i="8"/>
  <c r="D1272" i="8"/>
  <c r="E1272" i="8"/>
  <c r="F1272" i="8"/>
  <c r="G1272" i="8"/>
  <c r="H1272" i="8"/>
  <c r="I1272" i="8"/>
  <c r="J1272" i="8"/>
  <c r="K1272" i="8"/>
  <c r="L1272" i="8"/>
  <c r="C1273" i="8"/>
  <c r="D1273" i="8"/>
  <c r="E1273" i="8"/>
  <c r="F1273" i="8"/>
  <c r="G1273" i="8"/>
  <c r="H1273" i="8"/>
  <c r="I1273" i="8"/>
  <c r="J1273" i="8"/>
  <c r="K1273" i="8"/>
  <c r="L1273" i="8"/>
  <c r="C1274" i="8"/>
  <c r="D1274" i="8"/>
  <c r="E1274" i="8"/>
  <c r="F1274" i="8"/>
  <c r="G1274" i="8"/>
  <c r="H1274" i="8"/>
  <c r="I1274" i="8"/>
  <c r="J1274" i="8"/>
  <c r="K1274" i="8"/>
  <c r="L1274" i="8"/>
  <c r="C1275" i="8"/>
  <c r="D1275" i="8"/>
  <c r="E1275" i="8"/>
  <c r="F1275" i="8"/>
  <c r="G1275" i="8"/>
  <c r="H1275" i="8"/>
  <c r="I1275" i="8"/>
  <c r="J1275" i="8"/>
  <c r="K1275" i="8"/>
  <c r="L1275" i="8"/>
  <c r="C1276" i="8"/>
  <c r="D1276" i="8"/>
  <c r="E1276" i="8"/>
  <c r="F1276" i="8"/>
  <c r="G1276" i="8"/>
  <c r="H1276" i="8"/>
  <c r="I1276" i="8"/>
  <c r="J1276" i="8"/>
  <c r="K1276" i="8"/>
  <c r="L1276" i="8"/>
  <c r="C1277" i="8"/>
  <c r="D1277" i="8"/>
  <c r="E1277" i="8"/>
  <c r="F1277" i="8"/>
  <c r="G1277" i="8"/>
  <c r="H1277" i="8"/>
  <c r="I1277" i="8"/>
  <c r="J1277" i="8"/>
  <c r="K1277" i="8"/>
  <c r="L1277" i="8"/>
  <c r="B1278" i="8"/>
  <c r="B1280" i="8"/>
  <c r="C1281" i="8"/>
  <c r="B1281" i="8"/>
  <c r="D1281" i="8"/>
  <c r="E1281" i="8"/>
  <c r="F1281" i="8"/>
  <c r="G1281" i="8"/>
  <c r="H1281" i="8"/>
  <c r="I1281" i="8"/>
  <c r="J1281" i="8"/>
  <c r="K1281" i="8"/>
  <c r="L1281" i="8"/>
  <c r="B1709" i="8"/>
  <c r="B1285" i="8"/>
  <c r="C1286" i="8"/>
  <c r="D1286" i="8"/>
  <c r="E1286" i="8"/>
  <c r="F1286" i="8"/>
  <c r="G1286" i="8"/>
  <c r="H1286" i="8"/>
  <c r="I1286" i="8"/>
  <c r="J1286" i="8"/>
  <c r="K1286" i="8"/>
  <c r="L1286" i="8" s="1"/>
  <c r="C1287" i="8"/>
  <c r="D1287" i="8"/>
  <c r="E1287" i="8"/>
  <c r="F1287" i="8"/>
  <c r="G1287" i="8"/>
  <c r="H1287" i="8"/>
  <c r="I1287" i="8"/>
  <c r="J1287" i="8"/>
  <c r="K1287" i="8"/>
  <c r="L1287" i="8"/>
  <c r="C1288" i="8"/>
  <c r="D1288" i="8"/>
  <c r="E1288" i="8"/>
  <c r="F1288" i="8"/>
  <c r="G1288" i="8"/>
  <c r="H1288" i="8"/>
  <c r="I1288" i="8"/>
  <c r="J1288" i="8"/>
  <c r="K1288" i="8"/>
  <c r="L1288" i="8"/>
  <c r="C1290" i="8"/>
  <c r="D1290" i="8" s="1"/>
  <c r="E1290" i="8" s="1"/>
  <c r="F1290" i="8" s="1"/>
  <c r="G1290" i="8" s="1"/>
  <c r="H1290" i="8" s="1"/>
  <c r="I1290" i="8" s="1"/>
  <c r="J1290" i="8" s="1"/>
  <c r="K1290" i="8" s="1"/>
  <c r="L1290" i="8" s="1"/>
  <c r="C1291" i="8"/>
  <c r="D1291" i="8"/>
  <c r="E1291" i="8" s="1"/>
  <c r="F1291" i="8" s="1"/>
  <c r="G1291" i="8" s="1"/>
  <c r="H1291" i="8" s="1"/>
  <c r="I1291" i="8" s="1"/>
  <c r="J1291" i="8" s="1"/>
  <c r="K1291" i="8" s="1"/>
  <c r="L1291" i="8" s="1"/>
  <c r="C1292" i="8"/>
  <c r="D1292" i="8"/>
  <c r="E1292" i="8"/>
  <c r="F1292" i="8" s="1"/>
  <c r="G1292" i="8" s="1"/>
  <c r="H1292" i="8" s="1"/>
  <c r="I1292" i="8" s="1"/>
  <c r="J1292" i="8" s="1"/>
  <c r="K1292" i="8" s="1"/>
  <c r="L1292" i="8" s="1"/>
  <c r="C1293" i="8"/>
  <c r="D1293" i="8"/>
  <c r="E1293" i="8"/>
  <c r="F1293" i="8"/>
  <c r="G1293" i="8" s="1"/>
  <c r="H1293" i="8" s="1"/>
  <c r="I1293" i="8" s="1"/>
  <c r="J1293" i="8" s="1"/>
  <c r="K1293" i="8" s="1"/>
  <c r="L1293" i="8" s="1"/>
  <c r="C1294" i="8"/>
  <c r="D1294" i="8"/>
  <c r="E1294" i="8"/>
  <c r="F1294" i="8"/>
  <c r="G1294" i="8"/>
  <c r="H1294" i="8" s="1"/>
  <c r="I1294" i="8" s="1"/>
  <c r="J1294" i="8" s="1"/>
  <c r="K1294" i="8" s="1"/>
  <c r="L1294" i="8" s="1"/>
  <c r="C1295" i="8"/>
  <c r="D1295" i="8"/>
  <c r="E1295" i="8"/>
  <c r="F1295" i="8"/>
  <c r="G1295" i="8"/>
  <c r="H1295" i="8"/>
  <c r="I1295" i="8" s="1"/>
  <c r="J1295" i="8" s="1"/>
  <c r="K1295" i="8" s="1"/>
  <c r="L1295" i="8" s="1"/>
  <c r="B1296" i="8"/>
  <c r="B1298" i="8"/>
  <c r="C1299" i="8"/>
  <c r="B1299" i="8"/>
  <c r="D1299" i="8"/>
  <c r="E1299" i="8"/>
  <c r="F1299" i="8"/>
  <c r="G1299" i="8"/>
  <c r="H1299" i="8"/>
  <c r="I1299" i="8"/>
  <c r="J1299" i="8"/>
  <c r="K1299" i="8"/>
  <c r="L1299" i="8"/>
  <c r="C1302" i="8"/>
  <c r="D1302" i="8"/>
  <c r="E1302" i="8"/>
  <c r="F1302" i="8"/>
  <c r="G1302" i="8"/>
  <c r="H1302" i="8"/>
  <c r="I1302" i="8"/>
  <c r="J1302" i="8"/>
  <c r="K1302" i="8"/>
  <c r="L1302" i="8"/>
  <c r="C1303" i="8"/>
  <c r="D1303" i="8"/>
  <c r="E1303" i="8"/>
  <c r="F1303" i="8"/>
  <c r="G1303" i="8"/>
  <c r="H1303" i="8"/>
  <c r="I1303" i="8"/>
  <c r="J1303" i="8"/>
  <c r="K1303" i="8"/>
  <c r="L1303" i="8"/>
  <c r="C1304" i="8"/>
  <c r="B1314" i="8" s="1"/>
  <c r="D1304" i="8"/>
  <c r="E1304" i="8"/>
  <c r="F1304" i="8"/>
  <c r="G1304" i="8"/>
  <c r="H1304" i="8"/>
  <c r="I1304" i="8"/>
  <c r="J1304" i="8"/>
  <c r="K1304" i="8"/>
  <c r="L1304" i="8"/>
  <c r="C1306" i="8"/>
  <c r="D1306" i="8"/>
  <c r="E1306" i="8"/>
  <c r="F1306" i="8"/>
  <c r="G1306" i="8"/>
  <c r="H1306" i="8"/>
  <c r="I1306" i="8"/>
  <c r="J1306" i="8"/>
  <c r="K1306" i="8"/>
  <c r="L1306" i="8"/>
  <c r="C1307" i="8"/>
  <c r="D1307" i="8"/>
  <c r="E1307" i="8"/>
  <c r="F1307" i="8"/>
  <c r="G1307" i="8"/>
  <c r="H1307" i="8"/>
  <c r="I1307" i="8"/>
  <c r="J1307" i="8"/>
  <c r="K1307" i="8"/>
  <c r="L1307" i="8"/>
  <c r="C1308" i="8"/>
  <c r="D1308" i="8"/>
  <c r="E1308" i="8"/>
  <c r="F1308" i="8"/>
  <c r="G1308" i="8"/>
  <c r="H1308" i="8"/>
  <c r="I1308" i="8"/>
  <c r="J1308" i="8"/>
  <c r="K1308" i="8"/>
  <c r="L1308" i="8"/>
  <c r="C1309" i="8"/>
  <c r="D1309" i="8"/>
  <c r="E1309" i="8"/>
  <c r="F1309" i="8"/>
  <c r="G1309" i="8"/>
  <c r="H1309" i="8"/>
  <c r="I1309" i="8"/>
  <c r="J1309" i="8"/>
  <c r="K1309" i="8"/>
  <c r="L1309" i="8"/>
  <c r="C1310" i="8"/>
  <c r="D1310" i="8"/>
  <c r="E1310" i="8"/>
  <c r="F1310" i="8"/>
  <c r="G1310" i="8"/>
  <c r="H1310" i="8"/>
  <c r="I1310" i="8"/>
  <c r="J1310" i="8"/>
  <c r="K1310" i="8"/>
  <c r="L1310" i="8"/>
  <c r="C1311" i="8"/>
  <c r="D1311" i="8"/>
  <c r="E1311" i="8"/>
  <c r="F1311" i="8"/>
  <c r="G1311" i="8"/>
  <c r="H1311" i="8"/>
  <c r="I1311" i="8"/>
  <c r="J1311" i="8"/>
  <c r="K1311" i="8"/>
  <c r="L1311" i="8"/>
  <c r="B1312" i="8"/>
  <c r="C1315" i="8" l="1"/>
  <c r="B1315" i="8"/>
  <c r="D1315" i="8"/>
  <c r="E1315" i="8"/>
  <c r="F1315" i="8"/>
  <c r="G1315" i="8"/>
  <c r="H1315" i="8"/>
  <c r="I1315" i="8"/>
  <c r="J1315" i="8"/>
  <c r="K1315" i="8"/>
  <c r="L1315" i="8"/>
  <c r="C1318" i="8"/>
  <c r="D1318" i="8"/>
  <c r="E1318" i="8"/>
  <c r="F1318" i="8"/>
  <c r="G1318" i="8"/>
  <c r="H1318" i="8"/>
  <c r="I1318" i="8"/>
  <c r="J1318" i="8"/>
  <c r="K1318" i="8"/>
  <c r="L1318" i="8"/>
  <c r="C1319" i="8"/>
  <c r="D1319" i="8"/>
  <c r="E1319" i="8"/>
  <c r="F1319" i="8"/>
  <c r="G1319" i="8"/>
  <c r="H1319" i="8"/>
  <c r="I1319" i="8"/>
  <c r="J1319" i="8"/>
  <c r="K1319" i="8"/>
  <c r="L1319" i="8"/>
  <c r="C1320" i="8"/>
  <c r="B1330" i="8" s="1"/>
  <c r="D1320" i="8"/>
  <c r="E1320" i="8"/>
  <c r="F1320" i="8"/>
  <c r="G1320" i="8"/>
  <c r="H1320" i="8"/>
  <c r="I1320" i="8"/>
  <c r="J1320" i="8"/>
  <c r="K1320" i="8"/>
  <c r="L1320" i="8"/>
  <c r="C1322" i="8"/>
  <c r="D1322" i="8"/>
  <c r="E1322" i="8"/>
  <c r="F1322" i="8"/>
  <c r="G1322" i="8"/>
  <c r="H1322" i="8"/>
  <c r="I1322" i="8"/>
  <c r="J1322" i="8"/>
  <c r="K1322" i="8"/>
  <c r="L1322" i="8"/>
  <c r="C1323" i="8"/>
  <c r="D1323" i="8"/>
  <c r="E1323" i="8"/>
  <c r="F1323" i="8"/>
  <c r="G1323" i="8"/>
  <c r="H1323" i="8"/>
  <c r="I1323" i="8"/>
  <c r="J1323" i="8"/>
  <c r="K1323" i="8"/>
  <c r="L1323" i="8"/>
  <c r="C1324" i="8"/>
  <c r="D1324" i="8"/>
  <c r="E1324" i="8"/>
  <c r="F1324" i="8"/>
  <c r="G1324" i="8"/>
  <c r="H1324" i="8"/>
  <c r="I1324" i="8"/>
  <c r="J1324" i="8"/>
  <c r="K1324" i="8"/>
  <c r="L1324" i="8"/>
  <c r="C1325" i="8"/>
  <c r="D1325" i="8"/>
  <c r="E1325" i="8"/>
  <c r="F1325" i="8"/>
  <c r="G1325" i="8"/>
  <c r="H1325" i="8"/>
  <c r="I1325" i="8"/>
  <c r="J1325" i="8"/>
  <c r="K1325" i="8"/>
  <c r="L1325" i="8"/>
  <c r="C1326" i="8"/>
  <c r="D1326" i="8"/>
  <c r="E1326" i="8"/>
  <c r="F1326" i="8"/>
  <c r="G1326" i="8"/>
  <c r="H1326" i="8"/>
  <c r="I1326" i="8"/>
  <c r="J1326" i="8"/>
  <c r="K1326" i="8"/>
  <c r="L1326" i="8"/>
  <c r="C1327" i="8"/>
  <c r="D1327" i="8"/>
  <c r="E1327" i="8"/>
  <c r="F1327" i="8"/>
  <c r="G1327" i="8"/>
  <c r="H1327" i="8"/>
  <c r="I1327" i="8"/>
  <c r="J1327" i="8"/>
  <c r="K1327" i="8"/>
  <c r="L1327" i="8"/>
  <c r="B1328" i="8"/>
  <c r="C1331" i="8" l="1"/>
  <c r="B1331" i="8"/>
  <c r="D1331" i="8"/>
  <c r="E1331" i="8"/>
  <c r="F1331" i="8"/>
  <c r="G1331" i="8"/>
  <c r="H1331" i="8"/>
  <c r="I1331" i="8"/>
  <c r="J1331" i="8"/>
  <c r="K1331" i="8"/>
  <c r="L1331" i="8"/>
  <c r="C1334" i="8"/>
  <c r="D1334" i="8"/>
  <c r="E1334" i="8"/>
  <c r="F1334" i="8"/>
  <c r="G1334" i="8"/>
  <c r="H1334" i="8"/>
  <c r="I1334" i="8"/>
  <c r="J1334" i="8"/>
  <c r="K1334" i="8"/>
  <c r="L1334" i="8"/>
  <c r="C1335" i="8"/>
  <c r="D1335" i="8"/>
  <c r="E1335" i="8"/>
  <c r="F1335" i="8"/>
  <c r="G1335" i="8"/>
  <c r="H1335" i="8"/>
  <c r="I1335" i="8"/>
  <c r="J1335" i="8"/>
  <c r="K1335" i="8"/>
  <c r="L1335" i="8"/>
  <c r="C1336" i="8"/>
  <c r="B1346" i="8" s="1"/>
  <c r="D1336" i="8"/>
  <c r="E1336" i="8"/>
  <c r="F1336" i="8"/>
  <c r="G1336" i="8"/>
  <c r="H1336" i="8"/>
  <c r="I1336" i="8"/>
  <c r="J1336" i="8"/>
  <c r="K1336" i="8"/>
  <c r="L1336" i="8"/>
  <c r="C1338" i="8"/>
  <c r="D1338" i="8"/>
  <c r="E1338" i="8"/>
  <c r="F1338" i="8"/>
  <c r="G1338" i="8"/>
  <c r="H1338" i="8"/>
  <c r="I1338" i="8"/>
  <c r="J1338" i="8"/>
  <c r="K1338" i="8"/>
  <c r="L1338" i="8"/>
  <c r="C1339" i="8"/>
  <c r="D1339" i="8"/>
  <c r="E1339" i="8"/>
  <c r="F1339" i="8"/>
  <c r="G1339" i="8"/>
  <c r="H1339" i="8"/>
  <c r="I1339" i="8"/>
  <c r="J1339" i="8"/>
  <c r="K1339" i="8"/>
  <c r="L1339" i="8"/>
  <c r="C1340" i="8"/>
  <c r="D1340" i="8"/>
  <c r="E1340" i="8"/>
  <c r="F1340" i="8"/>
  <c r="G1340" i="8"/>
  <c r="H1340" i="8"/>
  <c r="I1340" i="8"/>
  <c r="J1340" i="8"/>
  <c r="K1340" i="8"/>
  <c r="L1340" i="8"/>
  <c r="C1341" i="8"/>
  <c r="D1341" i="8"/>
  <c r="E1341" i="8"/>
  <c r="F1341" i="8"/>
  <c r="G1341" i="8"/>
  <c r="H1341" i="8"/>
  <c r="I1341" i="8"/>
  <c r="J1341" i="8"/>
  <c r="K1341" i="8"/>
  <c r="L1341" i="8"/>
  <c r="C1342" i="8"/>
  <c r="D1342" i="8"/>
  <c r="E1342" i="8"/>
  <c r="F1342" i="8"/>
  <c r="G1342" i="8"/>
  <c r="H1342" i="8"/>
  <c r="I1342" i="8"/>
  <c r="J1342" i="8"/>
  <c r="K1342" i="8"/>
  <c r="L1342" i="8"/>
  <c r="C1343" i="8"/>
  <c r="D1343" i="8"/>
  <c r="E1343" i="8"/>
  <c r="F1343" i="8"/>
  <c r="G1343" i="8"/>
  <c r="H1343" i="8"/>
  <c r="I1343" i="8"/>
  <c r="J1343" i="8"/>
  <c r="K1343" i="8"/>
  <c r="L1343" i="8"/>
  <c r="B1344" i="8"/>
  <c r="B1347" i="8" l="1"/>
  <c r="C1347" i="8"/>
  <c r="D1347" i="8"/>
  <c r="E1347" i="8"/>
  <c r="F1347" i="8"/>
  <c r="G1347" i="8"/>
  <c r="H1347" i="8"/>
  <c r="I1347" i="8"/>
  <c r="J1347" i="8"/>
  <c r="K1347" i="8"/>
  <c r="L1347" i="8"/>
  <c r="B1718" i="8"/>
  <c r="B1351" i="8" s="1"/>
  <c r="C1352" i="8"/>
  <c r="B1364" i="8" s="1"/>
  <c r="C1353" i="8"/>
  <c r="D1353" i="8"/>
  <c r="E1353" i="8"/>
  <c r="F1353" i="8"/>
  <c r="G1353" i="8"/>
  <c r="H1353" i="8"/>
  <c r="I1353" i="8"/>
  <c r="J1353" i="8"/>
  <c r="K1353" i="8"/>
  <c r="L1353" i="8"/>
  <c r="C1354" i="8"/>
  <c r="D1354" i="8"/>
  <c r="E1354" i="8"/>
  <c r="F1354" i="8"/>
  <c r="G1354" i="8"/>
  <c r="H1354" i="8"/>
  <c r="I1354" i="8"/>
  <c r="J1354" i="8"/>
  <c r="K1354" i="8"/>
  <c r="L1354" i="8"/>
  <c r="C1356" i="8"/>
  <c r="D1356" i="8"/>
  <c r="E1356" i="8" s="1"/>
  <c r="F1356" i="8" s="1"/>
  <c r="G1356" i="8" s="1"/>
  <c r="H1356" i="8" s="1"/>
  <c r="I1356" i="8" s="1"/>
  <c r="J1356" i="8" s="1"/>
  <c r="K1356" i="8" s="1"/>
  <c r="L1356" i="8" s="1"/>
  <c r="C1357" i="8"/>
  <c r="D1357" i="8"/>
  <c r="E1357" i="8"/>
  <c r="F1357" i="8" s="1"/>
  <c r="G1357" i="8" s="1"/>
  <c r="H1357" i="8" s="1"/>
  <c r="I1357" i="8" s="1"/>
  <c r="J1357" i="8" s="1"/>
  <c r="K1357" i="8" s="1"/>
  <c r="L1357" i="8" s="1"/>
  <c r="C1358" i="8"/>
  <c r="D1358" i="8"/>
  <c r="E1358" i="8"/>
  <c r="F1358" i="8"/>
  <c r="G1358" i="8" s="1"/>
  <c r="H1358" i="8" s="1"/>
  <c r="I1358" i="8" s="1"/>
  <c r="J1358" i="8" s="1"/>
  <c r="K1358" i="8" s="1"/>
  <c r="L1358" i="8" s="1"/>
  <c r="C1359" i="8"/>
  <c r="D1359" i="8"/>
  <c r="E1359" i="8"/>
  <c r="F1359" i="8"/>
  <c r="G1359" i="8"/>
  <c r="H1359" i="8" s="1"/>
  <c r="I1359" i="8" s="1"/>
  <c r="J1359" i="8" s="1"/>
  <c r="K1359" i="8" s="1"/>
  <c r="L1359" i="8" s="1"/>
  <c r="C1360" i="8"/>
  <c r="D1360" i="8"/>
  <c r="E1360" i="8"/>
  <c r="F1360" i="8"/>
  <c r="G1360" i="8"/>
  <c r="H1360" i="8"/>
  <c r="I1360" i="8" s="1"/>
  <c r="J1360" i="8" s="1"/>
  <c r="K1360" i="8" s="1"/>
  <c r="L1360" i="8" s="1"/>
  <c r="C1361" i="8"/>
  <c r="D1361" i="8"/>
  <c r="E1361" i="8"/>
  <c r="F1361" i="8"/>
  <c r="G1361" i="8"/>
  <c r="H1361" i="8"/>
  <c r="I1361" i="8"/>
  <c r="J1361" i="8" s="1"/>
  <c r="K1361" i="8" s="1"/>
  <c r="L1361" i="8" s="1"/>
  <c r="B1362" i="8"/>
  <c r="C1365" i="8" l="1"/>
  <c r="B1365" i="8"/>
  <c r="D1352" i="8"/>
  <c r="E1352" i="8" s="1"/>
  <c r="F1352" i="8" s="1"/>
  <c r="G1352" i="8" s="1"/>
  <c r="H1352" i="8" s="1"/>
  <c r="I1352" i="8" s="1"/>
  <c r="J1352" i="8" s="1"/>
  <c r="K1352" i="8" s="1"/>
  <c r="L1352" i="8" s="1"/>
  <c r="D1365" i="8"/>
  <c r="E1365" i="8"/>
  <c r="F1365" i="8"/>
  <c r="G1365" i="8"/>
  <c r="H1365" i="8"/>
  <c r="I1365" i="8"/>
  <c r="J1365" i="8"/>
  <c r="K1365" i="8"/>
  <c r="L1365" i="8"/>
  <c r="C1368" i="8"/>
  <c r="D1368" i="8"/>
  <c r="E1368" i="8"/>
  <c r="F1368" i="8"/>
  <c r="G1368" i="8"/>
  <c r="H1368" i="8"/>
  <c r="I1368" i="8"/>
  <c r="J1368" i="8"/>
  <c r="K1368" i="8"/>
  <c r="L1368" i="8"/>
  <c r="C1369" i="8"/>
  <c r="D1369" i="8"/>
  <c r="E1369" i="8"/>
  <c r="F1369" i="8"/>
  <c r="G1369" i="8"/>
  <c r="H1369" i="8"/>
  <c r="I1369" i="8"/>
  <c r="J1369" i="8"/>
  <c r="K1369" i="8"/>
  <c r="L1369" i="8"/>
  <c r="C1370" i="8"/>
  <c r="B1380" i="8" s="1"/>
  <c r="D1370" i="8"/>
  <c r="E1370" i="8"/>
  <c r="F1370" i="8"/>
  <c r="G1370" i="8"/>
  <c r="H1370" i="8"/>
  <c r="I1370" i="8"/>
  <c r="J1370" i="8"/>
  <c r="K1370" i="8"/>
  <c r="L1370" i="8"/>
  <c r="C1372" i="8"/>
  <c r="D1372" i="8"/>
  <c r="E1372" i="8"/>
  <c r="F1372" i="8"/>
  <c r="G1372" i="8"/>
  <c r="H1372" i="8"/>
  <c r="I1372" i="8"/>
  <c r="J1372" i="8"/>
  <c r="K1372" i="8"/>
  <c r="L1372" i="8"/>
  <c r="C1373" i="8"/>
  <c r="D1373" i="8"/>
  <c r="E1373" i="8"/>
  <c r="F1373" i="8"/>
  <c r="G1373" i="8"/>
  <c r="H1373" i="8"/>
  <c r="I1373" i="8"/>
  <c r="J1373" i="8"/>
  <c r="K1373" i="8"/>
  <c r="L1373" i="8"/>
  <c r="C1374" i="8"/>
  <c r="D1374" i="8"/>
  <c r="E1374" i="8"/>
  <c r="F1374" i="8"/>
  <c r="G1374" i="8"/>
  <c r="H1374" i="8"/>
  <c r="I1374" i="8"/>
  <c r="J1374" i="8"/>
  <c r="K1374" i="8"/>
  <c r="L1374" i="8"/>
  <c r="C1375" i="8"/>
  <c r="D1375" i="8"/>
  <c r="E1375" i="8"/>
  <c r="F1375" i="8"/>
  <c r="G1375" i="8"/>
  <c r="H1375" i="8"/>
  <c r="I1375" i="8"/>
  <c r="J1375" i="8"/>
  <c r="K1375" i="8"/>
  <c r="L1375" i="8"/>
  <c r="C1376" i="8"/>
  <c r="D1376" i="8"/>
  <c r="E1376" i="8"/>
  <c r="F1376" i="8"/>
  <c r="G1376" i="8"/>
  <c r="H1376" i="8"/>
  <c r="I1376" i="8"/>
  <c r="J1376" i="8"/>
  <c r="K1376" i="8"/>
  <c r="L1376" i="8"/>
  <c r="C1377" i="8"/>
  <c r="D1377" i="8"/>
  <c r="E1377" i="8"/>
  <c r="F1377" i="8"/>
  <c r="G1377" i="8"/>
  <c r="H1377" i="8"/>
  <c r="I1377" i="8"/>
  <c r="J1377" i="8"/>
  <c r="K1377" i="8"/>
  <c r="L1377" i="8"/>
  <c r="B1378" i="8"/>
  <c r="C1381" i="8" l="1"/>
  <c r="B1381" i="8"/>
  <c r="D1381" i="8"/>
  <c r="E1381" i="8"/>
  <c r="F1381" i="8"/>
  <c r="G1381" i="8"/>
  <c r="H1381" i="8"/>
  <c r="I1381" i="8"/>
  <c r="J1381" i="8"/>
  <c r="K1381" i="8"/>
  <c r="L1381" i="8"/>
  <c r="C1384" i="8"/>
  <c r="D1384" i="8"/>
  <c r="E1384" i="8"/>
  <c r="F1384" i="8"/>
  <c r="G1384" i="8"/>
  <c r="H1384" i="8"/>
  <c r="I1384" i="8"/>
  <c r="J1384" i="8"/>
  <c r="K1384" i="8"/>
  <c r="L1384" i="8"/>
  <c r="C1385" i="8"/>
  <c r="D1385" i="8"/>
  <c r="E1385" i="8"/>
  <c r="F1385" i="8"/>
  <c r="G1385" i="8"/>
  <c r="H1385" i="8"/>
  <c r="I1385" i="8"/>
  <c r="J1385" i="8"/>
  <c r="K1385" i="8"/>
  <c r="L1385" i="8"/>
  <c r="C1386" i="8"/>
  <c r="B1396" i="8" s="1"/>
  <c r="D1386" i="8"/>
  <c r="E1386" i="8"/>
  <c r="F1386" i="8"/>
  <c r="G1386" i="8"/>
  <c r="H1386" i="8"/>
  <c r="I1386" i="8"/>
  <c r="J1386" i="8"/>
  <c r="K1386" i="8"/>
  <c r="L1386" i="8"/>
  <c r="C1388" i="8"/>
  <c r="D1388" i="8"/>
  <c r="E1388" i="8"/>
  <c r="F1388" i="8"/>
  <c r="G1388" i="8"/>
  <c r="H1388" i="8"/>
  <c r="I1388" i="8"/>
  <c r="J1388" i="8"/>
  <c r="K1388" i="8"/>
  <c r="L1388" i="8"/>
  <c r="C1389" i="8"/>
  <c r="D1389" i="8"/>
  <c r="E1389" i="8"/>
  <c r="F1389" i="8"/>
  <c r="G1389" i="8"/>
  <c r="H1389" i="8"/>
  <c r="I1389" i="8"/>
  <c r="J1389" i="8"/>
  <c r="K1389" i="8"/>
  <c r="L1389" i="8"/>
  <c r="C1390" i="8"/>
  <c r="D1390" i="8"/>
  <c r="E1390" i="8"/>
  <c r="F1390" i="8"/>
  <c r="G1390" i="8"/>
  <c r="H1390" i="8"/>
  <c r="I1390" i="8"/>
  <c r="J1390" i="8"/>
  <c r="K1390" i="8"/>
  <c r="L1390" i="8"/>
  <c r="C1391" i="8"/>
  <c r="D1391" i="8"/>
  <c r="E1391" i="8"/>
  <c r="F1391" i="8"/>
  <c r="G1391" i="8"/>
  <c r="H1391" i="8"/>
  <c r="I1391" i="8"/>
  <c r="J1391" i="8"/>
  <c r="K1391" i="8"/>
  <c r="L1391" i="8"/>
  <c r="C1392" i="8"/>
  <c r="D1392" i="8"/>
  <c r="E1392" i="8"/>
  <c r="F1392" i="8"/>
  <c r="G1392" i="8"/>
  <c r="H1392" i="8"/>
  <c r="I1392" i="8"/>
  <c r="J1392" i="8"/>
  <c r="K1392" i="8"/>
  <c r="L1392" i="8"/>
  <c r="C1393" i="8"/>
  <c r="D1393" i="8"/>
  <c r="E1393" i="8"/>
  <c r="F1393" i="8"/>
  <c r="G1393" i="8"/>
  <c r="H1393" i="8"/>
  <c r="I1393" i="8"/>
  <c r="J1393" i="8"/>
  <c r="K1393" i="8"/>
  <c r="L1393" i="8"/>
  <c r="B1394" i="8"/>
  <c r="C1397" i="8" l="1"/>
  <c r="B1397" i="8"/>
  <c r="D1397" i="8"/>
  <c r="E1397" i="8"/>
  <c r="F1397" i="8"/>
  <c r="G1397" i="8"/>
  <c r="H1397" i="8"/>
  <c r="I1397" i="8"/>
  <c r="J1397" i="8"/>
  <c r="K1397" i="8"/>
  <c r="L1397" i="8"/>
  <c r="C1400" i="8"/>
  <c r="D1400" i="8"/>
  <c r="E1400" i="8"/>
  <c r="F1400" i="8"/>
  <c r="G1400" i="8"/>
  <c r="H1400" i="8"/>
  <c r="I1400" i="8"/>
  <c r="J1400" i="8"/>
  <c r="K1400" i="8"/>
  <c r="L1400" i="8"/>
  <c r="C1401" i="8"/>
  <c r="D1401" i="8"/>
  <c r="E1401" i="8"/>
  <c r="F1401" i="8"/>
  <c r="G1401" i="8"/>
  <c r="H1401" i="8"/>
  <c r="I1401" i="8"/>
  <c r="J1401" i="8"/>
  <c r="K1401" i="8"/>
  <c r="L1401" i="8"/>
  <c r="C1402" i="8"/>
  <c r="B1412" i="8" s="1"/>
  <c r="D1402" i="8"/>
  <c r="E1402" i="8"/>
  <c r="F1402" i="8"/>
  <c r="G1402" i="8"/>
  <c r="H1402" i="8"/>
  <c r="I1402" i="8"/>
  <c r="J1402" i="8"/>
  <c r="K1402" i="8"/>
  <c r="L1402" i="8"/>
  <c r="C1404" i="8"/>
  <c r="D1404" i="8"/>
  <c r="E1404" i="8"/>
  <c r="F1404" i="8"/>
  <c r="G1404" i="8"/>
  <c r="H1404" i="8"/>
  <c r="I1404" i="8"/>
  <c r="J1404" i="8"/>
  <c r="K1404" i="8"/>
  <c r="L1404" i="8"/>
  <c r="C1405" i="8"/>
  <c r="D1405" i="8"/>
  <c r="E1405" i="8"/>
  <c r="F1405" i="8"/>
  <c r="G1405" i="8"/>
  <c r="H1405" i="8"/>
  <c r="I1405" i="8"/>
  <c r="J1405" i="8"/>
  <c r="K1405" i="8"/>
  <c r="L1405" i="8"/>
  <c r="C1406" i="8"/>
  <c r="D1406" i="8"/>
  <c r="E1406" i="8"/>
  <c r="F1406" i="8"/>
  <c r="G1406" i="8"/>
  <c r="H1406" i="8"/>
  <c r="I1406" i="8"/>
  <c r="J1406" i="8"/>
  <c r="K1406" i="8"/>
  <c r="L1406" i="8"/>
  <c r="C1407" i="8"/>
  <c r="D1407" i="8"/>
  <c r="E1407" i="8"/>
  <c r="F1407" i="8"/>
  <c r="G1407" i="8"/>
  <c r="H1407" i="8"/>
  <c r="I1407" i="8"/>
  <c r="J1407" i="8"/>
  <c r="K1407" i="8"/>
  <c r="L1407" i="8"/>
  <c r="C1408" i="8"/>
  <c r="D1408" i="8"/>
  <c r="E1408" i="8"/>
  <c r="F1408" i="8"/>
  <c r="G1408" i="8"/>
  <c r="H1408" i="8"/>
  <c r="I1408" i="8"/>
  <c r="J1408" i="8"/>
  <c r="K1408" i="8"/>
  <c r="L1408" i="8"/>
  <c r="C1409" i="8"/>
  <c r="D1409" i="8"/>
  <c r="E1409" i="8"/>
  <c r="F1409" i="8"/>
  <c r="G1409" i="8"/>
  <c r="H1409" i="8"/>
  <c r="I1409" i="8"/>
  <c r="J1409" i="8"/>
  <c r="K1409" i="8"/>
  <c r="L1409" i="8"/>
  <c r="B1410" i="8"/>
  <c r="B1413" i="8" l="1"/>
  <c r="C1413" i="8"/>
  <c r="D1413" i="8"/>
  <c r="E1413" i="8"/>
  <c r="F1413" i="8"/>
  <c r="G1413" i="8"/>
  <c r="H1413" i="8"/>
  <c r="I1413" i="8"/>
  <c r="J1413" i="8"/>
  <c r="K1413" i="8"/>
  <c r="L1413" i="8"/>
  <c r="B1727" i="8"/>
  <c r="B1417" i="8" s="1"/>
  <c r="C1418" i="8"/>
  <c r="D1418" i="8"/>
  <c r="E1418" i="8"/>
  <c r="F1418" i="8"/>
  <c r="G1418" i="8"/>
  <c r="H1418" i="8"/>
  <c r="I1418" i="8"/>
  <c r="J1418" i="8"/>
  <c r="K1418" i="8"/>
  <c r="L1418" i="8" s="1"/>
  <c r="C1419" i="8"/>
  <c r="D1419" i="8"/>
  <c r="E1419" i="8"/>
  <c r="F1419" i="8"/>
  <c r="G1419" i="8"/>
  <c r="H1419" i="8"/>
  <c r="I1419" i="8"/>
  <c r="J1419" i="8"/>
  <c r="K1419" i="8"/>
  <c r="L1419" i="8"/>
  <c r="C1420" i="8"/>
  <c r="D1420" i="8"/>
  <c r="E1420" i="8"/>
  <c r="F1420" i="8"/>
  <c r="G1420" i="8"/>
  <c r="H1420" i="8"/>
  <c r="I1420" i="8"/>
  <c r="J1420" i="8"/>
  <c r="K1420" i="8"/>
  <c r="L1420" i="8"/>
  <c r="C1422" i="8"/>
  <c r="D1422" i="8"/>
  <c r="E1422" i="8" s="1"/>
  <c r="F1422" i="8" s="1"/>
  <c r="G1422" i="8" s="1"/>
  <c r="H1422" i="8" s="1"/>
  <c r="I1422" i="8" s="1"/>
  <c r="J1422" i="8" s="1"/>
  <c r="K1422" i="8" s="1"/>
  <c r="L1422" i="8" s="1"/>
  <c r="C1423" i="8"/>
  <c r="D1423" i="8"/>
  <c r="E1423" i="8"/>
  <c r="F1423" i="8" s="1"/>
  <c r="G1423" i="8" s="1"/>
  <c r="H1423" i="8" s="1"/>
  <c r="I1423" i="8" s="1"/>
  <c r="J1423" i="8" s="1"/>
  <c r="K1423" i="8" s="1"/>
  <c r="L1423" i="8" s="1"/>
  <c r="C1424" i="8"/>
  <c r="D1424" i="8"/>
  <c r="E1424" i="8"/>
  <c r="F1424" i="8"/>
  <c r="G1424" i="8" s="1"/>
  <c r="H1424" i="8" s="1"/>
  <c r="I1424" i="8" s="1"/>
  <c r="J1424" i="8" s="1"/>
  <c r="K1424" i="8" s="1"/>
  <c r="L1424" i="8" s="1"/>
  <c r="C1425" i="8"/>
  <c r="D1425" i="8"/>
  <c r="E1425" i="8"/>
  <c r="F1425" i="8"/>
  <c r="G1425" i="8"/>
  <c r="H1425" i="8" s="1"/>
  <c r="I1425" i="8" s="1"/>
  <c r="J1425" i="8" s="1"/>
  <c r="K1425" i="8" s="1"/>
  <c r="L1425" i="8" s="1"/>
  <c r="C1426" i="8"/>
  <c r="D1426" i="8"/>
  <c r="E1426" i="8"/>
  <c r="F1426" i="8"/>
  <c r="G1426" i="8"/>
  <c r="H1426" i="8"/>
  <c r="I1426" i="8" s="1"/>
  <c r="J1426" i="8" s="1"/>
  <c r="K1426" i="8" s="1"/>
  <c r="L1426" i="8" s="1"/>
  <c r="C1427" i="8"/>
  <c r="D1427" i="8"/>
  <c r="E1427" i="8"/>
  <c r="F1427" i="8"/>
  <c r="G1427" i="8"/>
  <c r="H1427" i="8"/>
  <c r="I1427" i="8"/>
  <c r="J1427" i="8" s="1"/>
  <c r="K1427" i="8" s="1"/>
  <c r="L1427" i="8" s="1"/>
  <c r="B1428" i="8"/>
  <c r="B1430" i="8"/>
  <c r="C1431" i="8"/>
  <c r="B1431" i="8"/>
  <c r="D1431" i="8"/>
  <c r="E1431" i="8"/>
  <c r="F1431" i="8"/>
  <c r="G1431" i="8"/>
  <c r="H1431" i="8"/>
  <c r="I1431" i="8"/>
  <c r="J1431" i="8"/>
  <c r="K1431" i="8"/>
  <c r="L1431" i="8"/>
  <c r="C1434" i="8"/>
  <c r="D1434" i="8"/>
  <c r="E1434" i="8"/>
  <c r="F1434" i="8"/>
  <c r="G1434" i="8"/>
  <c r="H1434" i="8"/>
  <c r="I1434" i="8"/>
  <c r="J1434" i="8"/>
  <c r="K1434" i="8"/>
  <c r="L1434" i="8"/>
  <c r="C1435" i="8"/>
  <c r="D1435" i="8"/>
  <c r="E1435" i="8"/>
  <c r="F1435" i="8"/>
  <c r="G1435" i="8"/>
  <c r="H1435" i="8"/>
  <c r="I1435" i="8"/>
  <c r="J1435" i="8"/>
  <c r="K1435" i="8"/>
  <c r="L1435" i="8"/>
  <c r="C1436" i="8"/>
  <c r="B1446" i="8" s="1"/>
  <c r="D1436" i="8"/>
  <c r="E1436" i="8"/>
  <c r="F1436" i="8"/>
  <c r="G1436" i="8"/>
  <c r="H1436" i="8"/>
  <c r="I1436" i="8"/>
  <c r="J1436" i="8"/>
  <c r="K1436" i="8"/>
  <c r="L1436" i="8"/>
  <c r="C1438" i="8"/>
  <c r="D1438" i="8"/>
  <c r="E1438" i="8"/>
  <c r="F1438" i="8"/>
  <c r="G1438" i="8"/>
  <c r="H1438" i="8"/>
  <c r="I1438" i="8"/>
  <c r="J1438" i="8"/>
  <c r="K1438" i="8"/>
  <c r="L1438" i="8"/>
  <c r="C1439" i="8"/>
  <c r="D1439" i="8"/>
  <c r="E1439" i="8"/>
  <c r="F1439" i="8"/>
  <c r="G1439" i="8"/>
  <c r="H1439" i="8"/>
  <c r="I1439" i="8"/>
  <c r="J1439" i="8"/>
  <c r="K1439" i="8"/>
  <c r="L1439" i="8"/>
  <c r="C1440" i="8"/>
  <c r="D1440" i="8"/>
  <c r="E1440" i="8"/>
  <c r="F1440" i="8"/>
  <c r="G1440" i="8"/>
  <c r="H1440" i="8"/>
  <c r="I1440" i="8"/>
  <c r="J1440" i="8"/>
  <c r="K1440" i="8"/>
  <c r="L1440" i="8"/>
  <c r="C1441" i="8"/>
  <c r="D1441" i="8"/>
  <c r="E1441" i="8"/>
  <c r="F1441" i="8"/>
  <c r="G1441" i="8"/>
  <c r="H1441" i="8"/>
  <c r="I1441" i="8"/>
  <c r="J1441" i="8"/>
  <c r="K1441" i="8"/>
  <c r="L1441" i="8"/>
  <c r="C1442" i="8"/>
  <c r="D1442" i="8"/>
  <c r="E1442" i="8"/>
  <c r="F1442" i="8"/>
  <c r="G1442" i="8"/>
  <c r="H1442" i="8"/>
  <c r="I1442" i="8"/>
  <c r="J1442" i="8"/>
  <c r="K1442" i="8"/>
  <c r="L1442" i="8"/>
  <c r="C1443" i="8"/>
  <c r="D1443" i="8"/>
  <c r="E1443" i="8"/>
  <c r="F1443" i="8"/>
  <c r="G1443" i="8"/>
  <c r="H1443" i="8"/>
  <c r="I1443" i="8"/>
  <c r="J1443" i="8"/>
  <c r="K1443" i="8"/>
  <c r="L1443" i="8"/>
  <c r="B1444" i="8"/>
  <c r="C1447" i="8" l="1"/>
  <c r="B1447" i="8"/>
  <c r="D1447" i="8"/>
  <c r="E1447" i="8"/>
  <c r="F1447" i="8"/>
  <c r="G1447" i="8"/>
  <c r="H1447" i="8"/>
  <c r="I1447" i="8"/>
  <c r="J1447" i="8"/>
  <c r="K1447" i="8"/>
  <c r="L1447" i="8"/>
  <c r="C1450" i="8"/>
  <c r="D1450" i="8"/>
  <c r="E1450" i="8"/>
  <c r="F1450" i="8"/>
  <c r="G1450" i="8"/>
  <c r="H1450" i="8"/>
  <c r="I1450" i="8"/>
  <c r="J1450" i="8"/>
  <c r="K1450" i="8"/>
  <c r="L1450" i="8"/>
  <c r="C1451" i="8"/>
  <c r="D1451" i="8"/>
  <c r="E1451" i="8"/>
  <c r="F1451" i="8"/>
  <c r="G1451" i="8"/>
  <c r="H1451" i="8"/>
  <c r="I1451" i="8"/>
  <c r="J1451" i="8"/>
  <c r="K1451" i="8"/>
  <c r="L1451" i="8"/>
  <c r="C1452" i="8"/>
  <c r="B1462" i="8" s="1"/>
  <c r="D1452" i="8"/>
  <c r="E1452" i="8"/>
  <c r="F1452" i="8"/>
  <c r="G1452" i="8"/>
  <c r="H1452" i="8"/>
  <c r="I1452" i="8"/>
  <c r="J1452" i="8"/>
  <c r="K1452" i="8"/>
  <c r="L1452" i="8"/>
  <c r="C1454" i="8"/>
  <c r="D1454" i="8"/>
  <c r="E1454" i="8"/>
  <c r="F1454" i="8"/>
  <c r="G1454" i="8"/>
  <c r="H1454" i="8"/>
  <c r="I1454" i="8"/>
  <c r="J1454" i="8"/>
  <c r="K1454" i="8"/>
  <c r="L1454" i="8"/>
  <c r="C1455" i="8"/>
  <c r="D1455" i="8"/>
  <c r="E1455" i="8"/>
  <c r="F1455" i="8"/>
  <c r="G1455" i="8"/>
  <c r="H1455" i="8"/>
  <c r="I1455" i="8"/>
  <c r="J1455" i="8"/>
  <c r="K1455" i="8"/>
  <c r="L1455" i="8"/>
  <c r="C1456" i="8"/>
  <c r="D1456" i="8"/>
  <c r="E1456" i="8"/>
  <c r="F1456" i="8"/>
  <c r="G1456" i="8"/>
  <c r="H1456" i="8"/>
  <c r="I1456" i="8"/>
  <c r="J1456" i="8"/>
  <c r="K1456" i="8"/>
  <c r="L1456" i="8"/>
  <c r="C1457" i="8"/>
  <c r="D1457" i="8"/>
  <c r="E1457" i="8"/>
  <c r="F1457" i="8"/>
  <c r="G1457" i="8"/>
  <c r="H1457" i="8"/>
  <c r="I1457" i="8"/>
  <c r="J1457" i="8"/>
  <c r="K1457" i="8"/>
  <c r="L1457" i="8"/>
  <c r="C1458" i="8"/>
  <c r="D1458" i="8"/>
  <c r="E1458" i="8"/>
  <c r="F1458" i="8"/>
  <c r="G1458" i="8"/>
  <c r="H1458" i="8"/>
  <c r="I1458" i="8"/>
  <c r="J1458" i="8"/>
  <c r="K1458" i="8"/>
  <c r="L1458" i="8"/>
  <c r="C1459" i="8"/>
  <c r="D1459" i="8"/>
  <c r="E1459" i="8"/>
  <c r="F1459" i="8"/>
  <c r="G1459" i="8"/>
  <c r="H1459" i="8"/>
  <c r="I1459" i="8"/>
  <c r="J1459" i="8"/>
  <c r="K1459" i="8"/>
  <c r="L1459" i="8"/>
  <c r="B1460" i="8"/>
  <c r="C1463" i="8" l="1"/>
  <c r="B1463" i="8"/>
  <c r="D1463" i="8"/>
  <c r="E1463" i="8"/>
  <c r="F1463" i="8"/>
  <c r="G1463" i="8"/>
  <c r="H1463" i="8"/>
  <c r="I1463" i="8"/>
  <c r="J1463" i="8"/>
  <c r="K1463" i="8"/>
  <c r="L1463" i="8"/>
  <c r="C1466" i="8"/>
  <c r="D1466" i="8"/>
  <c r="E1466" i="8"/>
  <c r="F1466" i="8"/>
  <c r="G1466" i="8"/>
  <c r="H1466" i="8"/>
  <c r="I1466" i="8"/>
  <c r="J1466" i="8"/>
  <c r="K1466" i="8"/>
  <c r="L1466" i="8"/>
  <c r="C1467" i="8"/>
  <c r="D1467" i="8"/>
  <c r="E1467" i="8"/>
  <c r="F1467" i="8"/>
  <c r="G1467" i="8"/>
  <c r="H1467" i="8"/>
  <c r="I1467" i="8"/>
  <c r="J1467" i="8"/>
  <c r="K1467" i="8"/>
  <c r="L1467" i="8"/>
  <c r="C1468" i="8"/>
  <c r="B1478" i="8" s="1"/>
  <c r="D1468" i="8"/>
  <c r="E1468" i="8"/>
  <c r="F1468" i="8"/>
  <c r="G1468" i="8"/>
  <c r="H1468" i="8"/>
  <c r="I1468" i="8"/>
  <c r="J1468" i="8"/>
  <c r="K1468" i="8"/>
  <c r="L1468" i="8"/>
  <c r="C1470" i="8"/>
  <c r="D1470" i="8"/>
  <c r="E1470" i="8"/>
  <c r="F1470" i="8"/>
  <c r="G1470" i="8"/>
  <c r="H1470" i="8"/>
  <c r="I1470" i="8"/>
  <c r="J1470" i="8"/>
  <c r="K1470" i="8"/>
  <c r="L1470" i="8"/>
  <c r="C1471" i="8"/>
  <c r="D1471" i="8"/>
  <c r="E1471" i="8"/>
  <c r="F1471" i="8"/>
  <c r="G1471" i="8"/>
  <c r="H1471" i="8"/>
  <c r="I1471" i="8"/>
  <c r="J1471" i="8"/>
  <c r="K1471" i="8"/>
  <c r="L1471" i="8"/>
  <c r="C1472" i="8"/>
  <c r="D1472" i="8"/>
  <c r="E1472" i="8"/>
  <c r="F1472" i="8"/>
  <c r="G1472" i="8"/>
  <c r="H1472" i="8"/>
  <c r="I1472" i="8"/>
  <c r="J1472" i="8"/>
  <c r="K1472" i="8"/>
  <c r="L1472" i="8"/>
  <c r="C1473" i="8"/>
  <c r="D1473" i="8"/>
  <c r="E1473" i="8"/>
  <c r="F1473" i="8"/>
  <c r="G1473" i="8"/>
  <c r="H1473" i="8"/>
  <c r="I1473" i="8"/>
  <c r="J1473" i="8"/>
  <c r="K1473" i="8"/>
  <c r="L1473" i="8"/>
  <c r="C1474" i="8"/>
  <c r="D1474" i="8"/>
  <c r="E1474" i="8"/>
  <c r="F1474" i="8"/>
  <c r="G1474" i="8"/>
  <c r="H1474" i="8"/>
  <c r="I1474" i="8"/>
  <c r="J1474" i="8"/>
  <c r="K1474" i="8"/>
  <c r="L1474" i="8"/>
  <c r="C1475" i="8"/>
  <c r="D1475" i="8"/>
  <c r="E1475" i="8"/>
  <c r="F1475" i="8"/>
  <c r="G1475" i="8"/>
  <c r="H1475" i="8"/>
  <c r="I1475" i="8"/>
  <c r="J1475" i="8"/>
  <c r="K1475" i="8"/>
  <c r="L1475" i="8"/>
  <c r="B1476" i="8"/>
  <c r="C1479" i="8" l="1"/>
  <c r="B1479" i="8"/>
  <c r="D1479" i="8"/>
  <c r="E1479" i="8"/>
  <c r="F1479" i="8"/>
  <c r="G1479" i="8"/>
  <c r="H1479" i="8"/>
  <c r="I1479" i="8"/>
  <c r="J1479" i="8"/>
  <c r="K1479" i="8"/>
  <c r="L1479" i="8"/>
  <c r="B1736" i="8"/>
  <c r="B1483" i="8"/>
  <c r="C1484" i="8"/>
  <c r="D1484" i="8" s="1"/>
  <c r="E1484" i="8" s="1"/>
  <c r="F1484" i="8" s="1"/>
  <c r="G1484" i="8" s="1"/>
  <c r="H1484" i="8" s="1"/>
  <c r="I1484" i="8" s="1"/>
  <c r="J1484" i="8" s="1"/>
  <c r="K1484" i="8" s="1"/>
  <c r="L1484" i="8" s="1"/>
  <c r="C1485" i="8"/>
  <c r="D1485" i="8"/>
  <c r="E1485" i="8"/>
  <c r="F1485" i="8"/>
  <c r="G1485" i="8"/>
  <c r="H1485" i="8"/>
  <c r="I1485" i="8"/>
  <c r="J1485" i="8"/>
  <c r="K1485" i="8"/>
  <c r="L1485" i="8"/>
  <c r="C1486" i="8"/>
  <c r="D1486" i="8"/>
  <c r="E1486" i="8"/>
  <c r="F1486" i="8"/>
  <c r="G1486" i="8"/>
  <c r="H1486" i="8"/>
  <c r="I1486" i="8"/>
  <c r="J1486" i="8"/>
  <c r="K1486" i="8"/>
  <c r="L1486" i="8"/>
  <c r="C1487" i="8"/>
  <c r="D1487" i="8"/>
  <c r="E1487" i="8"/>
  <c r="F1487" i="8"/>
  <c r="G1487" i="8"/>
  <c r="H1487" i="8"/>
  <c r="I1487" i="8"/>
  <c r="J1487" i="8"/>
  <c r="K1487" i="8"/>
  <c r="L1487" i="8"/>
  <c r="C1488" i="8"/>
  <c r="D1488" i="8" s="1"/>
  <c r="E1488" i="8" s="1"/>
  <c r="F1488" i="8" s="1"/>
  <c r="G1488" i="8" s="1"/>
  <c r="H1488" i="8" s="1"/>
  <c r="I1488" i="8" s="1"/>
  <c r="J1488" i="8" s="1"/>
  <c r="K1488" i="8" s="1"/>
  <c r="L1488" i="8" s="1"/>
  <c r="C1489" i="8"/>
  <c r="D1489" i="8"/>
  <c r="E1489" i="8" s="1"/>
  <c r="F1489" i="8" s="1"/>
  <c r="G1489" i="8" s="1"/>
  <c r="H1489" i="8" s="1"/>
  <c r="I1489" i="8" s="1"/>
  <c r="J1489" i="8" s="1"/>
  <c r="K1489" i="8" s="1"/>
  <c r="L1489" i="8" s="1"/>
  <c r="C1490" i="8"/>
  <c r="D1490" i="8"/>
  <c r="E1490" i="8"/>
  <c r="F1490" i="8" s="1"/>
  <c r="G1490" i="8" s="1"/>
  <c r="H1490" i="8" s="1"/>
  <c r="I1490" i="8" s="1"/>
  <c r="J1490" i="8" s="1"/>
  <c r="K1490" i="8" s="1"/>
  <c r="L1490" i="8" s="1"/>
  <c r="C1491" i="8"/>
  <c r="D1491" i="8"/>
  <c r="E1491" i="8"/>
  <c r="F1491" i="8"/>
  <c r="G1491" i="8" s="1"/>
  <c r="H1491" i="8" s="1"/>
  <c r="I1491" i="8" s="1"/>
  <c r="J1491" i="8" s="1"/>
  <c r="K1491" i="8" s="1"/>
  <c r="L1491" i="8" s="1"/>
  <c r="C1492" i="8"/>
  <c r="D1492" i="8"/>
  <c r="E1492" i="8"/>
  <c r="F1492" i="8"/>
  <c r="G1492" i="8"/>
  <c r="H1492" i="8" s="1"/>
  <c r="I1492" i="8" s="1"/>
  <c r="J1492" i="8" s="1"/>
  <c r="K1492" i="8" s="1"/>
  <c r="L1492" i="8" s="1"/>
  <c r="C1493" i="8"/>
  <c r="D1493" i="8"/>
  <c r="E1493" i="8"/>
  <c r="F1493" i="8"/>
  <c r="G1493" i="8"/>
  <c r="H1493" i="8"/>
  <c r="I1493" i="8" s="1"/>
  <c r="J1493" i="8" s="1"/>
  <c r="K1493" i="8" s="1"/>
  <c r="L1493" i="8" s="1"/>
  <c r="B1494" i="8"/>
  <c r="J1562" i="8"/>
  <c r="B1496" i="8" l="1"/>
  <c r="D1497" i="8"/>
  <c r="C1497" i="8" l="1"/>
  <c r="B1497" i="8"/>
  <c r="E1497" i="8"/>
  <c r="D1495" i="8"/>
  <c r="C1495" i="8"/>
  <c r="E1495" i="8"/>
  <c r="F1497" i="8"/>
  <c r="F1495" i="8"/>
  <c r="G1497" i="8"/>
  <c r="G1495" i="8"/>
  <c r="H1497" i="8"/>
  <c r="H1495" i="8"/>
  <c r="I1497" i="8"/>
  <c r="I1495" i="8"/>
  <c r="J1497" i="8"/>
  <c r="J1495" i="8"/>
  <c r="K1497" i="8"/>
  <c r="K1495" i="8"/>
  <c r="L1497" i="8"/>
  <c r="L1495" i="8"/>
  <c r="C1500" i="8"/>
  <c r="D1500" i="8"/>
  <c r="E1500" i="8"/>
  <c r="F1500" i="8"/>
  <c r="G1500" i="8"/>
  <c r="H1500" i="8"/>
  <c r="I1500" i="8"/>
  <c r="J1500" i="8"/>
  <c r="K1500" i="8"/>
  <c r="L1500" i="8"/>
  <c r="C1501" i="8"/>
  <c r="D1501" i="8"/>
  <c r="E1501" i="8"/>
  <c r="F1501" i="8"/>
  <c r="G1501" i="8"/>
  <c r="H1501" i="8"/>
  <c r="I1501" i="8"/>
  <c r="J1501" i="8"/>
  <c r="K1501" i="8"/>
  <c r="L1501" i="8"/>
  <c r="C1502" i="8"/>
  <c r="B1512" i="8" s="1"/>
  <c r="D1502" i="8"/>
  <c r="E1502" i="8"/>
  <c r="F1502" i="8"/>
  <c r="G1502" i="8"/>
  <c r="H1502" i="8"/>
  <c r="I1502" i="8"/>
  <c r="J1502" i="8"/>
  <c r="K1502" i="8"/>
  <c r="L1502" i="8"/>
  <c r="C1503" i="8"/>
  <c r="D1503" i="8"/>
  <c r="E1503" i="8"/>
  <c r="F1503" i="8"/>
  <c r="G1503" i="8"/>
  <c r="H1503" i="8"/>
  <c r="I1503" i="8"/>
  <c r="J1503" i="8"/>
  <c r="K1503" i="8"/>
  <c r="L1503" i="8"/>
  <c r="C1504" i="8"/>
  <c r="D1504" i="8"/>
  <c r="E1504" i="8"/>
  <c r="F1504" i="8"/>
  <c r="G1504" i="8"/>
  <c r="H1504" i="8"/>
  <c r="I1504" i="8"/>
  <c r="J1504" i="8"/>
  <c r="K1504" i="8"/>
  <c r="L1504" i="8"/>
  <c r="C1505" i="8"/>
  <c r="D1505" i="8"/>
  <c r="E1505" i="8"/>
  <c r="F1505" i="8"/>
  <c r="G1505" i="8"/>
  <c r="H1505" i="8"/>
  <c r="I1505" i="8"/>
  <c r="J1505" i="8"/>
  <c r="K1505" i="8"/>
  <c r="L1505" i="8"/>
  <c r="C1506" i="8"/>
  <c r="D1506" i="8"/>
  <c r="E1506" i="8"/>
  <c r="F1506" i="8"/>
  <c r="G1506" i="8"/>
  <c r="H1506" i="8"/>
  <c r="I1506" i="8"/>
  <c r="J1506" i="8"/>
  <c r="K1506" i="8"/>
  <c r="L1506" i="8"/>
  <c r="C1507" i="8"/>
  <c r="D1507" i="8"/>
  <c r="E1507" i="8"/>
  <c r="F1507" i="8"/>
  <c r="G1507" i="8"/>
  <c r="H1507" i="8"/>
  <c r="I1507" i="8"/>
  <c r="J1507" i="8"/>
  <c r="K1507" i="8"/>
  <c r="L1507" i="8"/>
  <c r="C1508" i="8"/>
  <c r="D1508" i="8"/>
  <c r="E1508" i="8"/>
  <c r="F1508" i="8"/>
  <c r="G1508" i="8"/>
  <c r="H1508" i="8"/>
  <c r="I1508" i="8"/>
  <c r="J1508" i="8"/>
  <c r="K1508" i="8"/>
  <c r="L1508" i="8"/>
  <c r="C1509" i="8"/>
  <c r="D1509" i="8"/>
  <c r="E1509" i="8"/>
  <c r="F1509" i="8"/>
  <c r="G1509" i="8"/>
  <c r="H1509" i="8"/>
  <c r="I1509" i="8"/>
  <c r="J1509" i="8"/>
  <c r="K1509" i="8"/>
  <c r="L1509" i="8"/>
  <c r="B1510" i="8"/>
  <c r="C1513" i="8" l="1"/>
  <c r="B1513" i="8"/>
  <c r="D1513" i="8"/>
  <c r="C1511" i="8"/>
  <c r="D1511" i="8"/>
  <c r="E1513" i="8"/>
  <c r="E1511" i="8"/>
  <c r="F1513" i="8"/>
  <c r="F1511" i="8"/>
  <c r="G1513" i="8"/>
  <c r="G1511" i="8"/>
  <c r="H1513" i="8"/>
  <c r="H1511" i="8"/>
  <c r="I1513" i="8"/>
  <c r="I1511" i="8"/>
  <c r="J1513" i="8"/>
  <c r="J1511" i="8"/>
  <c r="K1513" i="8"/>
  <c r="K1511" i="8"/>
  <c r="L1513" i="8"/>
  <c r="L1511" i="8"/>
  <c r="C1516" i="8"/>
  <c r="D1516" i="8"/>
  <c r="E1516" i="8"/>
  <c r="F1516" i="8"/>
  <c r="G1516" i="8"/>
  <c r="H1516" i="8"/>
  <c r="I1516" i="8"/>
  <c r="J1516" i="8"/>
  <c r="K1516" i="8"/>
  <c r="L1516" i="8"/>
  <c r="C1517" i="8"/>
  <c r="B1528" i="8" s="1"/>
  <c r="D1517" i="8"/>
  <c r="E1517" i="8"/>
  <c r="F1517" i="8"/>
  <c r="G1517" i="8"/>
  <c r="H1517" i="8"/>
  <c r="I1517" i="8"/>
  <c r="J1517" i="8"/>
  <c r="K1517" i="8"/>
  <c r="L1517" i="8"/>
  <c r="C1518" i="8"/>
  <c r="D1518" i="8"/>
  <c r="E1518" i="8"/>
  <c r="F1518" i="8"/>
  <c r="G1518" i="8"/>
  <c r="H1518" i="8"/>
  <c r="I1518" i="8"/>
  <c r="J1518" i="8"/>
  <c r="K1518" i="8"/>
  <c r="L1518" i="8"/>
  <c r="C1519" i="8"/>
  <c r="D1519" i="8"/>
  <c r="E1519" i="8"/>
  <c r="F1519" i="8"/>
  <c r="G1519" i="8"/>
  <c r="H1519" i="8"/>
  <c r="I1519" i="8"/>
  <c r="J1519" i="8"/>
  <c r="K1519" i="8"/>
  <c r="L1519" i="8"/>
  <c r="C1520" i="8"/>
  <c r="D1520" i="8"/>
  <c r="E1520" i="8"/>
  <c r="F1520" i="8"/>
  <c r="G1520" i="8"/>
  <c r="H1520" i="8"/>
  <c r="I1520" i="8"/>
  <c r="J1520" i="8"/>
  <c r="K1520" i="8"/>
  <c r="L1520" i="8"/>
  <c r="C1521" i="8"/>
  <c r="D1521" i="8"/>
  <c r="E1521" i="8"/>
  <c r="F1521" i="8"/>
  <c r="G1521" i="8"/>
  <c r="H1521" i="8"/>
  <c r="I1521" i="8"/>
  <c r="J1521" i="8"/>
  <c r="K1521" i="8"/>
  <c r="L1521" i="8"/>
  <c r="C1522" i="8"/>
  <c r="D1522" i="8"/>
  <c r="E1522" i="8"/>
  <c r="F1522" i="8"/>
  <c r="G1522" i="8"/>
  <c r="H1522" i="8"/>
  <c r="I1522" i="8"/>
  <c r="J1522" i="8"/>
  <c r="K1522" i="8"/>
  <c r="L1522" i="8"/>
  <c r="C1523" i="8"/>
  <c r="D1523" i="8"/>
  <c r="E1523" i="8"/>
  <c r="F1523" i="8"/>
  <c r="G1523" i="8"/>
  <c r="H1523" i="8"/>
  <c r="I1523" i="8"/>
  <c r="J1523" i="8"/>
  <c r="K1523" i="8"/>
  <c r="L1523" i="8"/>
  <c r="C1524" i="8"/>
  <c r="D1524" i="8"/>
  <c r="E1524" i="8"/>
  <c r="F1524" i="8"/>
  <c r="G1524" i="8"/>
  <c r="H1524" i="8"/>
  <c r="I1524" i="8"/>
  <c r="J1524" i="8"/>
  <c r="K1524" i="8"/>
  <c r="L1524" i="8"/>
  <c r="C1525" i="8"/>
  <c r="D1525" i="8"/>
  <c r="E1525" i="8"/>
  <c r="F1525" i="8"/>
  <c r="G1525" i="8"/>
  <c r="H1525" i="8"/>
  <c r="I1525" i="8"/>
  <c r="J1525" i="8"/>
  <c r="K1525" i="8"/>
  <c r="L1525" i="8"/>
  <c r="B1526" i="8"/>
  <c r="C1529" i="8" l="1"/>
  <c r="B1529" i="8"/>
  <c r="D1529" i="8"/>
  <c r="C1527" i="8"/>
  <c r="D1527" i="8"/>
  <c r="E1529" i="8"/>
  <c r="E1527" i="8"/>
  <c r="F1529" i="8"/>
  <c r="F1527" i="8"/>
  <c r="G1529" i="8"/>
  <c r="G1527" i="8"/>
  <c r="H1529" i="8"/>
  <c r="H1527" i="8"/>
  <c r="I1529" i="8"/>
  <c r="I1527" i="8"/>
  <c r="J1529" i="8"/>
  <c r="J1527" i="8"/>
  <c r="K1529" i="8"/>
  <c r="K1527" i="8"/>
  <c r="L1529" i="8"/>
  <c r="L1527" i="8"/>
  <c r="C1532" i="8"/>
  <c r="D1532" i="8"/>
  <c r="E1532" i="8"/>
  <c r="F1532" i="8"/>
  <c r="G1532" i="8"/>
  <c r="H1532" i="8"/>
  <c r="I1532" i="8"/>
  <c r="J1532" i="8"/>
  <c r="K1532" i="8"/>
  <c r="L1532" i="8"/>
  <c r="C1533" i="8"/>
  <c r="B1544" i="8" s="1"/>
  <c r="D1533" i="8"/>
  <c r="E1533" i="8"/>
  <c r="F1533" i="8"/>
  <c r="G1533" i="8"/>
  <c r="H1533" i="8"/>
  <c r="I1533" i="8"/>
  <c r="J1533" i="8"/>
  <c r="K1533" i="8"/>
  <c r="L1533" i="8"/>
  <c r="C1534" i="8"/>
  <c r="D1534" i="8"/>
  <c r="E1534" i="8"/>
  <c r="F1534" i="8"/>
  <c r="G1534" i="8"/>
  <c r="H1534" i="8"/>
  <c r="I1534" i="8"/>
  <c r="J1534" i="8"/>
  <c r="K1534" i="8"/>
  <c r="L1534" i="8"/>
  <c r="C1535" i="8"/>
  <c r="D1535" i="8"/>
  <c r="E1535" i="8"/>
  <c r="F1535" i="8"/>
  <c r="G1535" i="8"/>
  <c r="H1535" i="8"/>
  <c r="I1535" i="8"/>
  <c r="J1535" i="8"/>
  <c r="K1535" i="8"/>
  <c r="L1535" i="8"/>
  <c r="C1536" i="8"/>
  <c r="D1536" i="8"/>
  <c r="E1536" i="8"/>
  <c r="F1536" i="8"/>
  <c r="G1536" i="8"/>
  <c r="H1536" i="8"/>
  <c r="I1536" i="8"/>
  <c r="J1536" i="8"/>
  <c r="K1536" i="8"/>
  <c r="L1536" i="8"/>
  <c r="C1537" i="8"/>
  <c r="D1537" i="8"/>
  <c r="E1537" i="8"/>
  <c r="F1537" i="8"/>
  <c r="G1537" i="8"/>
  <c r="H1537" i="8"/>
  <c r="I1537" i="8"/>
  <c r="J1537" i="8"/>
  <c r="K1537" i="8"/>
  <c r="L1537" i="8"/>
  <c r="C1538" i="8"/>
  <c r="D1538" i="8"/>
  <c r="E1538" i="8"/>
  <c r="F1538" i="8"/>
  <c r="G1538" i="8"/>
  <c r="H1538" i="8"/>
  <c r="I1538" i="8"/>
  <c r="J1538" i="8"/>
  <c r="K1538" i="8"/>
  <c r="L1538" i="8"/>
  <c r="C1539" i="8"/>
  <c r="D1539" i="8"/>
  <c r="E1539" i="8"/>
  <c r="F1539" i="8"/>
  <c r="G1539" i="8"/>
  <c r="H1539" i="8"/>
  <c r="I1539" i="8"/>
  <c r="J1539" i="8"/>
  <c r="K1539" i="8"/>
  <c r="L1539" i="8"/>
  <c r="C1540" i="8"/>
  <c r="D1540" i="8"/>
  <c r="E1540" i="8"/>
  <c r="F1540" i="8"/>
  <c r="G1540" i="8"/>
  <c r="H1540" i="8"/>
  <c r="I1540" i="8"/>
  <c r="J1540" i="8"/>
  <c r="K1540" i="8"/>
  <c r="L1540" i="8"/>
  <c r="C1541" i="8"/>
  <c r="D1541" i="8"/>
  <c r="E1541" i="8"/>
  <c r="F1541" i="8"/>
  <c r="G1541" i="8"/>
  <c r="H1541" i="8"/>
  <c r="I1541" i="8"/>
  <c r="J1541" i="8"/>
  <c r="K1541" i="8"/>
  <c r="L1541" i="8"/>
  <c r="B1542" i="8"/>
  <c r="B1545" i="8" l="1"/>
  <c r="C1545" i="8"/>
  <c r="D1545" i="8"/>
  <c r="C1543" i="8"/>
  <c r="D1543" i="8"/>
  <c r="E1545" i="8"/>
  <c r="E1543" i="8"/>
  <c r="F1545" i="8"/>
  <c r="F1543" i="8"/>
  <c r="G1545" i="8"/>
  <c r="G1543" i="8"/>
  <c r="H1545" i="8"/>
  <c r="H1543" i="8"/>
  <c r="I1545" i="8"/>
  <c r="I1543" i="8"/>
  <c r="J1545" i="8"/>
  <c r="J1543" i="8"/>
  <c r="K1545" i="8"/>
  <c r="K1543" i="8"/>
  <c r="L1545" i="8"/>
  <c r="L1543" i="8"/>
  <c r="E1554" i="8"/>
  <c r="I1554" i="8"/>
  <c r="J1563" i="8"/>
  <c r="J1564" i="8"/>
  <c r="J1566" i="8"/>
  <c r="E1555" i="8"/>
  <c r="I1555" i="8"/>
  <c r="E1556" i="8"/>
  <c r="I1556" i="8"/>
  <c r="E1557" i="8"/>
  <c r="I1557" i="8"/>
  <c r="E1558" i="8"/>
  <c r="I1558" i="8"/>
  <c r="E1559" i="8"/>
  <c r="I1559" i="8"/>
  <c r="E1560" i="8"/>
  <c r="E1589" i="8" s="1"/>
  <c r="B1621" i="8" s="1"/>
  <c r="B1648" i="8" s="1"/>
  <c r="I1560" i="8"/>
  <c r="E1561" i="8"/>
  <c r="E1590" i="8" s="1"/>
  <c r="B1622" i="8" s="1"/>
  <c r="B1649" i="8" s="1"/>
  <c r="I1561" i="8"/>
  <c r="E1562" i="8"/>
  <c r="I1562" i="8"/>
  <c r="E1563" i="8"/>
  <c r="E1592" i="8" s="1"/>
  <c r="B1624" i="8" s="1"/>
  <c r="B1651" i="8" s="1"/>
  <c r="E1564" i="8"/>
  <c r="E1593" i="8" s="1"/>
  <c r="B1625" i="8" s="1"/>
  <c r="B1652" i="8" s="1"/>
  <c r="I1564" i="8"/>
  <c r="E1565" i="8"/>
  <c r="E1566" i="8"/>
  <c r="I1566" i="8"/>
  <c r="E1567" i="8"/>
  <c r="E1596" i="8" s="1"/>
  <c r="B1628" i="8" s="1"/>
  <c r="B1655" i="8" s="1"/>
  <c r="I1567" i="8"/>
  <c r="E1568" i="8"/>
  <c r="E1569" i="8"/>
  <c r="E1570" i="8"/>
  <c r="E1571" i="8"/>
  <c r="E1600" i="8" s="1"/>
  <c r="B1632" i="8" s="1"/>
  <c r="B1659" i="8" s="1"/>
  <c r="E1572" i="8"/>
  <c r="E1601" i="8" s="1"/>
  <c r="B1633" i="8" s="1"/>
  <c r="B1660" i="8" s="1"/>
  <c r="E1573" i="8"/>
  <c r="E1574" i="8"/>
  <c r="E1575" i="8"/>
  <c r="E1604" i="8" s="1"/>
  <c r="B1636" i="8" s="1"/>
  <c r="E1583" i="8"/>
  <c r="B1615" i="8" s="1"/>
  <c r="B1642" i="8" s="1"/>
  <c r="E1584" i="8"/>
  <c r="B1616" i="8" s="1"/>
  <c r="B1643" i="8" s="1"/>
  <c r="E1585" i="8"/>
  <c r="E1586" i="8"/>
  <c r="B1618" i="8" s="1"/>
  <c r="B1645" i="8" s="1"/>
  <c r="E1587" i="8"/>
  <c r="E1588" i="8"/>
  <c r="E1591" i="8"/>
  <c r="B1623" i="8" s="1"/>
  <c r="B1650" i="8" s="1"/>
  <c r="E1594" i="8"/>
  <c r="B1626" i="8" s="1"/>
  <c r="B1653" i="8" s="1"/>
  <c r="E1595" i="8"/>
  <c r="B1627" i="8" s="1"/>
  <c r="B1654" i="8" s="1"/>
  <c r="E1597" i="8"/>
  <c r="B1629" i="8" s="1"/>
  <c r="B1656" i="8" s="1"/>
  <c r="E1598" i="8"/>
  <c r="B1630" i="8" s="1"/>
  <c r="B1657" i="8" s="1"/>
  <c r="E1599" i="8"/>
  <c r="E1602" i="8"/>
  <c r="E1603" i="8"/>
  <c r="B1635" i="8" s="1"/>
  <c r="C1611" i="8"/>
  <c r="D1611" i="8"/>
  <c r="E1611" i="8"/>
  <c r="F1611" i="8"/>
  <c r="G1611" i="8"/>
  <c r="H1611" i="8"/>
  <c r="I1611" i="8"/>
  <c r="J1611" i="8"/>
  <c r="K1611" i="8"/>
  <c r="L1611" i="8"/>
  <c r="B1617" i="8"/>
  <c r="B1644" i="8" s="1"/>
  <c r="B1619" i="8"/>
  <c r="B1646" i="8" s="1"/>
  <c r="B1620" i="8"/>
  <c r="B1647" i="8" s="1"/>
  <c r="B1631" i="8"/>
  <c r="B1658" i="8" s="1"/>
  <c r="B1634" i="8"/>
  <c r="B1661" i="8" s="1"/>
  <c r="B1637" i="8"/>
  <c r="C1646" i="8"/>
  <c r="D1646" i="8"/>
  <c r="E1646" i="8"/>
  <c r="F1646" i="8"/>
  <c r="G1646" i="8"/>
  <c r="H1646" i="8"/>
  <c r="I1646" i="8"/>
  <c r="J1646" i="8"/>
  <c r="K1646" i="8"/>
  <c r="L1646" i="8"/>
  <c r="C1647" i="8"/>
  <c r="D1647" i="8"/>
  <c r="E1647" i="8"/>
  <c r="F1647" i="8"/>
  <c r="G1647" i="8"/>
  <c r="H1647" i="8"/>
  <c r="I1647" i="8"/>
  <c r="J1647" i="8"/>
  <c r="K1647" i="8"/>
  <c r="L1647" i="8"/>
  <c r="C1648" i="8"/>
  <c r="D1648" i="8"/>
  <c r="E1648" i="8"/>
  <c r="F1648" i="8"/>
  <c r="G1648" i="8"/>
  <c r="H1648" i="8"/>
  <c r="I1648" i="8"/>
  <c r="J1648" i="8"/>
  <c r="K1648" i="8"/>
  <c r="L1648" i="8"/>
  <c r="C1649" i="8"/>
  <c r="D1649" i="8"/>
  <c r="E1649" i="8"/>
  <c r="F1649" i="8"/>
  <c r="G1649" i="8"/>
  <c r="H1649" i="8"/>
  <c r="I1649" i="8"/>
  <c r="J1649" i="8"/>
  <c r="K1649" i="8"/>
  <c r="L1649" i="8"/>
  <c r="C1650" i="8"/>
  <c r="D1650" i="8"/>
  <c r="E1650" i="8"/>
  <c r="F1650" i="8"/>
  <c r="G1650" i="8"/>
  <c r="H1650" i="8"/>
  <c r="I1650" i="8"/>
  <c r="J1650" i="8"/>
  <c r="K1650" i="8"/>
  <c r="L1650" i="8"/>
  <c r="C1651" i="8"/>
  <c r="D1651" i="8"/>
  <c r="E1651" i="8"/>
  <c r="F1651" i="8"/>
  <c r="G1651" i="8"/>
  <c r="H1651" i="8"/>
  <c r="I1651" i="8"/>
  <c r="J1651" i="8"/>
  <c r="K1651" i="8"/>
  <c r="L1651" i="8"/>
  <c r="C1656" i="8"/>
  <c r="D1656" i="8"/>
  <c r="E1656" i="8"/>
  <c r="F1656" i="8"/>
  <c r="G1656" i="8"/>
  <c r="H1656" i="8"/>
  <c r="I1656" i="8"/>
  <c r="J1656" i="8"/>
  <c r="K1656" i="8"/>
  <c r="L1656" i="8"/>
  <c r="C1657" i="8"/>
  <c r="D1657" i="8"/>
  <c r="E1657" i="8"/>
  <c r="F1657" i="8"/>
  <c r="G1657" i="8"/>
  <c r="H1657" i="8"/>
  <c r="I1657" i="8"/>
  <c r="J1657" i="8"/>
  <c r="K1657" i="8"/>
  <c r="L1657" i="8"/>
  <c r="C1658" i="8"/>
  <c r="D1658" i="8"/>
  <c r="E1658" i="8"/>
  <c r="F1658" i="8"/>
  <c r="G1658" i="8"/>
  <c r="H1658" i="8"/>
  <c r="I1658" i="8"/>
  <c r="J1658" i="8"/>
  <c r="K1658" i="8"/>
  <c r="L1658" i="8"/>
  <c r="C1659" i="8"/>
  <c r="D1659" i="8"/>
  <c r="E1659" i="8"/>
  <c r="F1659" i="8"/>
  <c r="G1659" i="8"/>
  <c r="H1659" i="8"/>
  <c r="I1659" i="8"/>
  <c r="J1659" i="8"/>
  <c r="K1659" i="8"/>
  <c r="L1659" i="8"/>
  <c r="C1660" i="8"/>
  <c r="D1660" i="8"/>
  <c r="E1660" i="8"/>
  <c r="F1660" i="8"/>
  <c r="G1660" i="8"/>
  <c r="H1660" i="8"/>
  <c r="I1660" i="8"/>
  <c r="J1660" i="8"/>
  <c r="K1660" i="8"/>
  <c r="L1660" i="8"/>
  <c r="C1661" i="8"/>
  <c r="D1661" i="8"/>
  <c r="E1661" i="8"/>
  <c r="F1661" i="8"/>
  <c r="G1661" i="8"/>
  <c r="H1661" i="8"/>
  <c r="I1661" i="8"/>
  <c r="J1661" i="8"/>
  <c r="K1661" i="8"/>
  <c r="L1661" i="8"/>
  <c r="B1665" i="8"/>
  <c r="B1674" i="8" s="1"/>
  <c r="B1683" i="8" s="1"/>
  <c r="B1692" i="8" s="1"/>
  <c r="B1701" i="8" s="1"/>
  <c r="B1710" i="8" s="1"/>
  <c r="B1719" i="8" s="1"/>
  <c r="B1728" i="8" s="1"/>
  <c r="B1737" i="8" s="1"/>
  <c r="B1666" i="8"/>
  <c r="B1675" i="8" s="1"/>
  <c r="B1684" i="8" s="1"/>
  <c r="B1693" i="8" s="1"/>
  <c r="B1702" i="8" s="1"/>
  <c r="B1711" i="8" s="1"/>
  <c r="B1720" i="8" s="1"/>
  <c r="B1729" i="8" s="1"/>
  <c r="B1738" i="8" s="1"/>
  <c r="C1739" i="8"/>
  <c r="D1739" i="8"/>
  <c r="E1739" i="8"/>
  <c r="F1739" i="8"/>
  <c r="G1739" i="8"/>
  <c r="H1739" i="8"/>
  <c r="I1739" i="8"/>
  <c r="J1739" i="8"/>
  <c r="K1739" i="8"/>
  <c r="L1739" i="8"/>
  <c r="C1740" i="8"/>
  <c r="D1740" i="8"/>
  <c r="E1740" i="8"/>
  <c r="F1740" i="8"/>
  <c r="G1740" i="8"/>
  <c r="H1740" i="8"/>
  <c r="I1740" i="8"/>
  <c r="J1740" i="8"/>
  <c r="K1740" i="8"/>
  <c r="L1740" i="8"/>
  <c r="C1741" i="8"/>
  <c r="D1741" i="8"/>
  <c r="E1741" i="8"/>
  <c r="F1741" i="8"/>
  <c r="G1741" i="8"/>
  <c r="H1741" i="8"/>
  <c r="I1741" i="8"/>
  <c r="J1741" i="8"/>
  <c r="K1741" i="8"/>
  <c r="L1741" i="8"/>
  <c r="C1742" i="8"/>
  <c r="D1742" i="8"/>
  <c r="E1742" i="8"/>
  <c r="F1742" i="8"/>
  <c r="G1742" i="8"/>
  <c r="H1742" i="8"/>
  <c r="I1742" i="8"/>
  <c r="J1742" i="8"/>
  <c r="K1742" i="8"/>
  <c r="L1742" i="8"/>
  <c r="B1" i="6"/>
  <c r="F31" i="6" a="1"/>
  <c r="I31" i="6" s="1"/>
  <c r="R31" i="6"/>
  <c r="S32" i="6"/>
  <c r="F32" i="6" a="1"/>
  <c r="H32" i="6" s="1"/>
  <c r="F32" i="6"/>
  <c r="G32" i="6"/>
  <c r="G34" i="6" s="1"/>
  <c r="M32" i="6"/>
  <c r="M34" i="6" s="1"/>
  <c r="N32" i="6"/>
  <c r="O32" i="6"/>
  <c r="O34" i="6" s="1"/>
  <c r="F33" i="6" a="1"/>
  <c r="I33" i="6" s="1"/>
  <c r="F33" i="6"/>
  <c r="G33" i="6"/>
  <c r="H33" i="6"/>
  <c r="M33" i="6"/>
  <c r="N33" i="6"/>
  <c r="O33" i="6"/>
  <c r="F34" i="6"/>
  <c r="F35" i="6" a="1"/>
  <c r="K35" i="6" s="1"/>
  <c r="F35" i="6"/>
  <c r="G35" i="6"/>
  <c r="J35" i="6"/>
  <c r="R35" i="6"/>
  <c r="F36" i="6" a="1"/>
  <c r="F36" i="6"/>
  <c r="R36" i="6"/>
  <c r="R37" i="6"/>
  <c r="R38" i="6"/>
  <c r="B1" i="1"/>
  <c r="B3" i="1"/>
  <c r="F5" i="1" a="1"/>
  <c r="I5" i="1" s="1"/>
  <c r="F5" i="1"/>
  <c r="F6" i="1" a="1"/>
  <c r="F6" i="1"/>
  <c r="C7" i="1"/>
  <c r="C13" i="1" s="1"/>
  <c r="D7" i="1"/>
  <c r="F7" i="1" a="1"/>
  <c r="J7" i="1" s="1"/>
  <c r="F7" i="1"/>
  <c r="I7" i="1"/>
  <c r="I32" i="1" s="1"/>
  <c r="I12" i="7" s="1"/>
  <c r="B10" i="1"/>
  <c r="C10" i="1"/>
  <c r="D10" i="1"/>
  <c r="E10" i="1"/>
  <c r="F10" i="1"/>
  <c r="I10" i="1"/>
  <c r="F11" i="1"/>
  <c r="C11" i="1"/>
  <c r="D11" i="1"/>
  <c r="F12" i="1"/>
  <c r="C12" i="1"/>
  <c r="C15" i="1"/>
  <c r="D15" i="1"/>
  <c r="C16" i="1"/>
  <c r="E16" i="1" s="1"/>
  <c r="D16" i="1"/>
  <c r="I18" i="1"/>
  <c r="D18" i="1"/>
  <c r="F19" i="1" a="1"/>
  <c r="G19" i="1" s="1"/>
  <c r="G38" i="1" s="1"/>
  <c r="G18" i="7" s="1"/>
  <c r="H19" i="1"/>
  <c r="I19" i="1"/>
  <c r="N19" i="1"/>
  <c r="N38" i="1" s="1"/>
  <c r="N18" i="7" s="1"/>
  <c r="O19" i="1"/>
  <c r="O38" i="1" s="1"/>
  <c r="O18" i="7" s="1"/>
  <c r="C19" i="1"/>
  <c r="C38" i="1" s="1"/>
  <c r="C18" i="7" s="1"/>
  <c r="D19" i="1"/>
  <c r="E19" i="1"/>
  <c r="P22" i="1"/>
  <c r="F51" i="1" a="1"/>
  <c r="I51" i="1" s="1"/>
  <c r="F51" i="1"/>
  <c r="G51" i="1"/>
  <c r="H51" i="1"/>
  <c r="M51" i="1"/>
  <c r="N51" i="1"/>
  <c r="O51" i="1"/>
  <c r="F24" i="1"/>
  <c r="G24" i="1"/>
  <c r="H24" i="1"/>
  <c r="I24" i="1"/>
  <c r="J24" i="1"/>
  <c r="K24" i="1"/>
  <c r="L24" i="1"/>
  <c r="M24" i="1"/>
  <c r="N24" i="1"/>
  <c r="O24" i="1"/>
  <c r="B11" i="1"/>
  <c r="B12" i="1"/>
  <c r="B13" i="1"/>
  <c r="B14" i="1"/>
  <c r="B15" i="1"/>
  <c r="B16" i="1"/>
  <c r="B17" i="1"/>
  <c r="B18" i="1"/>
  <c r="H38" i="1"/>
  <c r="H18" i="7" s="1"/>
  <c r="I38" i="1"/>
  <c r="I18" i="7" s="1"/>
  <c r="B22" i="1"/>
  <c r="P24" i="1"/>
  <c r="B29" i="1"/>
  <c r="B30" i="1"/>
  <c r="D30" i="1"/>
  <c r="D10" i="7" s="1"/>
  <c r="B31" i="1"/>
  <c r="D31" i="1"/>
  <c r="D11" i="7" s="1"/>
  <c r="B32" i="1"/>
  <c r="C32" i="1"/>
  <c r="D32" i="1"/>
  <c r="D12" i="7" s="1"/>
  <c r="B33" i="1"/>
  <c r="C33" i="1"/>
  <c r="C13" i="7" s="1"/>
  <c r="D33" i="1"/>
  <c r="D13" i="7" s="1"/>
  <c r="E33" i="1"/>
  <c r="B34" i="1"/>
  <c r="B35" i="1"/>
  <c r="C35" i="1"/>
  <c r="C15" i="7" s="1"/>
  <c r="B36" i="1"/>
  <c r="B37" i="1"/>
  <c r="C37" i="1"/>
  <c r="C17" i="7" s="1"/>
  <c r="D37" i="1"/>
  <c r="D17" i="7" s="1"/>
  <c r="E37" i="1"/>
  <c r="D38" i="1"/>
  <c r="D18" i="7" s="1"/>
  <c r="B41" i="1"/>
  <c r="C41" i="1"/>
  <c r="C43" i="1" s="1"/>
  <c r="D41" i="1"/>
  <c r="E41" i="1"/>
  <c r="E43" i="1" s="1"/>
  <c r="F41" i="1"/>
  <c r="F43" i="1" s="1"/>
  <c r="F20" i="7" s="1"/>
  <c r="D43" i="1"/>
  <c r="F46" i="1" a="1"/>
  <c r="N46" i="1" s="1"/>
  <c r="F46" i="1"/>
  <c r="G46" i="1"/>
  <c r="H46" i="1"/>
  <c r="I46" i="1"/>
  <c r="J46" i="1"/>
  <c r="K46" i="1"/>
  <c r="L46" i="1"/>
  <c r="M46" i="1"/>
  <c r="F47" i="1" a="1"/>
  <c r="J47" i="1" s="1"/>
  <c r="F47" i="1"/>
  <c r="G47" i="1"/>
  <c r="I47" i="1"/>
  <c r="I49" i="1" s="1"/>
  <c r="L47" i="1"/>
  <c r="M47" i="1"/>
  <c r="M49" i="1" s="1"/>
  <c r="O47" i="1"/>
  <c r="F48" i="1" a="1"/>
  <c r="N48" i="1" s="1"/>
  <c r="F48" i="1"/>
  <c r="G48" i="1"/>
  <c r="H48" i="1"/>
  <c r="I48" i="1"/>
  <c r="K48" i="1"/>
  <c r="L48" i="1"/>
  <c r="M48" i="1"/>
  <c r="F50" i="1" a="1"/>
  <c r="F50" i="1" s="1"/>
  <c r="H50" i="1"/>
  <c r="I50" i="1"/>
  <c r="J50" i="1"/>
  <c r="K50" i="1"/>
  <c r="L50" i="1"/>
  <c r="M50" i="1"/>
  <c r="N50" i="1"/>
  <c r="O50" i="1"/>
  <c r="Q50" i="1"/>
  <c r="Q51" i="1"/>
  <c r="Q52" i="1"/>
  <c r="Q53" i="1"/>
  <c r="M10" i="4"/>
  <c r="M21" i="4" s="1"/>
  <c r="E11" i="4"/>
  <c r="F5" i="6" s="1" a="1"/>
  <c r="H5" i="6" s="1"/>
  <c r="M11" i="4"/>
  <c r="E12" i="4"/>
  <c r="E13" i="4" s="1"/>
  <c r="E14" i="4" s="1"/>
  <c r="M12" i="4"/>
  <c r="M13" i="4"/>
  <c r="M14" i="4"/>
  <c r="E15" i="4"/>
  <c r="M15" i="4"/>
  <c r="E16" i="4"/>
  <c r="E17" i="4" s="1"/>
  <c r="M16" i="4"/>
  <c r="M17" i="4"/>
  <c r="E18" i="4"/>
  <c r="E19" i="4" s="1"/>
  <c r="M18" i="4"/>
  <c r="M19" i="4"/>
  <c r="L20" i="4"/>
  <c r="N21" i="4"/>
  <c r="N26" i="4" s="1"/>
  <c r="M20" i="4"/>
  <c r="O20" i="4"/>
  <c r="L21" i="4"/>
  <c r="L22" i="4"/>
  <c r="L23" i="4"/>
  <c r="L24" i="4"/>
  <c r="L26" i="4" s="1"/>
  <c r="M24" i="4"/>
  <c r="F30" i="4" a="1"/>
  <c r="N30" i="4" s="1"/>
  <c r="F30" i="4"/>
  <c r="G30" i="4"/>
  <c r="H30" i="4"/>
  <c r="I30" i="4"/>
  <c r="K30" i="4"/>
  <c r="L30" i="4"/>
  <c r="M30" i="4"/>
  <c r="R31" i="4"/>
  <c r="R32" i="4"/>
  <c r="R33" i="4"/>
  <c r="R34" i="4"/>
  <c r="R35" i="4"/>
  <c r="I36" i="4"/>
  <c r="R36" i="4" s="1"/>
  <c r="I37" i="4"/>
  <c r="R37" i="4"/>
  <c r="I38" i="4"/>
  <c r="R38" i="4" s="1"/>
  <c r="R39" i="4"/>
  <c r="Q40" i="4"/>
  <c r="D22" i="8" s="1"/>
  <c r="R40" i="4"/>
  <c r="F41" i="4" a="1"/>
  <c r="F41" i="4" s="1"/>
  <c r="G41" i="4"/>
  <c r="H41" i="4"/>
  <c r="J41" i="4"/>
  <c r="K41" i="4"/>
  <c r="F42" i="4"/>
  <c r="G42" i="4"/>
  <c r="H42" i="4"/>
  <c r="J42" i="4"/>
  <c r="K42" i="4"/>
  <c r="L42" i="4"/>
  <c r="M42" i="4"/>
  <c r="N42" i="4"/>
  <c r="O42" i="4"/>
  <c r="P42" i="4"/>
  <c r="Q42" i="4"/>
  <c r="P2121" i="8"/>
  <c r="J33" i="1" l="1"/>
  <c r="J13" i="7" s="1"/>
  <c r="J12" i="1"/>
  <c r="J16" i="1"/>
  <c r="J35" i="1"/>
  <c r="J15" i="7" s="1"/>
  <c r="J30" i="1"/>
  <c r="J10" i="7" s="1"/>
  <c r="J14" i="1"/>
  <c r="J18" i="1"/>
  <c r="J29" i="1"/>
  <c r="J8" i="1"/>
  <c r="J37" i="1"/>
  <c r="J17" i="7" s="1"/>
  <c r="J11" i="1"/>
  <c r="J13" i="1"/>
  <c r="J36" i="1"/>
  <c r="J16" i="7" s="1"/>
  <c r="J10" i="1"/>
  <c r="J20" i="1" s="1"/>
  <c r="J26" i="1" s="1"/>
  <c r="J15" i="1"/>
  <c r="J34" i="1"/>
  <c r="J14" i="7" s="1"/>
  <c r="J32" i="1"/>
  <c r="J12" i="7" s="1"/>
  <c r="J45" i="1"/>
  <c r="J17" i="1"/>
  <c r="J41" i="1"/>
  <c r="J43" i="1" s="1"/>
  <c r="J20" i="7" s="1"/>
  <c r="J31" i="1"/>
  <c r="J11" i="7" s="1"/>
  <c r="I15" i="1"/>
  <c r="I29" i="1"/>
  <c r="I14" i="1"/>
  <c r="I31" i="1"/>
  <c r="I11" i="7" s="1"/>
  <c r="E15" i="1"/>
  <c r="L6" i="1"/>
  <c r="M6" i="1"/>
  <c r="N6" i="1"/>
  <c r="O6" i="1"/>
  <c r="H6" i="1"/>
  <c r="I6" i="1"/>
  <c r="L36" i="6"/>
  <c r="M36" i="6"/>
  <c r="N36" i="6"/>
  <c r="O36" i="6"/>
  <c r="H36" i="6"/>
  <c r="I36" i="6"/>
  <c r="I41" i="1"/>
  <c r="I43" i="1" s="1"/>
  <c r="I20" i="7" s="1"/>
  <c r="I33" i="1"/>
  <c r="I13" i="7" s="1"/>
  <c r="F30" i="1"/>
  <c r="E18" i="7"/>
  <c r="I17" i="1"/>
  <c r="F8" i="1"/>
  <c r="J5" i="1"/>
  <c r="O31" i="6"/>
  <c r="L41" i="4"/>
  <c r="L49" i="1"/>
  <c r="F31" i="1"/>
  <c r="F29" i="1"/>
  <c r="J31" i="6"/>
  <c r="K31" i="6"/>
  <c r="L31" i="6"/>
  <c r="M31" i="6"/>
  <c r="N31" i="6"/>
  <c r="F31" i="6"/>
  <c r="G31" i="6"/>
  <c r="M26" i="4"/>
  <c r="O5" i="6"/>
  <c r="E13" i="7"/>
  <c r="F18" i="1"/>
  <c r="E11" i="1"/>
  <c r="D13" i="1"/>
  <c r="D17" i="1"/>
  <c r="D34" i="1"/>
  <c r="D14" i="7" s="1"/>
  <c r="D22" i="1"/>
  <c r="D24" i="1" s="1"/>
  <c r="D29" i="1"/>
  <c r="D36" i="1"/>
  <c r="D16" i="7" s="1"/>
  <c r="D14" i="1"/>
  <c r="D35" i="1"/>
  <c r="L35" i="6"/>
  <c r="M35" i="6"/>
  <c r="N35" i="6"/>
  <c r="O35" i="6"/>
  <c r="H35" i="6"/>
  <c r="I35" i="6"/>
  <c r="N34" i="6"/>
  <c r="N5" i="6"/>
  <c r="I12" i="1"/>
  <c r="I16" i="1"/>
  <c r="I35" i="1"/>
  <c r="I15" i="7" s="1"/>
  <c r="I30" i="1"/>
  <c r="I10" i="7" s="1"/>
  <c r="I37" i="1"/>
  <c r="I17" i="7" s="1"/>
  <c r="I13" i="1"/>
  <c r="I8" i="1"/>
  <c r="I36" i="1"/>
  <c r="I16" i="7" s="1"/>
  <c r="K7" i="1"/>
  <c r="L7" i="1"/>
  <c r="M7" i="1"/>
  <c r="N7" i="1"/>
  <c r="O7" i="1"/>
  <c r="G7" i="1"/>
  <c r="H7" i="1"/>
  <c r="F36" i="1"/>
  <c r="G49" i="1"/>
  <c r="E17" i="7"/>
  <c r="E13" i="1"/>
  <c r="I34" i="1"/>
  <c r="I14" i="7" s="1"/>
  <c r="I5" i="6"/>
  <c r="J5" i="6"/>
  <c r="K5" i="6"/>
  <c r="L5" i="6"/>
  <c r="M5" i="6"/>
  <c r="F5" i="6"/>
  <c r="C12" i="7"/>
  <c r="E12" i="7" s="1"/>
  <c r="E32" i="1"/>
  <c r="J19" i="1"/>
  <c r="J38" i="1" s="1"/>
  <c r="J18" i="7" s="1"/>
  <c r="K19" i="1"/>
  <c r="K38" i="1" s="1"/>
  <c r="K18" i="7" s="1"/>
  <c r="L19" i="1"/>
  <c r="L38" i="1" s="1"/>
  <c r="L18" i="7" s="1"/>
  <c r="M19" i="1"/>
  <c r="M38" i="1" s="1"/>
  <c r="M18" i="7" s="1"/>
  <c r="F19" i="1"/>
  <c r="K6" i="1"/>
  <c r="K36" i="6"/>
  <c r="G5" i="6"/>
  <c r="F37" i="1"/>
  <c r="F13" i="1"/>
  <c r="F17" i="1"/>
  <c r="F32" i="1"/>
  <c r="F34" i="1"/>
  <c r="F14" i="1"/>
  <c r="F33" i="1"/>
  <c r="F35" i="1"/>
  <c r="F15" i="1"/>
  <c r="F49" i="1"/>
  <c r="F16" i="1"/>
  <c r="D12" i="1"/>
  <c r="E12" i="1" s="1"/>
  <c r="I11" i="1"/>
  <c r="I20" i="1" s="1"/>
  <c r="I26" i="1" s="1"/>
  <c r="J6" i="1"/>
  <c r="J36" i="6"/>
  <c r="H31" i="6"/>
  <c r="K5" i="1"/>
  <c r="L5" i="1"/>
  <c r="M5" i="1"/>
  <c r="N5" i="1"/>
  <c r="O5" i="1"/>
  <c r="G5" i="1"/>
  <c r="H5" i="1"/>
  <c r="M41" i="4"/>
  <c r="N41" i="4"/>
  <c r="O41" i="4"/>
  <c r="I41" i="4"/>
  <c r="R41" i="4" s="1"/>
  <c r="R42" i="4" s="1"/>
  <c r="I42" i="4"/>
  <c r="G6" i="1"/>
  <c r="G36" i="6"/>
  <c r="H34" i="6"/>
  <c r="J30" i="4"/>
  <c r="J48" i="1"/>
  <c r="J49" i="1" s="1"/>
  <c r="N47" i="1"/>
  <c r="N49" i="1" s="1"/>
  <c r="H47" i="1"/>
  <c r="H49" i="1" s="1"/>
  <c r="C30" i="1"/>
  <c r="L32" i="6"/>
  <c r="L34" i="6" s="1"/>
  <c r="C31" i="1"/>
  <c r="L51" i="1"/>
  <c r="C18" i="1"/>
  <c r="E18" i="1" s="1"/>
  <c r="C14" i="1"/>
  <c r="L33" i="6"/>
  <c r="K32" i="6"/>
  <c r="K34" i="6" s="1"/>
  <c r="G50" i="1"/>
  <c r="K47" i="1"/>
  <c r="K49" i="1" s="1"/>
  <c r="C36" i="1"/>
  <c r="K51" i="1"/>
  <c r="K33" i="6"/>
  <c r="J32" i="6"/>
  <c r="O30" i="4"/>
  <c r="O48" i="1"/>
  <c r="O49" i="1" s="1"/>
  <c r="O46" i="1"/>
  <c r="C29" i="1"/>
  <c r="J51" i="1"/>
  <c r="C22" i="1"/>
  <c r="J33" i="6"/>
  <c r="I32" i="6"/>
  <c r="I34" i="6" s="1"/>
  <c r="C34" i="1"/>
  <c r="C17" i="1"/>
  <c r="D24" i="8"/>
  <c r="D26" i="8" s="1"/>
  <c r="E22" i="8"/>
  <c r="I36" i="8"/>
  <c r="AQ16" i="7"/>
  <c r="I17" i="8"/>
  <c r="I16" i="8"/>
  <c r="AQ15" i="7"/>
  <c r="I35" i="8"/>
  <c r="AQ14" i="7"/>
  <c r="I34" i="8"/>
  <c r="I15" i="8"/>
  <c r="F5" i="7" a="1"/>
  <c r="F5" i="8" a="1"/>
  <c r="D2120" i="8"/>
  <c r="D45" i="8" s="1"/>
  <c r="M8" i="1" l="1"/>
  <c r="M36" i="1"/>
  <c r="M16" i="7" s="1"/>
  <c r="M31" i="1"/>
  <c r="M11" i="7" s="1"/>
  <c r="M10" i="1"/>
  <c r="M11" i="1"/>
  <c r="M15" i="1"/>
  <c r="M41" i="1"/>
  <c r="M43" i="1" s="1"/>
  <c r="M20" i="7" s="1"/>
  <c r="M33" i="1"/>
  <c r="M13" i="7" s="1"/>
  <c r="M13" i="1"/>
  <c r="M17" i="1"/>
  <c r="M32" i="1"/>
  <c r="M12" i="7" s="1"/>
  <c r="M45" i="1"/>
  <c r="M30" i="1"/>
  <c r="M10" i="7" s="1"/>
  <c r="M14" i="1"/>
  <c r="M29" i="1"/>
  <c r="M16" i="1"/>
  <c r="M35" i="1"/>
  <c r="M15" i="7" s="1"/>
  <c r="M12" i="1"/>
  <c r="M37" i="1"/>
  <c r="M17" i="7" s="1"/>
  <c r="M18" i="1"/>
  <c r="M34" i="1"/>
  <c r="M14" i="7" s="1"/>
  <c r="F10" i="7"/>
  <c r="P30" i="1"/>
  <c r="I91" i="1"/>
  <c r="I92" i="1"/>
  <c r="I90" i="1"/>
  <c r="F13" i="7"/>
  <c r="F9" i="7"/>
  <c r="F39" i="1"/>
  <c r="P29" i="1"/>
  <c r="T29" i="1"/>
  <c r="J91" i="1"/>
  <c r="J92" i="1"/>
  <c r="C9" i="7"/>
  <c r="E29" i="1"/>
  <c r="C39" i="1"/>
  <c r="F17" i="7"/>
  <c r="E14" i="1"/>
  <c r="E20" i="1" s="1"/>
  <c r="C20" i="1"/>
  <c r="F20" i="1"/>
  <c r="F26" i="1" s="1"/>
  <c r="L31" i="1"/>
  <c r="L11" i="7" s="1"/>
  <c r="L10" i="1"/>
  <c r="L11" i="1"/>
  <c r="L15" i="1"/>
  <c r="L41" i="1"/>
  <c r="L43" i="1" s="1"/>
  <c r="L20" i="7" s="1"/>
  <c r="L33" i="1"/>
  <c r="L13" i="7" s="1"/>
  <c r="L12" i="1"/>
  <c r="L16" i="1"/>
  <c r="L17" i="1"/>
  <c r="L8" i="1"/>
  <c r="L14" i="1"/>
  <c r="L29" i="1"/>
  <c r="L13" i="1"/>
  <c r="L35" i="1"/>
  <c r="L15" i="7" s="1"/>
  <c r="L37" i="1"/>
  <c r="L17" i="7" s="1"/>
  <c r="L18" i="1"/>
  <c r="L34" i="1"/>
  <c r="L36" i="1"/>
  <c r="L16" i="7" s="1"/>
  <c r="L30" i="1"/>
  <c r="L10" i="7" s="1"/>
  <c r="L32" i="1"/>
  <c r="L12" i="7" s="1"/>
  <c r="L45" i="1"/>
  <c r="C24" i="1"/>
  <c r="E22" i="1"/>
  <c r="T22" i="1"/>
  <c r="K10" i="1"/>
  <c r="K11" i="1"/>
  <c r="K15" i="1"/>
  <c r="K41" i="1"/>
  <c r="K43" i="1" s="1"/>
  <c r="K20" i="7" s="1"/>
  <c r="K33" i="1"/>
  <c r="K13" i="7" s="1"/>
  <c r="K12" i="1"/>
  <c r="K16" i="1"/>
  <c r="K35" i="1"/>
  <c r="K15" i="7" s="1"/>
  <c r="K34" i="1"/>
  <c r="K14" i="7" s="1"/>
  <c r="K8" i="1"/>
  <c r="K14" i="1"/>
  <c r="K29" i="1"/>
  <c r="K31" i="1"/>
  <c r="K11" i="7" s="1"/>
  <c r="K37" i="1"/>
  <c r="K17" i="7" s="1"/>
  <c r="K13" i="1"/>
  <c r="K18" i="1"/>
  <c r="K36" i="1"/>
  <c r="K16" i="7" s="1"/>
  <c r="K30" i="1"/>
  <c r="K10" i="7" s="1"/>
  <c r="K32" i="1"/>
  <c r="K12" i="7" s="1"/>
  <c r="K45" i="1"/>
  <c r="K17" i="1"/>
  <c r="I9" i="7"/>
  <c r="I19" i="7" s="1"/>
  <c r="I39" i="1"/>
  <c r="J90" i="1"/>
  <c r="F15" i="7"/>
  <c r="W37" i="7" s="1"/>
  <c r="T35" i="1"/>
  <c r="P35" i="1"/>
  <c r="F11" i="7"/>
  <c r="J9" i="7"/>
  <c r="J19" i="7" s="1"/>
  <c r="J39" i="1"/>
  <c r="J34" i="6"/>
  <c r="J37" i="6"/>
  <c r="H12" i="1"/>
  <c r="H16" i="1"/>
  <c r="H35" i="1"/>
  <c r="H15" i="7" s="1"/>
  <c r="H30" i="1"/>
  <c r="H10" i="7" s="1"/>
  <c r="H37" i="1"/>
  <c r="H17" i="7" s="1"/>
  <c r="H13" i="1"/>
  <c r="H17" i="1"/>
  <c r="H32" i="1"/>
  <c r="H12" i="7" s="1"/>
  <c r="H31" i="1"/>
  <c r="H11" i="7" s="1"/>
  <c r="H10" i="1"/>
  <c r="H11" i="1"/>
  <c r="H15" i="1"/>
  <c r="H18" i="1"/>
  <c r="H34" i="1"/>
  <c r="H14" i="7" s="1"/>
  <c r="H36" i="1"/>
  <c r="H16" i="7" s="1"/>
  <c r="H33" i="1"/>
  <c r="H13" i="7" s="1"/>
  <c r="H41" i="1"/>
  <c r="H43" i="1" s="1"/>
  <c r="H20" i="7" s="1"/>
  <c r="H14" i="1"/>
  <c r="H29" i="1"/>
  <c r="H8" i="1"/>
  <c r="D15" i="7"/>
  <c r="E15" i="7" s="1"/>
  <c r="E35" i="1"/>
  <c r="C11" i="7"/>
  <c r="E11" i="7" s="1"/>
  <c r="E31" i="1"/>
  <c r="F16" i="7"/>
  <c r="C10" i="7"/>
  <c r="E10" i="7" s="1"/>
  <c r="E30" i="1"/>
  <c r="F14" i="7"/>
  <c r="G30" i="1"/>
  <c r="Q47" i="1"/>
  <c r="E33" i="7" s="1"/>
  <c r="G37" i="1"/>
  <c r="G17" i="7" s="1"/>
  <c r="R48" i="1"/>
  <c r="G13" i="1"/>
  <c r="G17" i="1"/>
  <c r="G32" i="1"/>
  <c r="G12" i="7" s="1"/>
  <c r="G10" i="1"/>
  <c r="G11" i="1"/>
  <c r="G15" i="1"/>
  <c r="G41" i="1"/>
  <c r="G36" i="1"/>
  <c r="G16" i="1"/>
  <c r="G18" i="1"/>
  <c r="T18" i="1" s="1"/>
  <c r="P17" i="7" s="1"/>
  <c r="G35" i="1"/>
  <c r="G15" i="7" s="1"/>
  <c r="G34" i="1"/>
  <c r="G14" i="7" s="1"/>
  <c r="G33" i="1"/>
  <c r="G13" i="7" s="1"/>
  <c r="G12" i="1"/>
  <c r="G14" i="1"/>
  <c r="G29" i="1"/>
  <c r="G31" i="1"/>
  <c r="G11" i="7" s="1"/>
  <c r="G8" i="1"/>
  <c r="D20" i="1"/>
  <c r="E17" i="1"/>
  <c r="F12" i="7"/>
  <c r="F38" i="1"/>
  <c r="P19" i="1"/>
  <c r="Q19" i="1" s="1"/>
  <c r="O34" i="1"/>
  <c r="O14" i="7" s="1"/>
  <c r="O14" i="1"/>
  <c r="P14" i="1" s="1"/>
  <c r="Q14" i="1" s="1"/>
  <c r="O18" i="1"/>
  <c r="O29" i="1"/>
  <c r="O8" i="1"/>
  <c r="O36" i="1"/>
  <c r="O16" i="7" s="1"/>
  <c r="O31" i="1"/>
  <c r="O11" i="7" s="1"/>
  <c r="O10" i="1"/>
  <c r="O11" i="1"/>
  <c r="O15" i="1"/>
  <c r="O30" i="1"/>
  <c r="O10" i="7" s="1"/>
  <c r="O32" i="1"/>
  <c r="O12" i="7" s="1"/>
  <c r="O45" i="1"/>
  <c r="O16" i="1"/>
  <c r="O13" i="1"/>
  <c r="O17" i="1"/>
  <c r="O35" i="1"/>
  <c r="O15" i="7" s="1"/>
  <c r="O37" i="1"/>
  <c r="O17" i="7" s="1"/>
  <c r="O12" i="1"/>
  <c r="O33" i="1"/>
  <c r="O13" i="7" s="1"/>
  <c r="O41" i="1"/>
  <c r="O43" i="1" s="1"/>
  <c r="O20" i="7" s="1"/>
  <c r="C14" i="7"/>
  <c r="E14" i="7" s="1"/>
  <c r="E34" i="1"/>
  <c r="C16" i="7"/>
  <c r="E16" i="7" s="1"/>
  <c r="E36" i="1"/>
  <c r="N14" i="1"/>
  <c r="N18" i="1"/>
  <c r="N29" i="1"/>
  <c r="N8" i="1"/>
  <c r="N36" i="1"/>
  <c r="N16" i="7" s="1"/>
  <c r="N31" i="1"/>
  <c r="N11" i="7" s="1"/>
  <c r="N10" i="1"/>
  <c r="N11" i="1"/>
  <c r="N15" i="1"/>
  <c r="N41" i="1"/>
  <c r="N43" i="1" s="1"/>
  <c r="N20" i="7" s="1"/>
  <c r="N37" i="1"/>
  <c r="N17" i="7" s="1"/>
  <c r="N32" i="1"/>
  <c r="N12" i="7" s="1"/>
  <c r="N45" i="1"/>
  <c r="N17" i="1"/>
  <c r="N30" i="1"/>
  <c r="N10" i="7" s="1"/>
  <c r="N13" i="1"/>
  <c r="N16" i="1"/>
  <c r="N35" i="1"/>
  <c r="N15" i="7" s="1"/>
  <c r="N12" i="1"/>
  <c r="N33" i="1"/>
  <c r="N13" i="7" s="1"/>
  <c r="N34" i="1"/>
  <c r="N14" i="7" s="1"/>
  <c r="D9" i="7"/>
  <c r="D39" i="1"/>
  <c r="F5" i="8"/>
  <c r="J5" i="8"/>
  <c r="N5" i="8"/>
  <c r="G5" i="8"/>
  <c r="M5" i="8"/>
  <c r="O5" i="8"/>
  <c r="H5" i="8"/>
  <c r="I5" i="8"/>
  <c r="L5" i="8"/>
  <c r="K5" i="8"/>
  <c r="O5" i="7"/>
  <c r="F5" i="7"/>
  <c r="G5" i="7"/>
  <c r="H5" i="7"/>
  <c r="I5" i="7"/>
  <c r="M5" i="7"/>
  <c r="J5" i="7"/>
  <c r="L5" i="7"/>
  <c r="K5" i="7"/>
  <c r="N5" i="7"/>
  <c r="AT155" i="8"/>
  <c r="T15" i="8"/>
  <c r="P15" i="8"/>
  <c r="V155" i="8"/>
  <c r="BF155" i="8"/>
  <c r="I20" i="8"/>
  <c r="I26" i="8" s="1"/>
  <c r="J155" i="8"/>
  <c r="CD155" i="8"/>
  <c r="BR155" i="8"/>
  <c r="CP155" i="8"/>
  <c r="I62" i="8"/>
  <c r="DN155" i="8"/>
  <c r="DB155" i="8"/>
  <c r="AH155" i="8"/>
  <c r="F1557" i="8"/>
  <c r="J1559" i="8"/>
  <c r="BK552" i="8"/>
  <c r="BK567" i="8" s="1"/>
  <c r="BK582" i="8" s="1"/>
  <c r="BK597" i="8" s="1"/>
  <c r="AA552" i="8"/>
  <c r="AA567" i="8" s="1"/>
  <c r="AA582" i="8" s="1"/>
  <c r="AA597" i="8" s="1"/>
  <c r="DG552" i="8"/>
  <c r="DG567" i="8" s="1"/>
  <c r="DG582" i="8" s="1"/>
  <c r="DG597" i="8" s="1"/>
  <c r="AM552" i="8"/>
  <c r="AM567" i="8" s="1"/>
  <c r="AM582" i="8" s="1"/>
  <c r="AM597" i="8" s="1"/>
  <c r="AY552" i="8"/>
  <c r="AY567" i="8" s="1"/>
  <c r="AY582" i="8" s="1"/>
  <c r="AY597" i="8" s="1"/>
  <c r="CI552" i="8"/>
  <c r="CI567" i="8" s="1"/>
  <c r="CI582" i="8" s="1"/>
  <c r="CI597" i="8" s="1"/>
  <c r="CU552" i="8"/>
  <c r="CU567" i="8" s="1"/>
  <c r="CU582" i="8" s="1"/>
  <c r="CU597" i="8" s="1"/>
  <c r="BW552" i="8"/>
  <c r="BW567" i="8" s="1"/>
  <c r="BW582" i="8" s="1"/>
  <c r="BW597" i="8" s="1"/>
  <c r="C552" i="8"/>
  <c r="O552" i="8"/>
  <c r="O567" i="8" s="1"/>
  <c r="O582" i="8" s="1"/>
  <c r="O597" i="8" s="1"/>
  <c r="T34" i="8"/>
  <c r="T39" i="8" s="1"/>
  <c r="T45" i="8" s="1"/>
  <c r="P34" i="8"/>
  <c r="DL155" i="8"/>
  <c r="BD155" i="8"/>
  <c r="H155" i="8"/>
  <c r="CZ155" i="8"/>
  <c r="AF155" i="8"/>
  <c r="CN155" i="8"/>
  <c r="BP155" i="8"/>
  <c r="I39" i="8"/>
  <c r="AR155" i="8"/>
  <c r="CB155" i="8"/>
  <c r="T155" i="8"/>
  <c r="AX14" i="7"/>
  <c r="AX19" i="7" s="1"/>
  <c r="W14" i="7"/>
  <c r="AQ19" i="7"/>
  <c r="AQ27" i="7" s="1"/>
  <c r="BK616" i="8"/>
  <c r="BK631" i="8" s="1"/>
  <c r="BK646" i="8" s="1"/>
  <c r="BK661" i="8" s="1"/>
  <c r="C616" i="8"/>
  <c r="CI616" i="8"/>
  <c r="CI631" i="8" s="1"/>
  <c r="CI646" i="8" s="1"/>
  <c r="CI661" i="8" s="1"/>
  <c r="CU616" i="8"/>
  <c r="CU631" i="8" s="1"/>
  <c r="CU646" i="8" s="1"/>
  <c r="CU661" i="8" s="1"/>
  <c r="DG616" i="8"/>
  <c r="DG631" i="8" s="1"/>
  <c r="DG646" i="8" s="1"/>
  <c r="DG661" i="8" s="1"/>
  <c r="O616" i="8"/>
  <c r="O631" i="8" s="1"/>
  <c r="O646" i="8" s="1"/>
  <c r="O661" i="8" s="1"/>
  <c r="AY616" i="8"/>
  <c r="AY631" i="8" s="1"/>
  <c r="AY646" i="8" s="1"/>
  <c r="AY661" i="8" s="1"/>
  <c r="AA616" i="8"/>
  <c r="AA631" i="8" s="1"/>
  <c r="AA646" i="8" s="1"/>
  <c r="AA661" i="8" s="1"/>
  <c r="AM616" i="8"/>
  <c r="AM631" i="8" s="1"/>
  <c r="AM646" i="8" s="1"/>
  <c r="AM661" i="8" s="1"/>
  <c r="BW616" i="8"/>
  <c r="BW631" i="8" s="1"/>
  <c r="BW646" i="8" s="1"/>
  <c r="BW661" i="8" s="1"/>
  <c r="T35" i="8"/>
  <c r="P35" i="8"/>
  <c r="W15" i="7"/>
  <c r="X15" i="7" s="1"/>
  <c r="AX15" i="7"/>
  <c r="T16" i="8"/>
  <c r="P16" i="8"/>
  <c r="Q16" i="8" s="1"/>
  <c r="J1560" i="8"/>
  <c r="T17" i="8"/>
  <c r="P17" i="8"/>
  <c r="Q17" i="8" s="1"/>
  <c r="J1561" i="8"/>
  <c r="AX16" i="7"/>
  <c r="W16" i="7"/>
  <c r="X16" i="7" s="1"/>
  <c r="C680" i="8"/>
  <c r="BW680" i="8"/>
  <c r="BW695" i="8" s="1"/>
  <c r="BW710" i="8" s="1"/>
  <c r="BW725" i="8" s="1"/>
  <c r="O680" i="8"/>
  <c r="O695" i="8" s="1"/>
  <c r="O710" i="8" s="1"/>
  <c r="O725" i="8" s="1"/>
  <c r="CU680" i="8"/>
  <c r="CU695" i="8" s="1"/>
  <c r="CU710" i="8" s="1"/>
  <c r="CU725" i="8" s="1"/>
  <c r="AA680" i="8"/>
  <c r="AA695" i="8" s="1"/>
  <c r="AA710" i="8" s="1"/>
  <c r="AA725" i="8" s="1"/>
  <c r="DG680" i="8"/>
  <c r="DG695" i="8" s="1"/>
  <c r="DG710" i="8" s="1"/>
  <c r="DG725" i="8" s="1"/>
  <c r="AM680" i="8"/>
  <c r="AM695" i="8" s="1"/>
  <c r="AM710" i="8" s="1"/>
  <c r="AM725" i="8" s="1"/>
  <c r="AY680" i="8"/>
  <c r="AY695" i="8" s="1"/>
  <c r="AY710" i="8" s="1"/>
  <c r="AY725" i="8" s="1"/>
  <c r="BK680" i="8"/>
  <c r="BK695" i="8" s="1"/>
  <c r="BK710" i="8" s="1"/>
  <c r="BK725" i="8" s="1"/>
  <c r="CI680" i="8"/>
  <c r="CI695" i="8" s="1"/>
  <c r="CI710" i="8" s="1"/>
  <c r="CI725" i="8" s="1"/>
  <c r="P36" i="8"/>
  <c r="T36" i="8"/>
  <c r="E24" i="8"/>
  <c r="E26" i="8" s="1"/>
  <c r="Q22" i="8"/>
  <c r="AH173" i="8"/>
  <c r="DB173" i="8"/>
  <c r="CP173" i="8"/>
  <c r="CA173" i="8"/>
  <c r="DN173" i="8"/>
  <c r="AQ173" i="8"/>
  <c r="J173" i="8"/>
  <c r="V173" i="8"/>
  <c r="CY173" i="8"/>
  <c r="DK173" i="8"/>
  <c r="BR173" i="8"/>
  <c r="CD173" i="8"/>
  <c r="BC173" i="8"/>
  <c r="BO173" i="8"/>
  <c r="BF173" i="8"/>
  <c r="G173" i="8"/>
  <c r="AE173" i="8"/>
  <c r="S173" i="8"/>
  <c r="CM173" i="8"/>
  <c r="AT173" i="8"/>
  <c r="F1575" i="8"/>
  <c r="I2120" i="8"/>
  <c r="I45" i="8" s="1"/>
  <c r="N2121" i="8"/>
  <c r="H2121" i="8"/>
  <c r="L2121" i="8"/>
  <c r="F2121" i="8"/>
  <c r="K2121" i="8"/>
  <c r="I2121" i="8"/>
  <c r="M2121" i="8"/>
  <c r="G2121" i="8"/>
  <c r="C2120" i="8"/>
  <c r="C45" i="8" s="1"/>
  <c r="E45" i="8" s="1"/>
  <c r="Q33" i="1" l="1"/>
  <c r="X35" i="7"/>
  <c r="Q13" i="7"/>
  <c r="Q33" i="8"/>
  <c r="DC173" i="8"/>
  <c r="G16" i="7"/>
  <c r="P36" i="1"/>
  <c r="T36" i="1"/>
  <c r="T15" i="1"/>
  <c r="P14" i="7" s="1"/>
  <c r="P15" i="1"/>
  <c r="Q15" i="1" s="1"/>
  <c r="L14" i="7"/>
  <c r="P34" i="1"/>
  <c r="C91" i="1"/>
  <c r="C45" i="1" s="1"/>
  <c r="C26" i="1"/>
  <c r="C92" i="1" s="1"/>
  <c r="P16" i="1"/>
  <c r="Q16" i="1" s="1"/>
  <c r="E26" i="1"/>
  <c r="E91" i="1"/>
  <c r="I45" i="1"/>
  <c r="I22" i="7" s="1"/>
  <c r="AD55" i="7" s="1"/>
  <c r="I37" i="6"/>
  <c r="G10" i="7"/>
  <c r="T30" i="1"/>
  <c r="T39" i="1" s="1"/>
  <c r="T45" i="1" s="1"/>
  <c r="P22" i="7" s="1"/>
  <c r="T34" i="1"/>
  <c r="G43" i="1"/>
  <c r="G20" i="7" s="1"/>
  <c r="W43" i="7" s="1"/>
  <c r="P41" i="1"/>
  <c r="P43" i="1" s="1"/>
  <c r="D19" i="7"/>
  <c r="D22" i="7" s="1"/>
  <c r="Y55" i="7" s="1"/>
  <c r="H20" i="1"/>
  <c r="H26" i="1" s="1"/>
  <c r="T10" i="1"/>
  <c r="Q38" i="1"/>
  <c r="Q18" i="7"/>
  <c r="X40" i="7"/>
  <c r="Q38" i="8"/>
  <c r="T11" i="1"/>
  <c r="P10" i="7" s="1"/>
  <c r="P11" i="1"/>
  <c r="Q11" i="1" s="1"/>
  <c r="W36" i="7"/>
  <c r="H9" i="7"/>
  <c r="H19" i="7" s="1"/>
  <c r="H39" i="1"/>
  <c r="K20" i="1"/>
  <c r="K26" i="1" s="1"/>
  <c r="W32" i="7"/>
  <c r="N20" i="1"/>
  <c r="N26" i="1" s="1"/>
  <c r="N2120" i="8" s="1"/>
  <c r="F18" i="7"/>
  <c r="W40" i="7" s="1"/>
  <c r="T38" i="1"/>
  <c r="T19" i="1" s="1"/>
  <c r="P18" i="7" s="1"/>
  <c r="P38" i="1"/>
  <c r="G9" i="7"/>
  <c r="G19" i="7" s="1"/>
  <c r="G39" i="1"/>
  <c r="G20" i="1"/>
  <c r="G26" i="1" s="1"/>
  <c r="P10" i="1"/>
  <c r="K9" i="7"/>
  <c r="K19" i="7" s="1"/>
  <c r="K39" i="1"/>
  <c r="P20" i="7"/>
  <c r="T24" i="1"/>
  <c r="T41" i="1"/>
  <c r="T43" i="1" s="1"/>
  <c r="L20" i="1"/>
  <c r="L26" i="1" s="1"/>
  <c r="P37" i="1"/>
  <c r="F19" i="7"/>
  <c r="P32" i="1"/>
  <c r="P39" i="1" s="1"/>
  <c r="P12" i="1"/>
  <c r="Q12" i="1" s="1"/>
  <c r="T12" i="1"/>
  <c r="P11" i="7" s="1"/>
  <c r="T17" i="1"/>
  <c r="P16" i="7" s="1"/>
  <c r="L9" i="7"/>
  <c r="L19" i="7" s="1"/>
  <c r="L39" i="1"/>
  <c r="F92" i="1"/>
  <c r="F91" i="1"/>
  <c r="F90" i="1"/>
  <c r="W39" i="7"/>
  <c r="T14" i="1"/>
  <c r="P13" i="7" s="1"/>
  <c r="T37" i="1"/>
  <c r="O20" i="1"/>
  <c r="O26" i="1" s="1"/>
  <c r="T32" i="1"/>
  <c r="P31" i="1"/>
  <c r="E24" i="1"/>
  <c r="Q22" i="1"/>
  <c r="P13" i="1"/>
  <c r="Q13" i="1" s="1"/>
  <c r="T33" i="1"/>
  <c r="N9" i="7"/>
  <c r="N19" i="7" s="1"/>
  <c r="N39" i="1"/>
  <c r="W34" i="7"/>
  <c r="F34" i="7"/>
  <c r="W38" i="7"/>
  <c r="T31" i="1"/>
  <c r="T13" i="1"/>
  <c r="P12" i="7" s="1"/>
  <c r="E39" i="1"/>
  <c r="P33" i="1"/>
  <c r="W33" i="7"/>
  <c r="C19" i="7"/>
  <c r="C22" i="7" s="1"/>
  <c r="X55" i="7" s="1"/>
  <c r="Z55" i="7" s="1"/>
  <c r="E9" i="7"/>
  <c r="E19" i="7" s="1"/>
  <c r="E22" i="7" s="1"/>
  <c r="W35" i="7"/>
  <c r="M20" i="1"/>
  <c r="M26" i="1" s="1"/>
  <c r="K173" i="8"/>
  <c r="T20" i="8"/>
  <c r="M9" i="7"/>
  <c r="M19" i="7" s="1"/>
  <c r="M39" i="1"/>
  <c r="DO173" i="8"/>
  <c r="P17" i="1"/>
  <c r="Q17" i="1" s="1"/>
  <c r="O9" i="7"/>
  <c r="O19" i="7" s="1"/>
  <c r="O39" i="1"/>
  <c r="D26" i="1"/>
  <c r="D92" i="1" s="1"/>
  <c r="D91" i="1"/>
  <c r="D45" i="1" s="1"/>
  <c r="T16" i="1"/>
  <c r="P15" i="7" s="1"/>
  <c r="P18" i="1"/>
  <c r="Q18" i="1" s="1"/>
  <c r="Q24" i="8"/>
  <c r="Q41" i="8"/>
  <c r="C695" i="8"/>
  <c r="C710" i="8" s="1"/>
  <c r="C725" i="8" s="1"/>
  <c r="C1421" i="8"/>
  <c r="K1561" i="8"/>
  <c r="K1560" i="8"/>
  <c r="C631" i="8"/>
  <c r="C646" i="8" s="1"/>
  <c r="C661" i="8" s="1"/>
  <c r="C1355" i="8"/>
  <c r="AQ28" i="7"/>
  <c r="W28" i="7" s="1"/>
  <c r="AX28" i="7" s="1"/>
  <c r="AD62" i="7"/>
  <c r="R31" i="7" s="1"/>
  <c r="X14" i="7"/>
  <c r="W19" i="7"/>
  <c r="W27" i="7" s="1"/>
  <c r="W47" i="7" s="1"/>
  <c r="P39" i="8"/>
  <c r="C567" i="8"/>
  <c r="C582" i="8" s="1"/>
  <c r="C597" i="8" s="1"/>
  <c r="C1289" i="8"/>
  <c r="J1567" i="8"/>
  <c r="K1559" i="8"/>
  <c r="F1576" i="8"/>
  <c r="G1575" i="8" s="1"/>
  <c r="F1604" i="8" s="1"/>
  <c r="G1557" i="8"/>
  <c r="F1586" i="8" s="1"/>
  <c r="AH174" i="8"/>
  <c r="DC155" i="8"/>
  <c r="DB174" i="8"/>
  <c r="DN174" i="8"/>
  <c r="AA86" i="8"/>
  <c r="AA87" i="8" s="1"/>
  <c r="AM86" i="8"/>
  <c r="AM87" i="8" s="1"/>
  <c r="BK86" i="8"/>
  <c r="BK87" i="8" s="1"/>
  <c r="DG86" i="8"/>
  <c r="DG87" i="8" s="1"/>
  <c r="AY86" i="8"/>
  <c r="AY87" i="8" s="1"/>
  <c r="O86" i="8"/>
  <c r="O87" i="8" s="1"/>
  <c r="CU86" i="8"/>
  <c r="CU87" i="8" s="1"/>
  <c r="BW86" i="8"/>
  <c r="BW87" i="8" s="1"/>
  <c r="C86" i="8"/>
  <c r="C87" i="8" s="1"/>
  <c r="CI86" i="8"/>
  <c r="CI87" i="8" s="1"/>
  <c r="CP174" i="8"/>
  <c r="BS155" i="8"/>
  <c r="BR174" i="8"/>
  <c r="CD174" i="8"/>
  <c r="J174" i="8"/>
  <c r="BF174" i="8"/>
  <c r="BG155" i="8" s="1"/>
  <c r="W155" i="8"/>
  <c r="V174" i="8"/>
  <c r="Q15" i="8"/>
  <c r="P20" i="8"/>
  <c r="P26" i="8" s="1"/>
  <c r="AU155" i="8"/>
  <c r="AT174" i="8"/>
  <c r="AU173" i="8" s="1"/>
  <c r="BJ234" i="8"/>
  <c r="BJ249" i="8" s="1"/>
  <c r="BJ264" i="8" s="1"/>
  <c r="BJ279" i="8" s="1"/>
  <c r="B234" i="8"/>
  <c r="BV234" i="8"/>
  <c r="BV249" i="8" s="1"/>
  <c r="BV264" i="8" s="1"/>
  <c r="BV279" i="8" s="1"/>
  <c r="AL234" i="8"/>
  <c r="AL249" i="8" s="1"/>
  <c r="AL264" i="8" s="1"/>
  <c r="AL279" i="8" s="1"/>
  <c r="AL362" i="8"/>
  <c r="AL377" i="8" s="1"/>
  <c r="AL392" i="8" s="1"/>
  <c r="AL407" i="8" s="1"/>
  <c r="DF362" i="8"/>
  <c r="DF377" i="8" s="1"/>
  <c r="DF392" i="8" s="1"/>
  <c r="DF407" i="8" s="1"/>
  <c r="AX426" i="8"/>
  <c r="AX441" i="8" s="1"/>
  <c r="AX456" i="8" s="1"/>
  <c r="AX471" i="8" s="1"/>
  <c r="BV298" i="8"/>
  <c r="BV313" i="8" s="1"/>
  <c r="BV328" i="8" s="1"/>
  <c r="BV343" i="8" s="1"/>
  <c r="DF234" i="8"/>
  <c r="DF249" i="8" s="1"/>
  <c r="DF264" i="8" s="1"/>
  <c r="DF279" i="8" s="1"/>
  <c r="CT426" i="8"/>
  <c r="CT441" i="8" s="1"/>
  <c r="CT456" i="8" s="1"/>
  <c r="CT471" i="8" s="1"/>
  <c r="B298" i="8"/>
  <c r="B313" i="8" s="1"/>
  <c r="B328" i="8" s="1"/>
  <c r="B343" i="8" s="1"/>
  <c r="CH298" i="8"/>
  <c r="CH313" i="8" s="1"/>
  <c r="CH328" i="8" s="1"/>
  <c r="CH343" i="8" s="1"/>
  <c r="BJ362" i="8"/>
  <c r="BJ377" i="8" s="1"/>
  <c r="BJ392" i="8" s="1"/>
  <c r="BJ407" i="8" s="1"/>
  <c r="Z426" i="8"/>
  <c r="Z441" i="8" s="1"/>
  <c r="Z456" i="8" s="1"/>
  <c r="Z471" i="8" s="1"/>
  <c r="AL490" i="8"/>
  <c r="AL505" i="8" s="1"/>
  <c r="AL520" i="8" s="1"/>
  <c r="AL535" i="8" s="1"/>
  <c r="DF490" i="8"/>
  <c r="DF505" i="8" s="1"/>
  <c r="DF520" i="8" s="1"/>
  <c r="DF535" i="8" s="1"/>
  <c r="AL298" i="8"/>
  <c r="AL313" i="8" s="1"/>
  <c r="AL328" i="8" s="1"/>
  <c r="AL343" i="8" s="1"/>
  <c r="CH362" i="8"/>
  <c r="CH377" i="8" s="1"/>
  <c r="CH392" i="8" s="1"/>
  <c r="CH407" i="8" s="1"/>
  <c r="BJ426" i="8"/>
  <c r="BJ441" i="8" s="1"/>
  <c r="BJ456" i="8" s="1"/>
  <c r="BJ471" i="8" s="1"/>
  <c r="Z554" i="8"/>
  <c r="Z569" i="8" s="1"/>
  <c r="Z584" i="8" s="1"/>
  <c r="Z599" i="8" s="1"/>
  <c r="B362" i="8"/>
  <c r="AX490" i="8"/>
  <c r="AX505" i="8" s="1"/>
  <c r="AX520" i="8" s="1"/>
  <c r="AX535" i="8" s="1"/>
  <c r="DF554" i="8"/>
  <c r="DF569" i="8" s="1"/>
  <c r="DF584" i="8" s="1"/>
  <c r="DF599" i="8" s="1"/>
  <c r="AL618" i="8"/>
  <c r="AL633" i="8" s="1"/>
  <c r="AL648" i="8" s="1"/>
  <c r="AL663" i="8" s="1"/>
  <c r="DF618" i="8"/>
  <c r="DF633" i="8" s="1"/>
  <c r="DF648" i="8" s="1"/>
  <c r="DF663" i="8" s="1"/>
  <c r="AX682" i="8"/>
  <c r="AX697" i="8" s="1"/>
  <c r="AX712" i="8" s="1"/>
  <c r="AX727" i="8" s="1"/>
  <c r="AX298" i="8"/>
  <c r="AX313" i="8" s="1"/>
  <c r="AX328" i="8" s="1"/>
  <c r="AX343" i="8" s="1"/>
  <c r="CT362" i="8"/>
  <c r="CT377" i="8" s="1"/>
  <c r="CT392" i="8" s="1"/>
  <c r="CT407" i="8" s="1"/>
  <c r="BV426" i="8"/>
  <c r="BV441" i="8" s="1"/>
  <c r="BV456" i="8" s="1"/>
  <c r="BV471" i="8" s="1"/>
  <c r="AL554" i="8"/>
  <c r="AL569" i="8" s="1"/>
  <c r="AL584" i="8" s="1"/>
  <c r="AL599" i="8" s="1"/>
  <c r="B490" i="8"/>
  <c r="B505" i="8" s="1"/>
  <c r="B520" i="8" s="1"/>
  <c r="B535" i="8" s="1"/>
  <c r="Z234" i="8"/>
  <c r="Z249" i="8" s="1"/>
  <c r="Z264" i="8" s="1"/>
  <c r="Z279" i="8" s="1"/>
  <c r="Z298" i="8"/>
  <c r="Z313" i="8" s="1"/>
  <c r="Z328" i="8" s="1"/>
  <c r="Z343" i="8" s="1"/>
  <c r="Z362" i="8"/>
  <c r="Z377" i="8" s="1"/>
  <c r="Z392" i="8" s="1"/>
  <c r="Z407" i="8" s="1"/>
  <c r="B426" i="8"/>
  <c r="B441" i="8" s="1"/>
  <c r="B456" i="8" s="1"/>
  <c r="B471" i="8" s="1"/>
  <c r="BJ298" i="8"/>
  <c r="BJ313" i="8" s="1"/>
  <c r="BJ328" i="8" s="1"/>
  <c r="BJ343" i="8" s="1"/>
  <c r="N426" i="8"/>
  <c r="N441" i="8" s="1"/>
  <c r="N456" i="8" s="1"/>
  <c r="N471" i="8" s="1"/>
  <c r="N234" i="8"/>
  <c r="N249" i="8" s="1"/>
  <c r="N264" i="8" s="1"/>
  <c r="N279" i="8" s="1"/>
  <c r="AX618" i="8"/>
  <c r="AX633" i="8" s="1"/>
  <c r="AX648" i="8" s="1"/>
  <c r="AX663" i="8" s="1"/>
  <c r="Z682" i="8"/>
  <c r="Z697" i="8" s="1"/>
  <c r="Z712" i="8" s="1"/>
  <c r="Z727" i="8" s="1"/>
  <c r="DF682" i="8"/>
  <c r="DF697" i="8" s="1"/>
  <c r="DF712" i="8" s="1"/>
  <c r="DF727" i="8" s="1"/>
  <c r="AL746" i="8"/>
  <c r="AL761" i="8" s="1"/>
  <c r="AL776" i="8" s="1"/>
  <c r="AL791" i="8" s="1"/>
  <c r="DF746" i="8"/>
  <c r="DF761" i="8" s="1"/>
  <c r="DF776" i="8" s="1"/>
  <c r="DF791" i="8" s="1"/>
  <c r="AX234" i="8"/>
  <c r="AX249" i="8" s="1"/>
  <c r="AX264" i="8" s="1"/>
  <c r="AX279" i="8" s="1"/>
  <c r="BV490" i="8"/>
  <c r="BV505" i="8" s="1"/>
  <c r="BV520" i="8" s="1"/>
  <c r="BV535" i="8" s="1"/>
  <c r="BJ554" i="8"/>
  <c r="BJ569" i="8" s="1"/>
  <c r="BJ584" i="8" s="1"/>
  <c r="BJ599" i="8" s="1"/>
  <c r="CH234" i="8"/>
  <c r="CH249" i="8" s="1"/>
  <c r="CH264" i="8" s="1"/>
  <c r="CH279" i="8" s="1"/>
  <c r="N362" i="8"/>
  <c r="N377" i="8" s="1"/>
  <c r="N392" i="8" s="1"/>
  <c r="N407" i="8" s="1"/>
  <c r="AL426" i="8"/>
  <c r="AL441" i="8" s="1"/>
  <c r="AL456" i="8" s="1"/>
  <c r="AL471" i="8" s="1"/>
  <c r="CH490" i="8"/>
  <c r="CH505" i="8" s="1"/>
  <c r="CH520" i="8" s="1"/>
  <c r="CH535" i="8" s="1"/>
  <c r="BV554" i="8"/>
  <c r="BV569" i="8" s="1"/>
  <c r="BV584" i="8" s="1"/>
  <c r="BV599" i="8" s="1"/>
  <c r="B682" i="8"/>
  <c r="B697" i="8" s="1"/>
  <c r="B712" i="8" s="1"/>
  <c r="B727" i="8" s="1"/>
  <c r="N746" i="8"/>
  <c r="N761" i="8" s="1"/>
  <c r="N776" i="8" s="1"/>
  <c r="N791" i="8" s="1"/>
  <c r="CT746" i="8"/>
  <c r="CT761" i="8" s="1"/>
  <c r="CT776" i="8" s="1"/>
  <c r="CT791" i="8" s="1"/>
  <c r="CT234" i="8"/>
  <c r="CT249" i="8" s="1"/>
  <c r="CT264" i="8" s="1"/>
  <c r="CT279" i="8" s="1"/>
  <c r="N298" i="8"/>
  <c r="N313" i="8" s="1"/>
  <c r="N328" i="8" s="1"/>
  <c r="N343" i="8" s="1"/>
  <c r="Z490" i="8"/>
  <c r="Z505" i="8" s="1"/>
  <c r="Z520" i="8" s="1"/>
  <c r="Z535" i="8" s="1"/>
  <c r="B554" i="8"/>
  <c r="B569" i="8" s="1"/>
  <c r="B584" i="8" s="1"/>
  <c r="B599" i="8" s="1"/>
  <c r="B618" i="8"/>
  <c r="B633" i="8" s="1"/>
  <c r="B648" i="8" s="1"/>
  <c r="B663" i="8" s="1"/>
  <c r="Z746" i="8"/>
  <c r="Z761" i="8" s="1"/>
  <c r="Z776" i="8" s="1"/>
  <c r="Z791" i="8" s="1"/>
  <c r="CH426" i="8"/>
  <c r="CH441" i="8" s="1"/>
  <c r="CH456" i="8" s="1"/>
  <c r="CH471" i="8" s="1"/>
  <c r="N554" i="8"/>
  <c r="N569" i="8" s="1"/>
  <c r="N584" i="8" s="1"/>
  <c r="N599" i="8" s="1"/>
  <c r="N618" i="8"/>
  <c r="N633" i="8" s="1"/>
  <c r="N648" i="8" s="1"/>
  <c r="N663" i="8" s="1"/>
  <c r="BJ490" i="8"/>
  <c r="BJ505" i="8" s="1"/>
  <c r="BJ520" i="8" s="1"/>
  <c r="BJ535" i="8" s="1"/>
  <c r="N682" i="8"/>
  <c r="N697" i="8" s="1"/>
  <c r="N712" i="8" s="1"/>
  <c r="N727" i="8" s="1"/>
  <c r="CT298" i="8"/>
  <c r="CT313" i="8" s="1"/>
  <c r="CT328" i="8" s="1"/>
  <c r="CT343" i="8" s="1"/>
  <c r="AX554" i="8"/>
  <c r="AX569" i="8" s="1"/>
  <c r="AX584" i="8" s="1"/>
  <c r="AX599" i="8" s="1"/>
  <c r="Z618" i="8"/>
  <c r="Z633" i="8" s="1"/>
  <c r="Z648" i="8" s="1"/>
  <c r="Z663" i="8" s="1"/>
  <c r="CT682" i="8"/>
  <c r="CT697" i="8" s="1"/>
  <c r="CT712" i="8" s="1"/>
  <c r="CT727" i="8" s="1"/>
  <c r="BV362" i="8"/>
  <c r="BV377" i="8" s="1"/>
  <c r="BV392" i="8" s="1"/>
  <c r="BV407" i="8" s="1"/>
  <c r="DF426" i="8"/>
  <c r="DF441" i="8" s="1"/>
  <c r="DF456" i="8" s="1"/>
  <c r="DF471" i="8" s="1"/>
  <c r="AX746" i="8"/>
  <c r="AX761" i="8" s="1"/>
  <c r="AX776" i="8" s="1"/>
  <c r="AX791" i="8" s="1"/>
  <c r="BJ746" i="8"/>
  <c r="BJ761" i="8" s="1"/>
  <c r="BJ776" i="8" s="1"/>
  <c r="BJ791" i="8" s="1"/>
  <c r="CT490" i="8"/>
  <c r="CT505" i="8" s="1"/>
  <c r="CT520" i="8" s="1"/>
  <c r="CT535" i="8" s="1"/>
  <c r="CH554" i="8"/>
  <c r="CH569" i="8" s="1"/>
  <c r="CH584" i="8" s="1"/>
  <c r="CH599" i="8" s="1"/>
  <c r="BJ682" i="8"/>
  <c r="BJ697" i="8" s="1"/>
  <c r="BJ712" i="8" s="1"/>
  <c r="BJ727" i="8" s="1"/>
  <c r="CH682" i="8"/>
  <c r="CH697" i="8" s="1"/>
  <c r="CH712" i="8" s="1"/>
  <c r="CH727" i="8" s="1"/>
  <c r="BJ618" i="8"/>
  <c r="BJ633" i="8" s="1"/>
  <c r="BJ648" i="8" s="1"/>
  <c r="BJ663" i="8" s="1"/>
  <c r="BV618" i="8"/>
  <c r="BV633" i="8" s="1"/>
  <c r="BV648" i="8" s="1"/>
  <c r="BV663" i="8" s="1"/>
  <c r="N490" i="8"/>
  <c r="N505" i="8" s="1"/>
  <c r="N520" i="8" s="1"/>
  <c r="N535" i="8" s="1"/>
  <c r="CH618" i="8"/>
  <c r="CH633" i="8" s="1"/>
  <c r="CH648" i="8" s="1"/>
  <c r="CH663" i="8" s="1"/>
  <c r="AL682" i="8"/>
  <c r="AL697" i="8" s="1"/>
  <c r="AL712" i="8" s="1"/>
  <c r="AL727" i="8" s="1"/>
  <c r="BV746" i="8"/>
  <c r="BV761" i="8" s="1"/>
  <c r="BV776" i="8" s="1"/>
  <c r="BV791" i="8" s="1"/>
  <c r="CT618" i="8"/>
  <c r="CT633" i="8" s="1"/>
  <c r="CT648" i="8" s="1"/>
  <c r="CT663" i="8" s="1"/>
  <c r="CH746" i="8"/>
  <c r="CH761" i="8" s="1"/>
  <c r="CH776" i="8" s="1"/>
  <c r="CH791" i="8" s="1"/>
  <c r="CT554" i="8"/>
  <c r="CT569" i="8" s="1"/>
  <c r="CT584" i="8" s="1"/>
  <c r="CT599" i="8" s="1"/>
  <c r="BV682" i="8"/>
  <c r="BV697" i="8" s="1"/>
  <c r="BV712" i="8" s="1"/>
  <c r="BV727" i="8" s="1"/>
  <c r="DF298" i="8"/>
  <c r="DF313" i="8" s="1"/>
  <c r="DF328" i="8" s="1"/>
  <c r="DF343" i="8" s="1"/>
  <c r="AX362" i="8"/>
  <c r="AX377" i="8" s="1"/>
  <c r="AX392" i="8" s="1"/>
  <c r="AX407" i="8" s="1"/>
  <c r="B746" i="8"/>
  <c r="B761" i="8" s="1"/>
  <c r="B776" i="8" s="1"/>
  <c r="B791" i="8" s="1"/>
  <c r="N235" i="8"/>
  <c r="N250" i="8" s="1"/>
  <c r="N265" i="8" s="1"/>
  <c r="N280" i="8" s="1"/>
  <c r="CH235" i="8"/>
  <c r="CH250" i="8" s="1"/>
  <c r="CH265" i="8" s="1"/>
  <c r="CH280" i="8" s="1"/>
  <c r="Z235" i="8"/>
  <c r="Z250" i="8" s="1"/>
  <c r="Z265" i="8" s="1"/>
  <c r="Z280" i="8" s="1"/>
  <c r="CT235" i="8"/>
  <c r="CT250" i="8" s="1"/>
  <c r="CT265" i="8" s="1"/>
  <c r="CT280" i="8" s="1"/>
  <c r="B235" i="8"/>
  <c r="DF235" i="8"/>
  <c r="DF250" i="8" s="1"/>
  <c r="DF265" i="8" s="1"/>
  <c r="DF280" i="8" s="1"/>
  <c r="BJ363" i="8"/>
  <c r="BJ378" i="8" s="1"/>
  <c r="BJ393" i="8" s="1"/>
  <c r="BJ408" i="8" s="1"/>
  <c r="B427" i="8"/>
  <c r="B442" i="8" s="1"/>
  <c r="B457" i="8" s="1"/>
  <c r="B472" i="8" s="1"/>
  <c r="BV427" i="8"/>
  <c r="BV442" i="8" s="1"/>
  <c r="BV457" i="8" s="1"/>
  <c r="BV472" i="8" s="1"/>
  <c r="DF299" i="8"/>
  <c r="DF314" i="8" s="1"/>
  <c r="DF329" i="8" s="1"/>
  <c r="DF344" i="8" s="1"/>
  <c r="AL299" i="8"/>
  <c r="AL314" i="8" s="1"/>
  <c r="AL329" i="8" s="1"/>
  <c r="AL344" i="8" s="1"/>
  <c r="N363" i="8"/>
  <c r="N378" i="8" s="1"/>
  <c r="N393" i="8" s="1"/>
  <c r="N408" i="8" s="1"/>
  <c r="CT363" i="8"/>
  <c r="CT378" i="8" s="1"/>
  <c r="CT393" i="8" s="1"/>
  <c r="CT408" i="8" s="1"/>
  <c r="BJ427" i="8"/>
  <c r="BJ442" i="8" s="1"/>
  <c r="BJ457" i="8" s="1"/>
  <c r="BJ472" i="8" s="1"/>
  <c r="BJ491" i="8"/>
  <c r="BJ506" i="8" s="1"/>
  <c r="BJ521" i="8" s="1"/>
  <c r="BJ536" i="8" s="1"/>
  <c r="N299" i="8"/>
  <c r="N314" i="8" s="1"/>
  <c r="N329" i="8" s="1"/>
  <c r="N344" i="8" s="1"/>
  <c r="BJ555" i="8"/>
  <c r="BJ570" i="8" s="1"/>
  <c r="BJ585" i="8" s="1"/>
  <c r="BJ600" i="8" s="1"/>
  <c r="AL235" i="8"/>
  <c r="AL250" i="8" s="1"/>
  <c r="AL265" i="8" s="1"/>
  <c r="AL280" i="8" s="1"/>
  <c r="AL427" i="8"/>
  <c r="AL442" i="8" s="1"/>
  <c r="AL457" i="8" s="1"/>
  <c r="AL472" i="8" s="1"/>
  <c r="N491" i="8"/>
  <c r="N506" i="8" s="1"/>
  <c r="N521" i="8" s="1"/>
  <c r="N536" i="8" s="1"/>
  <c r="CT491" i="8"/>
  <c r="CT506" i="8" s="1"/>
  <c r="CT521" i="8" s="1"/>
  <c r="CT536" i="8" s="1"/>
  <c r="BV555" i="8"/>
  <c r="BV570" i="8" s="1"/>
  <c r="BV585" i="8" s="1"/>
  <c r="BV600" i="8" s="1"/>
  <c r="BJ619" i="8"/>
  <c r="BJ634" i="8" s="1"/>
  <c r="BJ649" i="8" s="1"/>
  <c r="BJ664" i="8" s="1"/>
  <c r="B683" i="8"/>
  <c r="B698" i="8" s="1"/>
  <c r="B713" i="8" s="1"/>
  <c r="B728" i="8" s="1"/>
  <c r="BV683" i="8"/>
  <c r="BV698" i="8" s="1"/>
  <c r="BV713" i="8" s="1"/>
  <c r="BV728" i="8" s="1"/>
  <c r="AX235" i="8"/>
  <c r="AX250" i="8" s="1"/>
  <c r="AX265" i="8" s="1"/>
  <c r="AX280" i="8" s="1"/>
  <c r="Z299" i="8"/>
  <c r="Z314" i="8" s="1"/>
  <c r="Z329" i="8" s="1"/>
  <c r="Z344" i="8" s="1"/>
  <c r="BV363" i="8"/>
  <c r="BV378" i="8" s="1"/>
  <c r="BV393" i="8" s="1"/>
  <c r="BV408" i="8" s="1"/>
  <c r="B555" i="8"/>
  <c r="B570" i="8" s="1"/>
  <c r="B585" i="8" s="1"/>
  <c r="B600" i="8" s="1"/>
  <c r="BJ299" i="8"/>
  <c r="BJ314" i="8" s="1"/>
  <c r="BJ329" i="8" s="1"/>
  <c r="BJ344" i="8" s="1"/>
  <c r="Z363" i="8"/>
  <c r="Z378" i="8" s="1"/>
  <c r="Z393" i="8" s="1"/>
  <c r="Z408" i="8" s="1"/>
  <c r="DF427" i="8"/>
  <c r="DF442" i="8" s="1"/>
  <c r="DF457" i="8" s="1"/>
  <c r="DF472" i="8" s="1"/>
  <c r="B491" i="8"/>
  <c r="B506" i="8" s="1"/>
  <c r="B521" i="8" s="1"/>
  <c r="B536" i="8" s="1"/>
  <c r="BV299" i="8"/>
  <c r="BV314" i="8" s="1"/>
  <c r="BV329" i="8" s="1"/>
  <c r="BV344" i="8" s="1"/>
  <c r="AX427" i="8"/>
  <c r="AX442" i="8" s="1"/>
  <c r="AX457" i="8" s="1"/>
  <c r="AX472" i="8" s="1"/>
  <c r="BV491" i="8"/>
  <c r="BV506" i="8" s="1"/>
  <c r="BV521" i="8" s="1"/>
  <c r="BV536" i="8" s="1"/>
  <c r="AL555" i="8"/>
  <c r="AL570" i="8" s="1"/>
  <c r="AL585" i="8" s="1"/>
  <c r="AL600" i="8" s="1"/>
  <c r="DF619" i="8"/>
  <c r="DF634" i="8" s="1"/>
  <c r="DF649" i="8" s="1"/>
  <c r="DF664" i="8" s="1"/>
  <c r="CH683" i="8"/>
  <c r="CH698" i="8" s="1"/>
  <c r="CH713" i="8" s="1"/>
  <c r="CH728" i="8" s="1"/>
  <c r="BJ747" i="8"/>
  <c r="BJ762" i="8" s="1"/>
  <c r="BJ777" i="8" s="1"/>
  <c r="BJ792" i="8" s="1"/>
  <c r="CH299" i="8"/>
  <c r="CH314" i="8" s="1"/>
  <c r="CH329" i="8" s="1"/>
  <c r="CH344" i="8" s="1"/>
  <c r="AL363" i="8"/>
  <c r="AL378" i="8" s="1"/>
  <c r="AL393" i="8" s="1"/>
  <c r="AL408" i="8" s="1"/>
  <c r="Z619" i="8"/>
  <c r="Z634" i="8" s="1"/>
  <c r="Z649" i="8" s="1"/>
  <c r="Z664" i="8" s="1"/>
  <c r="CT299" i="8"/>
  <c r="CT314" i="8" s="1"/>
  <c r="CT329" i="8" s="1"/>
  <c r="CT344" i="8" s="1"/>
  <c r="CH427" i="8"/>
  <c r="CH442" i="8" s="1"/>
  <c r="CH457" i="8" s="1"/>
  <c r="CH472" i="8" s="1"/>
  <c r="DF491" i="8"/>
  <c r="DF506" i="8" s="1"/>
  <c r="DF521" i="8" s="1"/>
  <c r="DF536" i="8" s="1"/>
  <c r="AL619" i="8"/>
  <c r="AL634" i="8" s="1"/>
  <c r="AL649" i="8" s="1"/>
  <c r="AL664" i="8" s="1"/>
  <c r="AX363" i="8"/>
  <c r="AX378" i="8" s="1"/>
  <c r="AX393" i="8" s="1"/>
  <c r="AX408" i="8" s="1"/>
  <c r="CH491" i="8"/>
  <c r="CH506" i="8" s="1"/>
  <c r="CH521" i="8" s="1"/>
  <c r="CH536" i="8" s="1"/>
  <c r="Z555" i="8"/>
  <c r="Z570" i="8" s="1"/>
  <c r="Z585" i="8" s="1"/>
  <c r="Z600" i="8" s="1"/>
  <c r="B619" i="8"/>
  <c r="B634" i="8" s="1"/>
  <c r="B649" i="8" s="1"/>
  <c r="B664" i="8" s="1"/>
  <c r="BV747" i="8"/>
  <c r="BV762" i="8" s="1"/>
  <c r="BV777" i="8" s="1"/>
  <c r="BV792" i="8" s="1"/>
  <c r="CH363" i="8"/>
  <c r="CH378" i="8" s="1"/>
  <c r="CH393" i="8" s="1"/>
  <c r="CH408" i="8" s="1"/>
  <c r="N683" i="8"/>
  <c r="N698" i="8" s="1"/>
  <c r="N713" i="8" s="1"/>
  <c r="N728" i="8" s="1"/>
  <c r="N619" i="8"/>
  <c r="N634" i="8" s="1"/>
  <c r="N649" i="8" s="1"/>
  <c r="N664" i="8" s="1"/>
  <c r="Z683" i="8"/>
  <c r="Z698" i="8" s="1"/>
  <c r="Z713" i="8" s="1"/>
  <c r="Z728" i="8" s="1"/>
  <c r="CH747" i="8"/>
  <c r="CH762" i="8" s="1"/>
  <c r="CH777" i="8" s="1"/>
  <c r="CH792" i="8" s="1"/>
  <c r="DF363" i="8"/>
  <c r="DF378" i="8" s="1"/>
  <c r="DF393" i="8" s="1"/>
  <c r="DF408" i="8" s="1"/>
  <c r="CH555" i="8"/>
  <c r="CH570" i="8" s="1"/>
  <c r="CH585" i="8" s="1"/>
  <c r="CH600" i="8" s="1"/>
  <c r="AX555" i="8"/>
  <c r="AX570" i="8" s="1"/>
  <c r="AX585" i="8" s="1"/>
  <c r="AX600" i="8" s="1"/>
  <c r="B747" i="8"/>
  <c r="B762" i="8" s="1"/>
  <c r="B777" i="8" s="1"/>
  <c r="B792" i="8" s="1"/>
  <c r="BJ235" i="8"/>
  <c r="BJ250" i="8" s="1"/>
  <c r="BJ265" i="8" s="1"/>
  <c r="BJ280" i="8" s="1"/>
  <c r="BV235" i="8"/>
  <c r="BV250" i="8" s="1"/>
  <c r="BV265" i="8" s="1"/>
  <c r="BV280" i="8" s="1"/>
  <c r="CH619" i="8"/>
  <c r="CH634" i="8" s="1"/>
  <c r="CH649" i="8" s="1"/>
  <c r="CH664" i="8" s="1"/>
  <c r="Z491" i="8"/>
  <c r="Z506" i="8" s="1"/>
  <c r="Z521" i="8" s="1"/>
  <c r="Z536" i="8" s="1"/>
  <c r="DF747" i="8"/>
  <c r="DF762" i="8" s="1"/>
  <c r="DF777" i="8" s="1"/>
  <c r="DF792" i="8" s="1"/>
  <c r="B299" i="8"/>
  <c r="B314" i="8" s="1"/>
  <c r="B329" i="8" s="1"/>
  <c r="B344" i="8" s="1"/>
  <c r="DF555" i="8"/>
  <c r="DF570" i="8" s="1"/>
  <c r="DF585" i="8" s="1"/>
  <c r="DF600" i="8" s="1"/>
  <c r="AL683" i="8"/>
  <c r="AL698" i="8" s="1"/>
  <c r="AL713" i="8" s="1"/>
  <c r="AL728" i="8" s="1"/>
  <c r="AL747" i="8"/>
  <c r="AL762" i="8" s="1"/>
  <c r="AL777" i="8" s="1"/>
  <c r="AL792" i="8" s="1"/>
  <c r="AX299" i="8"/>
  <c r="AX314" i="8" s="1"/>
  <c r="AX329" i="8" s="1"/>
  <c r="AX344" i="8" s="1"/>
  <c r="B363" i="8"/>
  <c r="BJ683" i="8"/>
  <c r="BJ698" i="8" s="1"/>
  <c r="BJ713" i="8" s="1"/>
  <c r="BJ728" i="8" s="1"/>
  <c r="CT747" i="8"/>
  <c r="CT762" i="8" s="1"/>
  <c r="CT777" i="8" s="1"/>
  <c r="CT792" i="8" s="1"/>
  <c r="CT427" i="8"/>
  <c r="CT442" i="8" s="1"/>
  <c r="CT457" i="8" s="1"/>
  <c r="CT472" i="8" s="1"/>
  <c r="CT683" i="8"/>
  <c r="CT698" i="8" s="1"/>
  <c r="CT713" i="8" s="1"/>
  <c r="CT728" i="8" s="1"/>
  <c r="DF683" i="8"/>
  <c r="DF698" i="8" s="1"/>
  <c r="DF713" i="8" s="1"/>
  <c r="DF728" i="8" s="1"/>
  <c r="AL491" i="8"/>
  <c r="AL506" i="8" s="1"/>
  <c r="AL521" i="8" s="1"/>
  <c r="AL536" i="8" s="1"/>
  <c r="AX619" i="8"/>
  <c r="AX634" i="8" s="1"/>
  <c r="AX649" i="8" s="1"/>
  <c r="AX664" i="8" s="1"/>
  <c r="N747" i="8"/>
  <c r="N762" i="8" s="1"/>
  <c r="N777" i="8" s="1"/>
  <c r="N792" i="8" s="1"/>
  <c r="N555" i="8"/>
  <c r="N570" i="8" s="1"/>
  <c r="N585" i="8" s="1"/>
  <c r="N600" i="8" s="1"/>
  <c r="N427" i="8"/>
  <c r="N442" i="8" s="1"/>
  <c r="N457" i="8" s="1"/>
  <c r="N472" i="8" s="1"/>
  <c r="CT619" i="8"/>
  <c r="CT634" i="8" s="1"/>
  <c r="CT649" i="8" s="1"/>
  <c r="CT664" i="8" s="1"/>
  <c r="Z427" i="8"/>
  <c r="Z442" i="8" s="1"/>
  <c r="Z457" i="8" s="1"/>
  <c r="Z472" i="8" s="1"/>
  <c r="AX683" i="8"/>
  <c r="AX698" i="8" s="1"/>
  <c r="AX713" i="8" s="1"/>
  <c r="AX728" i="8" s="1"/>
  <c r="AX747" i="8"/>
  <c r="AX762" i="8" s="1"/>
  <c r="AX777" i="8" s="1"/>
  <c r="AX792" i="8" s="1"/>
  <c r="AX491" i="8"/>
  <c r="AX506" i="8" s="1"/>
  <c r="AX521" i="8" s="1"/>
  <c r="AX536" i="8" s="1"/>
  <c r="CT555" i="8"/>
  <c r="CT570" i="8" s="1"/>
  <c r="CT585" i="8" s="1"/>
  <c r="CT600" i="8" s="1"/>
  <c r="Z747" i="8"/>
  <c r="Z762" i="8" s="1"/>
  <c r="Z777" i="8" s="1"/>
  <c r="Z792" i="8" s="1"/>
  <c r="BV619" i="8"/>
  <c r="BV634" i="8" s="1"/>
  <c r="BV649" i="8" s="1"/>
  <c r="BV664" i="8" s="1"/>
  <c r="N232" i="8"/>
  <c r="N247" i="8" s="1"/>
  <c r="N262" i="8" s="1"/>
  <c r="N277" i="8" s="1"/>
  <c r="CH232" i="8"/>
  <c r="CH247" i="8" s="1"/>
  <c r="CH262" i="8" s="1"/>
  <c r="CH277" i="8" s="1"/>
  <c r="Z232" i="8"/>
  <c r="Z247" i="8" s="1"/>
  <c r="Z262" i="8" s="1"/>
  <c r="Z277" i="8" s="1"/>
  <c r="CT232" i="8"/>
  <c r="CT247" i="8" s="1"/>
  <c r="CT262" i="8" s="1"/>
  <c r="CT277" i="8" s="1"/>
  <c r="BV232" i="8"/>
  <c r="BV247" i="8" s="1"/>
  <c r="BV262" i="8" s="1"/>
  <c r="BV277" i="8" s="1"/>
  <c r="AX232" i="8"/>
  <c r="AX247" i="8" s="1"/>
  <c r="AX262" i="8" s="1"/>
  <c r="AX277" i="8" s="1"/>
  <c r="AL296" i="8"/>
  <c r="AL311" i="8" s="1"/>
  <c r="AL326" i="8" s="1"/>
  <c r="AL341" i="8" s="1"/>
  <c r="BJ360" i="8"/>
  <c r="BJ375" i="8" s="1"/>
  <c r="BJ390" i="8" s="1"/>
  <c r="BJ405" i="8" s="1"/>
  <c r="B424" i="8"/>
  <c r="B439" i="8" s="1"/>
  <c r="B454" i="8" s="1"/>
  <c r="B469" i="8" s="1"/>
  <c r="BV424" i="8"/>
  <c r="BV439" i="8" s="1"/>
  <c r="BV454" i="8" s="1"/>
  <c r="BV469" i="8" s="1"/>
  <c r="DF232" i="8"/>
  <c r="DF247" i="8" s="1"/>
  <c r="DF262" i="8" s="1"/>
  <c r="DF277" i="8" s="1"/>
  <c r="BJ296" i="8"/>
  <c r="BJ311" i="8" s="1"/>
  <c r="BJ326" i="8" s="1"/>
  <c r="BJ341" i="8" s="1"/>
  <c r="Z424" i="8"/>
  <c r="Z439" i="8" s="1"/>
  <c r="Z454" i="8" s="1"/>
  <c r="Z469" i="8" s="1"/>
  <c r="BV296" i="8"/>
  <c r="BV311" i="8" s="1"/>
  <c r="BV326" i="8" s="1"/>
  <c r="BV341" i="8" s="1"/>
  <c r="DF424" i="8"/>
  <c r="DF439" i="8" s="1"/>
  <c r="DF454" i="8" s="1"/>
  <c r="DF469" i="8" s="1"/>
  <c r="BJ488" i="8"/>
  <c r="BJ503" i="8" s="1"/>
  <c r="BJ518" i="8" s="1"/>
  <c r="BJ533" i="8" s="1"/>
  <c r="AL232" i="8"/>
  <c r="AL247" i="8" s="1"/>
  <c r="AL262" i="8" s="1"/>
  <c r="AL277" i="8" s="1"/>
  <c r="AL360" i="8"/>
  <c r="AL375" i="8" s="1"/>
  <c r="AL390" i="8" s="1"/>
  <c r="AL405" i="8" s="1"/>
  <c r="N424" i="8"/>
  <c r="N439" i="8" s="1"/>
  <c r="N454" i="8" s="1"/>
  <c r="N469" i="8" s="1"/>
  <c r="DF552" i="8"/>
  <c r="DF567" i="8" s="1"/>
  <c r="DF582" i="8" s="1"/>
  <c r="DF597" i="8" s="1"/>
  <c r="AX296" i="8"/>
  <c r="AX311" i="8" s="1"/>
  <c r="AX326" i="8" s="1"/>
  <c r="AX341" i="8" s="1"/>
  <c r="Z488" i="8"/>
  <c r="Z503" i="8" s="1"/>
  <c r="Z518" i="8" s="1"/>
  <c r="Z533" i="8" s="1"/>
  <c r="DF488" i="8"/>
  <c r="DF503" i="8" s="1"/>
  <c r="DF518" i="8" s="1"/>
  <c r="DF533" i="8" s="1"/>
  <c r="AL552" i="8"/>
  <c r="AL567" i="8" s="1"/>
  <c r="AL582" i="8" s="1"/>
  <c r="AL597" i="8" s="1"/>
  <c r="BJ616" i="8"/>
  <c r="BJ631" i="8" s="1"/>
  <c r="BJ646" i="8" s="1"/>
  <c r="BJ661" i="8" s="1"/>
  <c r="B680" i="8"/>
  <c r="B695" i="8" s="1"/>
  <c r="B710" i="8" s="1"/>
  <c r="B725" i="8" s="1"/>
  <c r="BV680" i="8"/>
  <c r="BV695" i="8" s="1"/>
  <c r="BV710" i="8" s="1"/>
  <c r="BV725" i="8" s="1"/>
  <c r="AX360" i="8"/>
  <c r="AX375" i="8" s="1"/>
  <c r="AX390" i="8" s="1"/>
  <c r="AX405" i="8" s="1"/>
  <c r="AL424" i="8"/>
  <c r="AL439" i="8" s="1"/>
  <c r="AL454" i="8" s="1"/>
  <c r="AL469" i="8" s="1"/>
  <c r="DF296" i="8"/>
  <c r="DF311" i="8" s="1"/>
  <c r="DF326" i="8" s="1"/>
  <c r="DF341" i="8" s="1"/>
  <c r="N360" i="8"/>
  <c r="N375" i="8" s="1"/>
  <c r="N390" i="8" s="1"/>
  <c r="N405" i="8" s="1"/>
  <c r="CT424" i="8"/>
  <c r="CT439" i="8" s="1"/>
  <c r="CT454" i="8" s="1"/>
  <c r="CT469" i="8" s="1"/>
  <c r="N488" i="8"/>
  <c r="N503" i="8" s="1"/>
  <c r="N518" i="8" s="1"/>
  <c r="N533" i="8" s="1"/>
  <c r="BJ552" i="8"/>
  <c r="BJ567" i="8" s="1"/>
  <c r="BJ582" i="8" s="1"/>
  <c r="BJ597" i="8" s="1"/>
  <c r="B296" i="8"/>
  <c r="B311" i="8" s="1"/>
  <c r="B326" i="8" s="1"/>
  <c r="B341" i="8" s="1"/>
  <c r="Z360" i="8"/>
  <c r="Z375" i="8" s="1"/>
  <c r="Z390" i="8" s="1"/>
  <c r="Z405" i="8" s="1"/>
  <c r="BV360" i="8"/>
  <c r="BV375" i="8" s="1"/>
  <c r="BV390" i="8" s="1"/>
  <c r="BV405" i="8" s="1"/>
  <c r="BJ424" i="8"/>
  <c r="BJ439" i="8" s="1"/>
  <c r="BJ454" i="8" s="1"/>
  <c r="BJ469" i="8" s="1"/>
  <c r="AL488" i="8"/>
  <c r="AL503" i="8" s="1"/>
  <c r="AL518" i="8" s="1"/>
  <c r="AL533" i="8" s="1"/>
  <c r="AX552" i="8"/>
  <c r="AX567" i="8" s="1"/>
  <c r="AX582" i="8" s="1"/>
  <c r="AX597" i="8" s="1"/>
  <c r="B616" i="8"/>
  <c r="B631" i="8" s="1"/>
  <c r="B646" i="8" s="1"/>
  <c r="B661" i="8" s="1"/>
  <c r="CT616" i="8"/>
  <c r="CT631" i="8" s="1"/>
  <c r="CT646" i="8" s="1"/>
  <c r="CT661" i="8" s="1"/>
  <c r="N680" i="8"/>
  <c r="N695" i="8" s="1"/>
  <c r="N710" i="8" s="1"/>
  <c r="N725" i="8" s="1"/>
  <c r="CT680" i="8"/>
  <c r="CT695" i="8" s="1"/>
  <c r="CT710" i="8" s="1"/>
  <c r="CT725" i="8" s="1"/>
  <c r="BJ744" i="8"/>
  <c r="BJ759" i="8" s="1"/>
  <c r="BJ774" i="8" s="1"/>
  <c r="BJ789" i="8" s="1"/>
  <c r="Z296" i="8"/>
  <c r="Z311" i="8" s="1"/>
  <c r="Z326" i="8" s="1"/>
  <c r="Z341" i="8" s="1"/>
  <c r="BV552" i="8"/>
  <c r="BV567" i="8" s="1"/>
  <c r="BV582" i="8" s="1"/>
  <c r="BV597" i="8" s="1"/>
  <c r="N616" i="8"/>
  <c r="N631" i="8" s="1"/>
  <c r="N646" i="8" s="1"/>
  <c r="N661" i="8" s="1"/>
  <c r="B232" i="8"/>
  <c r="CH296" i="8"/>
  <c r="CH311" i="8" s="1"/>
  <c r="CH326" i="8" s="1"/>
  <c r="CH341" i="8" s="1"/>
  <c r="CH424" i="8"/>
  <c r="CH439" i="8" s="1"/>
  <c r="CH454" i="8" s="1"/>
  <c r="CH469" i="8" s="1"/>
  <c r="CH552" i="8"/>
  <c r="CH567" i="8" s="1"/>
  <c r="CH582" i="8" s="1"/>
  <c r="CH597" i="8" s="1"/>
  <c r="Z616" i="8"/>
  <c r="Z631" i="8" s="1"/>
  <c r="Z646" i="8" s="1"/>
  <c r="Z661" i="8" s="1"/>
  <c r="AX424" i="8"/>
  <c r="AX439" i="8" s="1"/>
  <c r="AX454" i="8" s="1"/>
  <c r="AX469" i="8" s="1"/>
  <c r="CH488" i="8"/>
  <c r="CH503" i="8" s="1"/>
  <c r="CH518" i="8" s="1"/>
  <c r="CH533" i="8" s="1"/>
  <c r="DF616" i="8"/>
  <c r="DF631" i="8" s="1"/>
  <c r="DF646" i="8" s="1"/>
  <c r="DF661" i="8" s="1"/>
  <c r="B744" i="8"/>
  <c r="B759" i="8" s="1"/>
  <c r="B774" i="8" s="1"/>
  <c r="B789" i="8" s="1"/>
  <c r="CH744" i="8"/>
  <c r="CH759" i="8" s="1"/>
  <c r="CH774" i="8" s="1"/>
  <c r="CH789" i="8" s="1"/>
  <c r="CT552" i="8"/>
  <c r="CT567" i="8" s="1"/>
  <c r="CT582" i="8" s="1"/>
  <c r="CT597" i="8" s="1"/>
  <c r="Z680" i="8"/>
  <c r="Z695" i="8" s="1"/>
  <c r="Z710" i="8" s="1"/>
  <c r="Z725" i="8" s="1"/>
  <c r="CT744" i="8"/>
  <c r="CT759" i="8" s="1"/>
  <c r="CT774" i="8" s="1"/>
  <c r="CT789" i="8" s="1"/>
  <c r="BJ232" i="8"/>
  <c r="BJ247" i="8" s="1"/>
  <c r="BJ262" i="8" s="1"/>
  <c r="BJ277" i="8" s="1"/>
  <c r="CT488" i="8"/>
  <c r="CT503" i="8" s="1"/>
  <c r="CT518" i="8" s="1"/>
  <c r="CT533" i="8" s="1"/>
  <c r="AL680" i="8"/>
  <c r="AL695" i="8" s="1"/>
  <c r="AL710" i="8" s="1"/>
  <c r="AL725" i="8" s="1"/>
  <c r="N744" i="8"/>
  <c r="N759" i="8" s="1"/>
  <c r="N774" i="8" s="1"/>
  <c r="N789" i="8" s="1"/>
  <c r="N296" i="8"/>
  <c r="N311" i="8" s="1"/>
  <c r="N326" i="8" s="1"/>
  <c r="N341" i="8" s="1"/>
  <c r="B360" i="8"/>
  <c r="CT360" i="8"/>
  <c r="CT375" i="8" s="1"/>
  <c r="CT390" i="8" s="1"/>
  <c r="CT405" i="8" s="1"/>
  <c r="BV744" i="8"/>
  <c r="BV759" i="8" s="1"/>
  <c r="BV774" i="8" s="1"/>
  <c r="BV789" i="8" s="1"/>
  <c r="BV488" i="8"/>
  <c r="BV503" i="8" s="1"/>
  <c r="BV518" i="8" s="1"/>
  <c r="BV533" i="8" s="1"/>
  <c r="AL616" i="8"/>
  <c r="AL631" i="8" s="1"/>
  <c r="AL646" i="8" s="1"/>
  <c r="AL661" i="8" s="1"/>
  <c r="BV616" i="8"/>
  <c r="BV631" i="8" s="1"/>
  <c r="BV646" i="8" s="1"/>
  <c r="BV661" i="8" s="1"/>
  <c r="AX680" i="8"/>
  <c r="AX695" i="8" s="1"/>
  <c r="AX710" i="8" s="1"/>
  <c r="AX725" i="8" s="1"/>
  <c r="Z744" i="8"/>
  <c r="Z759" i="8" s="1"/>
  <c r="Z774" i="8" s="1"/>
  <c r="Z789" i="8" s="1"/>
  <c r="CH616" i="8"/>
  <c r="CH631" i="8" s="1"/>
  <c r="CH646" i="8" s="1"/>
  <c r="CH661" i="8" s="1"/>
  <c r="AL744" i="8"/>
  <c r="AL759" i="8" s="1"/>
  <c r="AL774" i="8" s="1"/>
  <c r="AL789" i="8" s="1"/>
  <c r="N552" i="8"/>
  <c r="N567" i="8" s="1"/>
  <c r="N582" i="8" s="1"/>
  <c r="N597" i="8" s="1"/>
  <c r="CH680" i="8"/>
  <c r="CH695" i="8" s="1"/>
  <c r="CH710" i="8" s="1"/>
  <c r="CH725" i="8" s="1"/>
  <c r="AX744" i="8"/>
  <c r="AX759" i="8" s="1"/>
  <c r="AX774" i="8" s="1"/>
  <c r="AX789" i="8" s="1"/>
  <c r="B488" i="8"/>
  <c r="B503" i="8" s="1"/>
  <c r="B518" i="8" s="1"/>
  <c r="B533" i="8" s="1"/>
  <c r="Z552" i="8"/>
  <c r="Z567" i="8" s="1"/>
  <c r="Z582" i="8" s="1"/>
  <c r="Z597" i="8" s="1"/>
  <c r="DF680" i="8"/>
  <c r="DF695" i="8" s="1"/>
  <c r="DF710" i="8" s="1"/>
  <c r="DF725" i="8" s="1"/>
  <c r="DF360" i="8"/>
  <c r="DF375" i="8" s="1"/>
  <c r="DF390" i="8" s="1"/>
  <c r="DF405" i="8" s="1"/>
  <c r="AX488" i="8"/>
  <c r="AX503" i="8" s="1"/>
  <c r="AX518" i="8" s="1"/>
  <c r="AX533" i="8" s="1"/>
  <c r="DF744" i="8"/>
  <c r="DF759" i="8" s="1"/>
  <c r="DF774" i="8" s="1"/>
  <c r="DF789" i="8" s="1"/>
  <c r="B552" i="8"/>
  <c r="B567" i="8" s="1"/>
  <c r="B582" i="8" s="1"/>
  <c r="B597" i="8" s="1"/>
  <c r="BJ680" i="8"/>
  <c r="BJ695" i="8" s="1"/>
  <c r="BJ710" i="8" s="1"/>
  <c r="BJ725" i="8" s="1"/>
  <c r="CT296" i="8"/>
  <c r="CT311" i="8" s="1"/>
  <c r="CT326" i="8" s="1"/>
  <c r="CT341" i="8" s="1"/>
  <c r="CH360" i="8"/>
  <c r="CH375" i="8" s="1"/>
  <c r="CH390" i="8" s="1"/>
  <c r="CH405" i="8" s="1"/>
  <c r="AX616" i="8"/>
  <c r="AX631" i="8" s="1"/>
  <c r="AX646" i="8" s="1"/>
  <c r="AX661" i="8" s="1"/>
  <c r="BJ231" i="8"/>
  <c r="BJ246" i="8" s="1"/>
  <c r="BJ261" i="8" s="1"/>
  <c r="BJ276" i="8" s="1"/>
  <c r="B231" i="8"/>
  <c r="BV231" i="8"/>
  <c r="BV246" i="8" s="1"/>
  <c r="BV261" i="8" s="1"/>
  <c r="BV276" i="8" s="1"/>
  <c r="N231" i="8"/>
  <c r="N246" i="8" s="1"/>
  <c r="N261" i="8" s="1"/>
  <c r="N276" i="8" s="1"/>
  <c r="DF231" i="8"/>
  <c r="DF246" i="8" s="1"/>
  <c r="DF261" i="8" s="1"/>
  <c r="DF276" i="8" s="1"/>
  <c r="AX231" i="8"/>
  <c r="AX246" i="8" s="1"/>
  <c r="AX261" i="8" s="1"/>
  <c r="AX276" i="8" s="1"/>
  <c r="BV295" i="8"/>
  <c r="BV310" i="8" s="1"/>
  <c r="BV325" i="8" s="1"/>
  <c r="BV340" i="8" s="1"/>
  <c r="AL359" i="8"/>
  <c r="AL374" i="8" s="1"/>
  <c r="AL389" i="8" s="1"/>
  <c r="AL404" i="8" s="1"/>
  <c r="DF359" i="8"/>
  <c r="DF374" i="8" s="1"/>
  <c r="DF389" i="8" s="1"/>
  <c r="DF404" i="8" s="1"/>
  <c r="AX423" i="8"/>
  <c r="AX438" i="8" s="1"/>
  <c r="AX453" i="8" s="1"/>
  <c r="AX468" i="8" s="1"/>
  <c r="N295" i="8"/>
  <c r="N310" i="8" s="1"/>
  <c r="N325" i="8" s="1"/>
  <c r="N340" i="8" s="1"/>
  <c r="CT295" i="8"/>
  <c r="CT310" i="8" s="1"/>
  <c r="CT325" i="8" s="1"/>
  <c r="CT340" i="8" s="1"/>
  <c r="CT231" i="8"/>
  <c r="CT246" i="8" s="1"/>
  <c r="CT261" i="8" s="1"/>
  <c r="CT276" i="8" s="1"/>
  <c r="CT359" i="8"/>
  <c r="CT374" i="8" s="1"/>
  <c r="CT389" i="8" s="1"/>
  <c r="CT404" i="8" s="1"/>
  <c r="Z295" i="8"/>
  <c r="Z310" i="8" s="1"/>
  <c r="Z325" i="8" s="1"/>
  <c r="Z340" i="8" s="1"/>
  <c r="DF295" i="8"/>
  <c r="DF310" i="8" s="1"/>
  <c r="DF325" i="8" s="1"/>
  <c r="DF340" i="8" s="1"/>
  <c r="Z359" i="8"/>
  <c r="Z374" i="8" s="1"/>
  <c r="Z389" i="8" s="1"/>
  <c r="Z404" i="8" s="1"/>
  <c r="BV423" i="8"/>
  <c r="BV438" i="8" s="1"/>
  <c r="BV453" i="8" s="1"/>
  <c r="BV468" i="8" s="1"/>
  <c r="AL487" i="8"/>
  <c r="AL502" i="8" s="1"/>
  <c r="AL517" i="8" s="1"/>
  <c r="AL532" i="8" s="1"/>
  <c r="DF487" i="8"/>
  <c r="DF502" i="8" s="1"/>
  <c r="DF517" i="8" s="1"/>
  <c r="DF532" i="8" s="1"/>
  <c r="AX295" i="8"/>
  <c r="AX310" i="8" s="1"/>
  <c r="AX325" i="8" s="1"/>
  <c r="AX340" i="8" s="1"/>
  <c r="AL423" i="8"/>
  <c r="AL438" i="8" s="1"/>
  <c r="AL453" i="8" s="1"/>
  <c r="AL468" i="8" s="1"/>
  <c r="BV551" i="8"/>
  <c r="BV359" i="8"/>
  <c r="BV374" i="8" s="1"/>
  <c r="BV389" i="8" s="1"/>
  <c r="BV404" i="8" s="1"/>
  <c r="BJ487" i="8"/>
  <c r="BJ502" i="8" s="1"/>
  <c r="BJ517" i="8" s="1"/>
  <c r="BJ532" i="8" s="1"/>
  <c r="B551" i="8"/>
  <c r="AL615" i="8"/>
  <c r="DF615" i="8"/>
  <c r="AX679" i="8"/>
  <c r="Z231" i="8"/>
  <c r="Z246" i="8" s="1"/>
  <c r="Z261" i="8" s="1"/>
  <c r="Z276" i="8" s="1"/>
  <c r="BJ295" i="8"/>
  <c r="BJ310" i="8" s="1"/>
  <c r="BJ325" i="8" s="1"/>
  <c r="BJ340" i="8" s="1"/>
  <c r="CH551" i="8"/>
  <c r="CH295" i="8"/>
  <c r="CH310" i="8" s="1"/>
  <c r="CH325" i="8" s="1"/>
  <c r="CH340" i="8" s="1"/>
  <c r="B359" i="8"/>
  <c r="CT423" i="8"/>
  <c r="CT438" i="8" s="1"/>
  <c r="CT453" i="8" s="1"/>
  <c r="CT468" i="8" s="1"/>
  <c r="N487" i="8"/>
  <c r="N502" i="8" s="1"/>
  <c r="N517" i="8" s="1"/>
  <c r="N532" i="8" s="1"/>
  <c r="BJ551" i="8"/>
  <c r="B487" i="8"/>
  <c r="B502" i="8" s="1"/>
  <c r="B517" i="8" s="1"/>
  <c r="B532" i="8" s="1"/>
  <c r="AL551" i="8"/>
  <c r="AL679" i="8"/>
  <c r="AL743" i="8"/>
  <c r="AL758" i="8" s="1"/>
  <c r="AL773" i="8" s="1"/>
  <c r="AL788" i="8" s="1"/>
  <c r="DF743" i="8"/>
  <c r="DF758" i="8" s="1"/>
  <c r="DF773" i="8" s="1"/>
  <c r="DF788" i="8" s="1"/>
  <c r="N359" i="8"/>
  <c r="N374" i="8" s="1"/>
  <c r="N389" i="8" s="1"/>
  <c r="N404" i="8" s="1"/>
  <c r="Z423" i="8"/>
  <c r="Z438" i="8" s="1"/>
  <c r="Z453" i="8" s="1"/>
  <c r="Z468" i="8" s="1"/>
  <c r="AX551" i="8"/>
  <c r="Z615" i="8"/>
  <c r="AX359" i="8"/>
  <c r="AX374" i="8" s="1"/>
  <c r="AX389" i="8" s="1"/>
  <c r="AX404" i="8" s="1"/>
  <c r="BJ423" i="8"/>
  <c r="BJ438" i="8" s="1"/>
  <c r="BJ453" i="8" s="1"/>
  <c r="BJ468" i="8" s="1"/>
  <c r="AL231" i="8"/>
  <c r="AL246" i="8" s="1"/>
  <c r="AL261" i="8" s="1"/>
  <c r="AL276" i="8" s="1"/>
  <c r="CH359" i="8"/>
  <c r="CH374" i="8" s="1"/>
  <c r="CH389" i="8" s="1"/>
  <c r="CH404" i="8" s="1"/>
  <c r="Z487" i="8"/>
  <c r="Z502" i="8" s="1"/>
  <c r="Z517" i="8" s="1"/>
  <c r="Z532" i="8" s="1"/>
  <c r="Z551" i="8"/>
  <c r="N679" i="8"/>
  <c r="Z743" i="8"/>
  <c r="Z758" i="8" s="1"/>
  <c r="Z773" i="8" s="1"/>
  <c r="Z788" i="8" s="1"/>
  <c r="AX487" i="8"/>
  <c r="AX502" i="8" s="1"/>
  <c r="AX517" i="8" s="1"/>
  <c r="AX532" i="8" s="1"/>
  <c r="CT615" i="8"/>
  <c r="Z679" i="8"/>
  <c r="AX743" i="8"/>
  <c r="AX758" i="8" s="1"/>
  <c r="AX773" i="8" s="1"/>
  <c r="AX788" i="8" s="1"/>
  <c r="B423" i="8"/>
  <c r="B438" i="8" s="1"/>
  <c r="B453" i="8" s="1"/>
  <c r="B468" i="8" s="1"/>
  <c r="CT551" i="8"/>
  <c r="B615" i="8"/>
  <c r="N423" i="8"/>
  <c r="N438" i="8" s="1"/>
  <c r="N453" i="8" s="1"/>
  <c r="N468" i="8" s="1"/>
  <c r="CH487" i="8"/>
  <c r="CH502" i="8" s="1"/>
  <c r="CH517" i="8" s="1"/>
  <c r="CH532" i="8" s="1"/>
  <c r="CH231" i="8"/>
  <c r="CH246" i="8" s="1"/>
  <c r="CH261" i="8" s="1"/>
  <c r="CH276" i="8" s="1"/>
  <c r="BV487" i="8"/>
  <c r="BV502" i="8" s="1"/>
  <c r="BV517" i="8" s="1"/>
  <c r="BV532" i="8" s="1"/>
  <c r="B295" i="8"/>
  <c r="B310" i="8" s="1"/>
  <c r="B325" i="8" s="1"/>
  <c r="B340" i="8" s="1"/>
  <c r="N551" i="8"/>
  <c r="DF679" i="8"/>
  <c r="BV615" i="8"/>
  <c r="BJ679" i="8"/>
  <c r="CH423" i="8"/>
  <c r="CH438" i="8" s="1"/>
  <c r="CH453" i="8" s="1"/>
  <c r="CH468" i="8" s="1"/>
  <c r="N615" i="8"/>
  <c r="B743" i="8"/>
  <c r="B758" i="8" s="1"/>
  <c r="B773" i="8" s="1"/>
  <c r="B788" i="8" s="1"/>
  <c r="BJ359" i="8"/>
  <c r="BJ374" i="8" s="1"/>
  <c r="BJ389" i="8" s="1"/>
  <c r="BJ404" i="8" s="1"/>
  <c r="DF423" i="8"/>
  <c r="DF438" i="8" s="1"/>
  <c r="DF453" i="8" s="1"/>
  <c r="DF468" i="8" s="1"/>
  <c r="CT487" i="8"/>
  <c r="CT502" i="8" s="1"/>
  <c r="CT517" i="8" s="1"/>
  <c r="CT532" i="8" s="1"/>
  <c r="BV679" i="8"/>
  <c r="BV743" i="8"/>
  <c r="BV758" i="8" s="1"/>
  <c r="BV773" i="8" s="1"/>
  <c r="BV788" i="8" s="1"/>
  <c r="CH743" i="8"/>
  <c r="CH758" i="8" s="1"/>
  <c r="CH773" i="8" s="1"/>
  <c r="CH788" i="8" s="1"/>
  <c r="AL295" i="8"/>
  <c r="AL310" i="8" s="1"/>
  <c r="AL325" i="8" s="1"/>
  <c r="AL340" i="8" s="1"/>
  <c r="DF551" i="8"/>
  <c r="AX615" i="8"/>
  <c r="BJ615" i="8"/>
  <c r="B679" i="8"/>
  <c r="N743" i="8"/>
  <c r="N758" i="8" s="1"/>
  <c r="N773" i="8" s="1"/>
  <c r="N788" i="8" s="1"/>
  <c r="BJ743" i="8"/>
  <c r="BJ758" i="8" s="1"/>
  <c r="BJ773" i="8" s="1"/>
  <c r="BJ788" i="8" s="1"/>
  <c r="CH615" i="8"/>
  <c r="CH679" i="8"/>
  <c r="CT679" i="8"/>
  <c r="CT743" i="8"/>
  <c r="CT758" i="8" s="1"/>
  <c r="CT773" i="8" s="1"/>
  <c r="CT788" i="8" s="1"/>
  <c r="N238" i="8"/>
  <c r="N253" i="8" s="1"/>
  <c r="N268" i="8" s="1"/>
  <c r="N283" i="8" s="1"/>
  <c r="CH238" i="8"/>
  <c r="CH253" i="8" s="1"/>
  <c r="CH268" i="8" s="1"/>
  <c r="CH283" i="8" s="1"/>
  <c r="Z238" i="8"/>
  <c r="Z253" i="8" s="1"/>
  <c r="Z268" i="8" s="1"/>
  <c r="Z283" i="8" s="1"/>
  <c r="CT238" i="8"/>
  <c r="CT253" i="8" s="1"/>
  <c r="CT268" i="8" s="1"/>
  <c r="CT283" i="8" s="1"/>
  <c r="AL238" i="8"/>
  <c r="AL253" i="8" s="1"/>
  <c r="AL268" i="8" s="1"/>
  <c r="AL283" i="8" s="1"/>
  <c r="BJ366" i="8"/>
  <c r="BJ381" i="8" s="1"/>
  <c r="BJ396" i="8" s="1"/>
  <c r="BJ411" i="8" s="1"/>
  <c r="B430" i="8"/>
  <c r="B445" i="8" s="1"/>
  <c r="B460" i="8" s="1"/>
  <c r="B475" i="8" s="1"/>
  <c r="BV430" i="8"/>
  <c r="BV445" i="8" s="1"/>
  <c r="BV460" i="8" s="1"/>
  <c r="BV475" i="8" s="1"/>
  <c r="B238" i="8"/>
  <c r="BV302" i="8"/>
  <c r="BV317" i="8" s="1"/>
  <c r="BV332" i="8" s="1"/>
  <c r="BV347" i="8" s="1"/>
  <c r="N430" i="8"/>
  <c r="N445" i="8" s="1"/>
  <c r="N460" i="8" s="1"/>
  <c r="N475" i="8" s="1"/>
  <c r="B302" i="8"/>
  <c r="B317" i="8" s="1"/>
  <c r="B332" i="8" s="1"/>
  <c r="B347" i="8" s="1"/>
  <c r="AX366" i="8"/>
  <c r="AX381" i="8" s="1"/>
  <c r="AX396" i="8" s="1"/>
  <c r="AX411" i="8" s="1"/>
  <c r="CT430" i="8"/>
  <c r="CT445" i="8" s="1"/>
  <c r="CT460" i="8" s="1"/>
  <c r="CT475" i="8" s="1"/>
  <c r="CH302" i="8"/>
  <c r="CH317" i="8" s="1"/>
  <c r="CH332" i="8" s="1"/>
  <c r="CH347" i="8" s="1"/>
  <c r="AX430" i="8"/>
  <c r="AX445" i="8" s="1"/>
  <c r="AX460" i="8" s="1"/>
  <c r="AX475" i="8" s="1"/>
  <c r="AX494" i="8"/>
  <c r="AX509" i="8" s="1"/>
  <c r="AX524" i="8" s="1"/>
  <c r="AX539" i="8" s="1"/>
  <c r="CH366" i="8"/>
  <c r="CH381" i="8" s="1"/>
  <c r="CH396" i="8" s="1"/>
  <c r="CH411" i="8" s="1"/>
  <c r="BJ494" i="8"/>
  <c r="BJ509" i="8" s="1"/>
  <c r="BJ524" i="8" s="1"/>
  <c r="BJ539" i="8" s="1"/>
  <c r="Z558" i="8"/>
  <c r="Z573" i="8" s="1"/>
  <c r="Z588" i="8" s="1"/>
  <c r="Z603" i="8" s="1"/>
  <c r="BJ622" i="8"/>
  <c r="BJ637" i="8" s="1"/>
  <c r="BJ652" i="8" s="1"/>
  <c r="BJ667" i="8" s="1"/>
  <c r="B686" i="8"/>
  <c r="B701" i="8" s="1"/>
  <c r="B716" i="8" s="1"/>
  <c r="B731" i="8" s="1"/>
  <c r="BV686" i="8"/>
  <c r="BV701" i="8" s="1"/>
  <c r="BV716" i="8" s="1"/>
  <c r="BV731" i="8" s="1"/>
  <c r="CT302" i="8"/>
  <c r="CT317" i="8" s="1"/>
  <c r="CT332" i="8" s="1"/>
  <c r="CT347" i="8" s="1"/>
  <c r="B366" i="8"/>
  <c r="BJ430" i="8"/>
  <c r="BJ445" i="8" s="1"/>
  <c r="BJ460" i="8" s="1"/>
  <c r="BJ475" i="8" s="1"/>
  <c r="DF558" i="8"/>
  <c r="DF573" i="8" s="1"/>
  <c r="DF588" i="8" s="1"/>
  <c r="DF603" i="8" s="1"/>
  <c r="DF302" i="8"/>
  <c r="DF317" i="8" s="1"/>
  <c r="DF332" i="8" s="1"/>
  <c r="DF347" i="8" s="1"/>
  <c r="AL366" i="8"/>
  <c r="AL381" i="8" s="1"/>
  <c r="AL396" i="8" s="1"/>
  <c r="AL411" i="8" s="1"/>
  <c r="Z430" i="8"/>
  <c r="Z445" i="8" s="1"/>
  <c r="Z460" i="8" s="1"/>
  <c r="Z475" i="8" s="1"/>
  <c r="CH494" i="8"/>
  <c r="CH509" i="8" s="1"/>
  <c r="CH524" i="8" s="1"/>
  <c r="CH539" i="8" s="1"/>
  <c r="N302" i="8"/>
  <c r="N317" i="8" s="1"/>
  <c r="N332" i="8" s="1"/>
  <c r="N347" i="8" s="1"/>
  <c r="AL430" i="8"/>
  <c r="AL445" i="8" s="1"/>
  <c r="AL460" i="8" s="1"/>
  <c r="AL475" i="8" s="1"/>
  <c r="AX302" i="8"/>
  <c r="AX317" i="8" s="1"/>
  <c r="AX332" i="8" s="1"/>
  <c r="AX347" i="8" s="1"/>
  <c r="BJ686" i="8"/>
  <c r="BJ701" i="8" s="1"/>
  <c r="BJ716" i="8" s="1"/>
  <c r="BJ731" i="8" s="1"/>
  <c r="BJ750" i="8"/>
  <c r="BJ765" i="8" s="1"/>
  <c r="BJ780" i="8" s="1"/>
  <c r="BJ795" i="8" s="1"/>
  <c r="DF238" i="8"/>
  <c r="DF253" i="8" s="1"/>
  <c r="DF268" i="8" s="1"/>
  <c r="DF283" i="8" s="1"/>
  <c r="BJ302" i="8"/>
  <c r="BJ317" i="8" s="1"/>
  <c r="BJ332" i="8" s="1"/>
  <c r="BJ347" i="8" s="1"/>
  <c r="N366" i="8"/>
  <c r="N381" i="8" s="1"/>
  <c r="N396" i="8" s="1"/>
  <c r="N411" i="8" s="1"/>
  <c r="B494" i="8"/>
  <c r="B509" i="8" s="1"/>
  <c r="B524" i="8" s="1"/>
  <c r="B539" i="8" s="1"/>
  <c r="DF494" i="8"/>
  <c r="DF509" i="8" s="1"/>
  <c r="DF524" i="8" s="1"/>
  <c r="DF539" i="8" s="1"/>
  <c r="N558" i="8"/>
  <c r="N573" i="8" s="1"/>
  <c r="N588" i="8" s="1"/>
  <c r="N603" i="8" s="1"/>
  <c r="AL622" i="8"/>
  <c r="AL637" i="8" s="1"/>
  <c r="AL652" i="8" s="1"/>
  <c r="AL667" i="8" s="1"/>
  <c r="Z366" i="8"/>
  <c r="Z381" i="8" s="1"/>
  <c r="Z396" i="8" s="1"/>
  <c r="Z411" i="8" s="1"/>
  <c r="N494" i="8"/>
  <c r="N509" i="8" s="1"/>
  <c r="N524" i="8" s="1"/>
  <c r="N539" i="8" s="1"/>
  <c r="AL558" i="8"/>
  <c r="AL573" i="8" s="1"/>
  <c r="AL588" i="8" s="1"/>
  <c r="AL603" i="8" s="1"/>
  <c r="AX622" i="8"/>
  <c r="AX637" i="8" s="1"/>
  <c r="AX652" i="8" s="1"/>
  <c r="AX667" i="8" s="1"/>
  <c r="AX238" i="8"/>
  <c r="AX253" i="8" s="1"/>
  <c r="AX268" i="8" s="1"/>
  <c r="AX283" i="8" s="1"/>
  <c r="Z302" i="8"/>
  <c r="Z317" i="8" s="1"/>
  <c r="Z332" i="8" s="1"/>
  <c r="Z347" i="8" s="1"/>
  <c r="BV494" i="8"/>
  <c r="BV509" i="8" s="1"/>
  <c r="BV524" i="8" s="1"/>
  <c r="BV539" i="8" s="1"/>
  <c r="N622" i="8"/>
  <c r="N637" i="8" s="1"/>
  <c r="N652" i="8" s="1"/>
  <c r="N667" i="8" s="1"/>
  <c r="AX750" i="8"/>
  <c r="AX765" i="8" s="1"/>
  <c r="AX780" i="8" s="1"/>
  <c r="AX795" i="8" s="1"/>
  <c r="BJ238" i="8"/>
  <c r="BJ253" i="8" s="1"/>
  <c r="BJ268" i="8" s="1"/>
  <c r="BJ283" i="8" s="1"/>
  <c r="CT558" i="8"/>
  <c r="CT573" i="8" s="1"/>
  <c r="CT588" i="8" s="1"/>
  <c r="CT603" i="8" s="1"/>
  <c r="DF686" i="8"/>
  <c r="DF701" i="8" s="1"/>
  <c r="DF716" i="8" s="1"/>
  <c r="DF731" i="8" s="1"/>
  <c r="Z622" i="8"/>
  <c r="Z637" i="8" s="1"/>
  <c r="Z652" i="8" s="1"/>
  <c r="Z667" i="8" s="1"/>
  <c r="N686" i="8"/>
  <c r="N701" i="8" s="1"/>
  <c r="N716" i="8" s="1"/>
  <c r="N731" i="8" s="1"/>
  <c r="BV238" i="8"/>
  <c r="BV253" i="8" s="1"/>
  <c r="BV268" i="8" s="1"/>
  <c r="BV283" i="8" s="1"/>
  <c r="AL302" i="8"/>
  <c r="AL317" i="8" s="1"/>
  <c r="AL332" i="8" s="1"/>
  <c r="AL347" i="8" s="1"/>
  <c r="CT494" i="8"/>
  <c r="CT509" i="8" s="1"/>
  <c r="CT524" i="8" s="1"/>
  <c r="CT539" i="8" s="1"/>
  <c r="BV750" i="8"/>
  <c r="BV765" i="8" s="1"/>
  <c r="BV780" i="8" s="1"/>
  <c r="BV795" i="8" s="1"/>
  <c r="CH430" i="8"/>
  <c r="CH445" i="8" s="1"/>
  <c r="CH460" i="8" s="1"/>
  <c r="CH475" i="8" s="1"/>
  <c r="B558" i="8"/>
  <c r="B573" i="8" s="1"/>
  <c r="B588" i="8" s="1"/>
  <c r="B603" i="8" s="1"/>
  <c r="CT622" i="8"/>
  <c r="CT637" i="8" s="1"/>
  <c r="CT652" i="8" s="1"/>
  <c r="CT667" i="8" s="1"/>
  <c r="CT750" i="8"/>
  <c r="CT765" i="8" s="1"/>
  <c r="CT780" i="8" s="1"/>
  <c r="CT795" i="8" s="1"/>
  <c r="BJ558" i="8"/>
  <c r="BJ573" i="8" s="1"/>
  <c r="BJ588" i="8" s="1"/>
  <c r="BJ603" i="8" s="1"/>
  <c r="CT366" i="8"/>
  <c r="CT381" i="8" s="1"/>
  <c r="CT396" i="8" s="1"/>
  <c r="CT411" i="8" s="1"/>
  <c r="DF366" i="8"/>
  <c r="DF381" i="8" s="1"/>
  <c r="DF396" i="8" s="1"/>
  <c r="DF411" i="8" s="1"/>
  <c r="CH558" i="8"/>
  <c r="CH573" i="8" s="1"/>
  <c r="CH588" i="8" s="1"/>
  <c r="CH603" i="8" s="1"/>
  <c r="BV622" i="8"/>
  <c r="BV637" i="8" s="1"/>
  <c r="BV652" i="8" s="1"/>
  <c r="BV667" i="8" s="1"/>
  <c r="AL494" i="8"/>
  <c r="AL509" i="8" s="1"/>
  <c r="AL524" i="8" s="1"/>
  <c r="AL539" i="8" s="1"/>
  <c r="Z686" i="8"/>
  <c r="Z701" i="8" s="1"/>
  <c r="Z716" i="8" s="1"/>
  <c r="Z731" i="8" s="1"/>
  <c r="CH750" i="8"/>
  <c r="CH765" i="8" s="1"/>
  <c r="CH780" i="8" s="1"/>
  <c r="CH795" i="8" s="1"/>
  <c r="AX558" i="8"/>
  <c r="AX573" i="8" s="1"/>
  <c r="AX588" i="8" s="1"/>
  <c r="AX603" i="8" s="1"/>
  <c r="BV366" i="8"/>
  <c r="BV381" i="8" s="1"/>
  <c r="BV396" i="8" s="1"/>
  <c r="BV411" i="8" s="1"/>
  <c r="DF430" i="8"/>
  <c r="DF445" i="8" s="1"/>
  <c r="DF460" i="8" s="1"/>
  <c r="DF475" i="8" s="1"/>
  <c r="BV558" i="8"/>
  <c r="BV573" i="8" s="1"/>
  <c r="BV588" i="8" s="1"/>
  <c r="BV603" i="8" s="1"/>
  <c r="AX686" i="8"/>
  <c r="AX701" i="8" s="1"/>
  <c r="AX716" i="8" s="1"/>
  <c r="AX731" i="8" s="1"/>
  <c r="B750" i="8"/>
  <c r="B765" i="8" s="1"/>
  <c r="B780" i="8" s="1"/>
  <c r="B795" i="8" s="1"/>
  <c r="B622" i="8"/>
  <c r="B637" i="8" s="1"/>
  <c r="B652" i="8" s="1"/>
  <c r="B667" i="8" s="1"/>
  <c r="CH686" i="8"/>
  <c r="CH701" i="8" s="1"/>
  <c r="CH716" i="8" s="1"/>
  <c r="CH731" i="8" s="1"/>
  <c r="N750" i="8"/>
  <c r="N765" i="8" s="1"/>
  <c r="N780" i="8" s="1"/>
  <c r="N795" i="8" s="1"/>
  <c r="Z750" i="8"/>
  <c r="Z765" i="8" s="1"/>
  <c r="Z780" i="8" s="1"/>
  <c r="Z795" i="8" s="1"/>
  <c r="CH622" i="8"/>
  <c r="CH637" i="8" s="1"/>
  <c r="CH652" i="8" s="1"/>
  <c r="CH667" i="8" s="1"/>
  <c r="DF622" i="8"/>
  <c r="DF637" i="8" s="1"/>
  <c r="DF652" i="8" s="1"/>
  <c r="DF667" i="8" s="1"/>
  <c r="AL686" i="8"/>
  <c r="AL701" i="8" s="1"/>
  <c r="AL716" i="8" s="1"/>
  <c r="AL731" i="8" s="1"/>
  <c r="DF750" i="8"/>
  <c r="DF765" i="8" s="1"/>
  <c r="DF780" i="8" s="1"/>
  <c r="DF795" i="8" s="1"/>
  <c r="CT686" i="8"/>
  <c r="CT701" i="8" s="1"/>
  <c r="CT716" i="8" s="1"/>
  <c r="CT731" i="8" s="1"/>
  <c r="Z494" i="8"/>
  <c r="Z509" i="8" s="1"/>
  <c r="Z524" i="8" s="1"/>
  <c r="Z539" i="8" s="1"/>
  <c r="AL750" i="8"/>
  <c r="AL765" i="8" s="1"/>
  <c r="AL780" i="8" s="1"/>
  <c r="AL795" i="8" s="1"/>
  <c r="B876" i="8"/>
  <c r="B885" i="8" s="1"/>
  <c r="B894" i="8" s="1"/>
  <c r="B903" i="8" s="1"/>
  <c r="B912" i="8" s="1"/>
  <c r="B921" i="8" s="1"/>
  <c r="B930" i="8" s="1"/>
  <c r="B939" i="8" s="1"/>
  <c r="B948" i="8" s="1"/>
  <c r="B1667" i="8" s="1"/>
  <c r="B1676" i="8" s="1"/>
  <c r="B1685" i="8" s="1"/>
  <c r="B1694" i="8" s="1"/>
  <c r="B1703" i="8" s="1"/>
  <c r="B1712" i="8" s="1"/>
  <c r="B1721" i="8" s="1"/>
  <c r="B1730" i="8" s="1"/>
  <c r="B1739" i="8" s="1"/>
  <c r="B877" i="8"/>
  <c r="B886" i="8" s="1"/>
  <c r="B895" i="8" s="1"/>
  <c r="B904" i="8" s="1"/>
  <c r="B913" i="8" s="1"/>
  <c r="B922" i="8" s="1"/>
  <c r="B931" i="8" s="1"/>
  <c r="B940" i="8" s="1"/>
  <c r="B949" i="8" s="1"/>
  <c r="B1668" i="8" s="1"/>
  <c r="B1677" i="8" s="1"/>
  <c r="B1686" i="8" s="1"/>
  <c r="B1695" i="8" s="1"/>
  <c r="B1704" i="8" s="1"/>
  <c r="B1713" i="8" s="1"/>
  <c r="B1722" i="8" s="1"/>
  <c r="B1731" i="8" s="1"/>
  <c r="B1740" i="8" s="1"/>
  <c r="B878" i="8"/>
  <c r="B887" i="8" s="1"/>
  <c r="B896" i="8" s="1"/>
  <c r="B905" i="8" s="1"/>
  <c r="B914" i="8" s="1"/>
  <c r="B923" i="8" s="1"/>
  <c r="B932" i="8" s="1"/>
  <c r="B941" i="8" s="1"/>
  <c r="B950" i="8" s="1"/>
  <c r="B1669" i="8" s="1"/>
  <c r="B1678" i="8" s="1"/>
  <c r="B1687" i="8" s="1"/>
  <c r="B1696" i="8" s="1"/>
  <c r="B1705" i="8" s="1"/>
  <c r="B1714" i="8" s="1"/>
  <c r="B1723" i="8" s="1"/>
  <c r="B1732" i="8" s="1"/>
  <c r="B1741" i="8" s="1"/>
  <c r="B879" i="8"/>
  <c r="B888" i="8" s="1"/>
  <c r="B897" i="8" s="1"/>
  <c r="B906" i="8" s="1"/>
  <c r="B915" i="8" s="1"/>
  <c r="B924" i="8" s="1"/>
  <c r="B933" i="8" s="1"/>
  <c r="B942" i="8" s="1"/>
  <c r="B951" i="8" s="1"/>
  <c r="B1670" i="8" s="1"/>
  <c r="B1679" i="8" s="1"/>
  <c r="B1688" i="8" s="1"/>
  <c r="B1697" i="8" s="1"/>
  <c r="B1706" i="8" s="1"/>
  <c r="B1715" i="8" s="1"/>
  <c r="B1724" i="8" s="1"/>
  <c r="B1733" i="8" s="1"/>
  <c r="B1742" i="8" s="1"/>
  <c r="AL236" i="8"/>
  <c r="AL251" i="8" s="1"/>
  <c r="AL266" i="8" s="1"/>
  <c r="AL281" i="8" s="1"/>
  <c r="DF236" i="8"/>
  <c r="DF251" i="8" s="1"/>
  <c r="DF266" i="8" s="1"/>
  <c r="DF281" i="8" s="1"/>
  <c r="AX236" i="8"/>
  <c r="AX251" i="8" s="1"/>
  <c r="AX266" i="8" s="1"/>
  <c r="AX281" i="8" s="1"/>
  <c r="CH236" i="8"/>
  <c r="CH251" i="8" s="1"/>
  <c r="CH266" i="8" s="1"/>
  <c r="CH281" i="8" s="1"/>
  <c r="Z236" i="8"/>
  <c r="Z251" i="8" s="1"/>
  <c r="Z266" i="8" s="1"/>
  <c r="Z281" i="8" s="1"/>
  <c r="N364" i="8"/>
  <c r="N379" i="8" s="1"/>
  <c r="N394" i="8" s="1"/>
  <c r="N409" i="8" s="1"/>
  <c r="CH364" i="8"/>
  <c r="CH379" i="8" s="1"/>
  <c r="CH394" i="8" s="1"/>
  <c r="CH409" i="8" s="1"/>
  <c r="Z428" i="8"/>
  <c r="Z443" i="8" s="1"/>
  <c r="Z458" i="8" s="1"/>
  <c r="Z473" i="8" s="1"/>
  <c r="CT428" i="8"/>
  <c r="CT443" i="8" s="1"/>
  <c r="CT458" i="8" s="1"/>
  <c r="CT473" i="8" s="1"/>
  <c r="B236" i="8"/>
  <c r="BV300" i="8"/>
  <c r="BV315" i="8" s="1"/>
  <c r="BV330" i="8" s="1"/>
  <c r="BV345" i="8" s="1"/>
  <c r="AX364" i="8"/>
  <c r="AX379" i="8" s="1"/>
  <c r="AX394" i="8" s="1"/>
  <c r="AX409" i="8" s="1"/>
  <c r="N428" i="8"/>
  <c r="N443" i="8" s="1"/>
  <c r="N458" i="8" s="1"/>
  <c r="N473" i="8" s="1"/>
  <c r="N236" i="8"/>
  <c r="N251" i="8" s="1"/>
  <c r="N266" i="8" s="1"/>
  <c r="N281" i="8" s="1"/>
  <c r="B300" i="8"/>
  <c r="B315" i="8" s="1"/>
  <c r="B330" i="8" s="1"/>
  <c r="B345" i="8" s="1"/>
  <c r="CH300" i="8"/>
  <c r="CH315" i="8" s="1"/>
  <c r="CH330" i="8" s="1"/>
  <c r="CH345" i="8" s="1"/>
  <c r="N492" i="8"/>
  <c r="N507" i="8" s="1"/>
  <c r="N522" i="8" s="1"/>
  <c r="N537" i="8" s="1"/>
  <c r="BJ236" i="8"/>
  <c r="BJ251" i="8" s="1"/>
  <c r="BJ266" i="8" s="1"/>
  <c r="BJ281" i="8" s="1"/>
  <c r="N300" i="8"/>
  <c r="N315" i="8" s="1"/>
  <c r="N330" i="8" s="1"/>
  <c r="N345" i="8" s="1"/>
  <c r="DF300" i="8"/>
  <c r="DF315" i="8" s="1"/>
  <c r="DF330" i="8" s="1"/>
  <c r="DF345" i="8" s="1"/>
  <c r="B428" i="8"/>
  <c r="B443" i="8" s="1"/>
  <c r="B458" i="8" s="1"/>
  <c r="B473" i="8" s="1"/>
  <c r="DF428" i="8"/>
  <c r="DF443" i="8" s="1"/>
  <c r="DF458" i="8" s="1"/>
  <c r="DF473" i="8" s="1"/>
  <c r="Z556" i="8"/>
  <c r="Z571" i="8" s="1"/>
  <c r="Z586" i="8" s="1"/>
  <c r="Z601" i="8" s="1"/>
  <c r="AL364" i="8"/>
  <c r="AL379" i="8" s="1"/>
  <c r="AL394" i="8" s="1"/>
  <c r="AL409" i="8" s="1"/>
  <c r="BJ492" i="8"/>
  <c r="BJ507" i="8" s="1"/>
  <c r="BJ522" i="8" s="1"/>
  <c r="BJ537" i="8" s="1"/>
  <c r="DF556" i="8"/>
  <c r="DF571" i="8" s="1"/>
  <c r="DF586" i="8" s="1"/>
  <c r="DF601" i="8" s="1"/>
  <c r="N620" i="8"/>
  <c r="N635" i="8" s="1"/>
  <c r="N650" i="8" s="1"/>
  <c r="N665" i="8" s="1"/>
  <c r="CH620" i="8"/>
  <c r="CH635" i="8" s="1"/>
  <c r="CH650" i="8" s="1"/>
  <c r="CH665" i="8" s="1"/>
  <c r="Z684" i="8"/>
  <c r="Z699" i="8" s="1"/>
  <c r="Z714" i="8" s="1"/>
  <c r="Z729" i="8" s="1"/>
  <c r="CT684" i="8"/>
  <c r="CT699" i="8" s="1"/>
  <c r="CT714" i="8" s="1"/>
  <c r="CT729" i="8" s="1"/>
  <c r="BV236" i="8"/>
  <c r="BV251" i="8" s="1"/>
  <c r="BV266" i="8" s="1"/>
  <c r="BV281" i="8" s="1"/>
  <c r="Z300" i="8"/>
  <c r="Z315" i="8" s="1"/>
  <c r="Z330" i="8" s="1"/>
  <c r="Z345" i="8" s="1"/>
  <c r="AL556" i="8"/>
  <c r="AL571" i="8" s="1"/>
  <c r="AL586" i="8" s="1"/>
  <c r="AL601" i="8" s="1"/>
  <c r="BJ300" i="8"/>
  <c r="BJ315" i="8" s="1"/>
  <c r="BJ330" i="8" s="1"/>
  <c r="BJ345" i="8" s="1"/>
  <c r="Z364" i="8"/>
  <c r="Z379" i="8" s="1"/>
  <c r="Z394" i="8" s="1"/>
  <c r="Z409" i="8" s="1"/>
  <c r="B492" i="8"/>
  <c r="B507" i="8" s="1"/>
  <c r="B522" i="8" s="1"/>
  <c r="B537" i="8" s="1"/>
  <c r="DF492" i="8"/>
  <c r="DF507" i="8" s="1"/>
  <c r="DF522" i="8" s="1"/>
  <c r="DF537" i="8" s="1"/>
  <c r="CT556" i="8"/>
  <c r="CT571" i="8" s="1"/>
  <c r="CT586" i="8" s="1"/>
  <c r="CT601" i="8" s="1"/>
  <c r="CT300" i="8"/>
  <c r="CT315" i="8" s="1"/>
  <c r="CT330" i="8" s="1"/>
  <c r="CT345" i="8" s="1"/>
  <c r="BV428" i="8"/>
  <c r="BV443" i="8" s="1"/>
  <c r="BV458" i="8" s="1"/>
  <c r="BV473" i="8" s="1"/>
  <c r="AX684" i="8"/>
  <c r="AX699" i="8" s="1"/>
  <c r="AX714" i="8" s="1"/>
  <c r="AX729" i="8" s="1"/>
  <c r="N748" i="8"/>
  <c r="N763" i="8" s="1"/>
  <c r="N778" i="8" s="1"/>
  <c r="N793" i="8" s="1"/>
  <c r="CH748" i="8"/>
  <c r="CH763" i="8" s="1"/>
  <c r="CH778" i="8" s="1"/>
  <c r="CH793" i="8" s="1"/>
  <c r="CT236" i="8"/>
  <c r="CT251" i="8" s="1"/>
  <c r="CT266" i="8" s="1"/>
  <c r="CT281" i="8" s="1"/>
  <c r="CT492" i="8"/>
  <c r="CT507" i="8" s="1"/>
  <c r="CT522" i="8" s="1"/>
  <c r="CT537" i="8" s="1"/>
  <c r="AX556" i="8"/>
  <c r="AX571" i="8" s="1"/>
  <c r="AX586" i="8" s="1"/>
  <c r="AX601" i="8" s="1"/>
  <c r="CT620" i="8"/>
  <c r="CT635" i="8" s="1"/>
  <c r="CT650" i="8" s="1"/>
  <c r="CT665" i="8" s="1"/>
  <c r="BJ556" i="8"/>
  <c r="BJ571" i="8" s="1"/>
  <c r="BJ586" i="8" s="1"/>
  <c r="BJ601" i="8" s="1"/>
  <c r="DF620" i="8"/>
  <c r="DF635" i="8" s="1"/>
  <c r="DF650" i="8" s="1"/>
  <c r="DF665" i="8" s="1"/>
  <c r="AL428" i="8"/>
  <c r="AL443" i="8" s="1"/>
  <c r="AL458" i="8" s="1"/>
  <c r="AL473" i="8" s="1"/>
  <c r="B620" i="8"/>
  <c r="B635" i="8" s="1"/>
  <c r="B650" i="8" s="1"/>
  <c r="B665" i="8" s="1"/>
  <c r="DF684" i="8"/>
  <c r="DF699" i="8" s="1"/>
  <c r="DF714" i="8" s="1"/>
  <c r="DF729" i="8" s="1"/>
  <c r="AL748" i="8"/>
  <c r="AL763" i="8" s="1"/>
  <c r="AL778" i="8" s="1"/>
  <c r="AL793" i="8" s="1"/>
  <c r="AL300" i="8"/>
  <c r="AL315" i="8" s="1"/>
  <c r="AL330" i="8" s="1"/>
  <c r="AL345" i="8" s="1"/>
  <c r="AX428" i="8"/>
  <c r="AX443" i="8" s="1"/>
  <c r="AX458" i="8" s="1"/>
  <c r="AX473" i="8" s="1"/>
  <c r="BV556" i="8"/>
  <c r="BV571" i="8" s="1"/>
  <c r="BV586" i="8" s="1"/>
  <c r="BV601" i="8" s="1"/>
  <c r="Z620" i="8"/>
  <c r="Z635" i="8" s="1"/>
  <c r="Z650" i="8" s="1"/>
  <c r="Z665" i="8" s="1"/>
  <c r="B684" i="8"/>
  <c r="B699" i="8" s="1"/>
  <c r="B714" i="8" s="1"/>
  <c r="B729" i="8" s="1"/>
  <c r="AX748" i="8"/>
  <c r="AX763" i="8" s="1"/>
  <c r="AX778" i="8" s="1"/>
  <c r="AX793" i="8" s="1"/>
  <c r="AX300" i="8"/>
  <c r="AX315" i="8" s="1"/>
  <c r="AX330" i="8" s="1"/>
  <c r="AX345" i="8" s="1"/>
  <c r="BJ428" i="8"/>
  <c r="BJ443" i="8" s="1"/>
  <c r="BJ458" i="8" s="1"/>
  <c r="BJ473" i="8" s="1"/>
  <c r="CH556" i="8"/>
  <c r="CH571" i="8" s="1"/>
  <c r="CH586" i="8" s="1"/>
  <c r="CH601" i="8" s="1"/>
  <c r="AL620" i="8"/>
  <c r="AL635" i="8" s="1"/>
  <c r="AL650" i="8" s="1"/>
  <c r="AL665" i="8" s="1"/>
  <c r="N684" i="8"/>
  <c r="N699" i="8" s="1"/>
  <c r="N714" i="8" s="1"/>
  <c r="N729" i="8" s="1"/>
  <c r="AL492" i="8"/>
  <c r="AL507" i="8" s="1"/>
  <c r="AL522" i="8" s="1"/>
  <c r="AL537" i="8" s="1"/>
  <c r="Z492" i="8"/>
  <c r="Z507" i="8" s="1"/>
  <c r="Z522" i="8" s="1"/>
  <c r="Z537" i="8" s="1"/>
  <c r="BJ684" i="8"/>
  <c r="BJ699" i="8" s="1"/>
  <c r="BJ714" i="8" s="1"/>
  <c r="BJ729" i="8" s="1"/>
  <c r="CT748" i="8"/>
  <c r="CT763" i="8" s="1"/>
  <c r="CT778" i="8" s="1"/>
  <c r="CT793" i="8" s="1"/>
  <c r="BV364" i="8"/>
  <c r="BV379" i="8" s="1"/>
  <c r="BV394" i="8" s="1"/>
  <c r="BV409" i="8" s="1"/>
  <c r="DF364" i="8"/>
  <c r="DF379" i="8" s="1"/>
  <c r="DF394" i="8" s="1"/>
  <c r="DF409" i="8" s="1"/>
  <c r="BV684" i="8"/>
  <c r="BV699" i="8" s="1"/>
  <c r="BV714" i="8" s="1"/>
  <c r="BV729" i="8" s="1"/>
  <c r="BJ748" i="8"/>
  <c r="BJ763" i="8" s="1"/>
  <c r="BJ778" i="8" s="1"/>
  <c r="BJ793" i="8" s="1"/>
  <c r="BV492" i="8"/>
  <c r="BV507" i="8" s="1"/>
  <c r="BV522" i="8" s="1"/>
  <c r="BV537" i="8" s="1"/>
  <c r="CH684" i="8"/>
  <c r="CH699" i="8" s="1"/>
  <c r="CH714" i="8" s="1"/>
  <c r="CH729" i="8" s="1"/>
  <c r="BV748" i="8"/>
  <c r="BV763" i="8" s="1"/>
  <c r="BV778" i="8" s="1"/>
  <c r="BV793" i="8" s="1"/>
  <c r="CH492" i="8"/>
  <c r="CH507" i="8" s="1"/>
  <c r="CH522" i="8" s="1"/>
  <c r="CH537" i="8" s="1"/>
  <c r="B364" i="8"/>
  <c r="DF748" i="8"/>
  <c r="DF763" i="8" s="1"/>
  <c r="DF778" i="8" s="1"/>
  <c r="DF793" i="8" s="1"/>
  <c r="BJ364" i="8"/>
  <c r="BJ379" i="8" s="1"/>
  <c r="BJ394" i="8" s="1"/>
  <c r="BJ409" i="8" s="1"/>
  <c r="CH428" i="8"/>
  <c r="CH443" i="8" s="1"/>
  <c r="CH458" i="8" s="1"/>
  <c r="CH473" i="8" s="1"/>
  <c r="BV620" i="8"/>
  <c r="BV635" i="8" s="1"/>
  <c r="BV650" i="8" s="1"/>
  <c r="BV665" i="8" s="1"/>
  <c r="CT364" i="8"/>
  <c r="CT379" i="8" s="1"/>
  <c r="CT394" i="8" s="1"/>
  <c r="CT409" i="8" s="1"/>
  <c r="AL684" i="8"/>
  <c r="AL699" i="8" s="1"/>
  <c r="AL714" i="8" s="1"/>
  <c r="AL729" i="8" s="1"/>
  <c r="AX492" i="8"/>
  <c r="AX507" i="8" s="1"/>
  <c r="AX522" i="8" s="1"/>
  <c r="AX537" i="8" s="1"/>
  <c r="B556" i="8"/>
  <c r="B571" i="8" s="1"/>
  <c r="B586" i="8" s="1"/>
  <c r="B601" i="8" s="1"/>
  <c r="N556" i="8"/>
  <c r="N571" i="8" s="1"/>
  <c r="N586" i="8" s="1"/>
  <c r="N601" i="8" s="1"/>
  <c r="AX620" i="8"/>
  <c r="AX635" i="8" s="1"/>
  <c r="AX650" i="8" s="1"/>
  <c r="AX665" i="8" s="1"/>
  <c r="BJ620" i="8"/>
  <c r="BJ635" i="8" s="1"/>
  <c r="BJ650" i="8" s="1"/>
  <c r="BJ665" i="8" s="1"/>
  <c r="B748" i="8"/>
  <c r="B763" i="8" s="1"/>
  <c r="B778" i="8" s="1"/>
  <c r="B793" i="8" s="1"/>
  <c r="Z748" i="8"/>
  <c r="Z763" i="8" s="1"/>
  <c r="Z778" i="8" s="1"/>
  <c r="Z793" i="8" s="1"/>
  <c r="AL230" i="8"/>
  <c r="AL245" i="8" s="1"/>
  <c r="AL260" i="8" s="1"/>
  <c r="AL275" i="8" s="1"/>
  <c r="DF230" i="8"/>
  <c r="DF245" i="8" s="1"/>
  <c r="DF260" i="8" s="1"/>
  <c r="DF275" i="8" s="1"/>
  <c r="AX230" i="8"/>
  <c r="AX245" i="8" s="1"/>
  <c r="AX260" i="8" s="1"/>
  <c r="AX275" i="8" s="1"/>
  <c r="Z230" i="8"/>
  <c r="Z245" i="8" s="1"/>
  <c r="Z260" i="8" s="1"/>
  <c r="Z275" i="8" s="1"/>
  <c r="AL294" i="8"/>
  <c r="AL309" i="8" s="1"/>
  <c r="AL324" i="8" s="1"/>
  <c r="AL339" i="8" s="1"/>
  <c r="N358" i="8"/>
  <c r="N373" i="8" s="1"/>
  <c r="N388" i="8" s="1"/>
  <c r="N403" i="8" s="1"/>
  <c r="CH358" i="8"/>
  <c r="CH373" i="8" s="1"/>
  <c r="CH388" i="8" s="1"/>
  <c r="CH403" i="8" s="1"/>
  <c r="Z422" i="8"/>
  <c r="Z437" i="8" s="1"/>
  <c r="Z452" i="8" s="1"/>
  <c r="Z467" i="8" s="1"/>
  <c r="CT422" i="8"/>
  <c r="CT437" i="8" s="1"/>
  <c r="CT452" i="8" s="1"/>
  <c r="CT467" i="8" s="1"/>
  <c r="CH230" i="8"/>
  <c r="CH245" i="8" s="1"/>
  <c r="CH260" i="8" s="1"/>
  <c r="CH275" i="8" s="1"/>
  <c r="AX294" i="8"/>
  <c r="AX309" i="8" s="1"/>
  <c r="AX324" i="8" s="1"/>
  <c r="AX339" i="8" s="1"/>
  <c r="BJ358" i="8"/>
  <c r="BJ373" i="8" s="1"/>
  <c r="BJ388" i="8" s="1"/>
  <c r="BJ403" i="8" s="1"/>
  <c r="DF422" i="8"/>
  <c r="DF437" i="8" s="1"/>
  <c r="DF452" i="8" s="1"/>
  <c r="DF467" i="8" s="1"/>
  <c r="CT230" i="8"/>
  <c r="CT245" i="8" s="1"/>
  <c r="CT260" i="8" s="1"/>
  <c r="CT275" i="8" s="1"/>
  <c r="BJ294" i="8"/>
  <c r="BJ309" i="8" s="1"/>
  <c r="BJ324" i="8" s="1"/>
  <c r="BJ339" i="8" s="1"/>
  <c r="AL422" i="8"/>
  <c r="AL437" i="8" s="1"/>
  <c r="AL452" i="8" s="1"/>
  <c r="AL467" i="8" s="1"/>
  <c r="N486" i="8"/>
  <c r="N501" i="8" s="1"/>
  <c r="N516" i="8" s="1"/>
  <c r="N531" i="8" s="1"/>
  <c r="CH486" i="8"/>
  <c r="CH501" i="8" s="1"/>
  <c r="CH516" i="8" s="1"/>
  <c r="CH531" i="8" s="1"/>
  <c r="B358" i="8"/>
  <c r="CT358" i="8"/>
  <c r="CT373" i="8" s="1"/>
  <c r="CT388" i="8" s="1"/>
  <c r="CT403" i="8" s="1"/>
  <c r="AL550" i="8"/>
  <c r="AL565" i="8" s="1"/>
  <c r="AL580" i="8" s="1"/>
  <c r="AL595" i="8" s="1"/>
  <c r="BV294" i="8"/>
  <c r="BV309" i="8" s="1"/>
  <c r="BV324" i="8" s="1"/>
  <c r="BV339" i="8" s="1"/>
  <c r="BV422" i="8"/>
  <c r="BV437" i="8" s="1"/>
  <c r="BV452" i="8" s="1"/>
  <c r="BV467" i="8" s="1"/>
  <c r="B486" i="8"/>
  <c r="B501" i="8" s="1"/>
  <c r="B516" i="8" s="1"/>
  <c r="B531" i="8" s="1"/>
  <c r="CT486" i="8"/>
  <c r="CT501" i="8" s="1"/>
  <c r="CT516" i="8" s="1"/>
  <c r="CT531" i="8" s="1"/>
  <c r="N614" i="8"/>
  <c r="N629" i="8" s="1"/>
  <c r="N644" i="8" s="1"/>
  <c r="N659" i="8" s="1"/>
  <c r="CH614" i="8"/>
  <c r="CH629" i="8" s="1"/>
  <c r="CH644" i="8" s="1"/>
  <c r="CH659" i="8" s="1"/>
  <c r="Z678" i="8"/>
  <c r="Z693" i="8" s="1"/>
  <c r="Z708" i="8" s="1"/>
  <c r="Z723" i="8" s="1"/>
  <c r="CT678" i="8"/>
  <c r="CT693" i="8" s="1"/>
  <c r="CT708" i="8" s="1"/>
  <c r="CT723" i="8" s="1"/>
  <c r="DF358" i="8"/>
  <c r="DF373" i="8" s="1"/>
  <c r="DF388" i="8" s="1"/>
  <c r="DF403" i="8" s="1"/>
  <c r="AX550" i="8"/>
  <c r="AX565" i="8" s="1"/>
  <c r="AX580" i="8" s="1"/>
  <c r="AX595" i="8" s="1"/>
  <c r="Z294" i="8"/>
  <c r="Z309" i="8" s="1"/>
  <c r="Z324" i="8" s="1"/>
  <c r="Z339" i="8" s="1"/>
  <c r="AL486" i="8"/>
  <c r="AL501" i="8" s="1"/>
  <c r="AL516" i="8" s="1"/>
  <c r="AL531" i="8" s="1"/>
  <c r="CH550" i="8"/>
  <c r="CH565" i="8" s="1"/>
  <c r="CH580" i="8" s="1"/>
  <c r="CH595" i="8" s="1"/>
  <c r="BV230" i="8"/>
  <c r="BV245" i="8" s="1"/>
  <c r="BV260" i="8" s="1"/>
  <c r="BV275" i="8" s="1"/>
  <c r="B422" i="8"/>
  <c r="B437" i="8" s="1"/>
  <c r="B452" i="8" s="1"/>
  <c r="B467" i="8" s="1"/>
  <c r="CH294" i="8"/>
  <c r="CH309" i="8" s="1"/>
  <c r="CH324" i="8" s="1"/>
  <c r="CH339" i="8" s="1"/>
  <c r="AX614" i="8"/>
  <c r="AX629" i="8" s="1"/>
  <c r="AX644" i="8" s="1"/>
  <c r="AX659" i="8" s="1"/>
  <c r="BV678" i="8"/>
  <c r="BV693" i="8" s="1"/>
  <c r="BV708" i="8" s="1"/>
  <c r="BV723" i="8" s="1"/>
  <c r="N742" i="8"/>
  <c r="N757" i="8" s="1"/>
  <c r="N772" i="8" s="1"/>
  <c r="N787" i="8" s="1"/>
  <c r="CH742" i="8"/>
  <c r="CH757" i="8" s="1"/>
  <c r="CH772" i="8" s="1"/>
  <c r="CH787" i="8" s="1"/>
  <c r="CT294" i="8"/>
  <c r="CT309" i="8" s="1"/>
  <c r="CT324" i="8" s="1"/>
  <c r="CT339" i="8" s="1"/>
  <c r="DF294" i="8"/>
  <c r="DF309" i="8" s="1"/>
  <c r="DF324" i="8" s="1"/>
  <c r="DF339" i="8" s="1"/>
  <c r="N422" i="8"/>
  <c r="N437" i="8" s="1"/>
  <c r="N452" i="8" s="1"/>
  <c r="N467" i="8" s="1"/>
  <c r="Z486" i="8"/>
  <c r="Z501" i="8" s="1"/>
  <c r="Z516" i="8" s="1"/>
  <c r="Z531" i="8" s="1"/>
  <c r="BV614" i="8"/>
  <c r="BV629" i="8" s="1"/>
  <c r="BV644" i="8" s="1"/>
  <c r="BV659" i="8" s="1"/>
  <c r="BJ742" i="8"/>
  <c r="BJ757" i="8" s="1"/>
  <c r="BJ772" i="8" s="1"/>
  <c r="BJ787" i="8" s="1"/>
  <c r="Z358" i="8"/>
  <c r="Z373" i="8" s="1"/>
  <c r="Z388" i="8" s="1"/>
  <c r="Z403" i="8" s="1"/>
  <c r="BJ422" i="8"/>
  <c r="BJ437" i="8" s="1"/>
  <c r="BJ452" i="8" s="1"/>
  <c r="BJ467" i="8" s="1"/>
  <c r="B550" i="8"/>
  <c r="B565" i="8" s="1"/>
  <c r="B580" i="8" s="1"/>
  <c r="B595" i="8" s="1"/>
  <c r="DF614" i="8"/>
  <c r="DF629" i="8" s="1"/>
  <c r="DF644" i="8" s="1"/>
  <c r="DF659" i="8" s="1"/>
  <c r="AL678" i="8"/>
  <c r="AL693" i="8" s="1"/>
  <c r="AL708" i="8" s="1"/>
  <c r="AL723" i="8" s="1"/>
  <c r="B294" i="8"/>
  <c r="B309" i="8" s="1"/>
  <c r="B324" i="8" s="1"/>
  <c r="B339" i="8" s="1"/>
  <c r="N550" i="8"/>
  <c r="N565" i="8" s="1"/>
  <c r="N580" i="8" s="1"/>
  <c r="N595" i="8" s="1"/>
  <c r="B614" i="8"/>
  <c r="B629" i="8" s="1"/>
  <c r="B644" i="8" s="1"/>
  <c r="B659" i="8" s="1"/>
  <c r="AX678" i="8"/>
  <c r="AX693" i="8" s="1"/>
  <c r="AX708" i="8" s="1"/>
  <c r="AX723" i="8" s="1"/>
  <c r="AX358" i="8"/>
  <c r="AX373" i="8" s="1"/>
  <c r="AX388" i="8" s="1"/>
  <c r="AX403" i="8" s="1"/>
  <c r="AL358" i="8"/>
  <c r="AL373" i="8" s="1"/>
  <c r="AL388" i="8" s="1"/>
  <c r="AL403" i="8" s="1"/>
  <c r="CH422" i="8"/>
  <c r="CH437" i="8" s="1"/>
  <c r="CH452" i="8" s="1"/>
  <c r="CH467" i="8" s="1"/>
  <c r="BV742" i="8"/>
  <c r="BV757" i="8" s="1"/>
  <c r="BV772" i="8" s="1"/>
  <c r="BV787" i="8" s="1"/>
  <c r="Z550" i="8"/>
  <c r="Z565" i="8" s="1"/>
  <c r="Z580" i="8" s="1"/>
  <c r="Z595" i="8" s="1"/>
  <c r="CH678" i="8"/>
  <c r="CH693" i="8" s="1"/>
  <c r="CH708" i="8" s="1"/>
  <c r="CH723" i="8" s="1"/>
  <c r="AL742" i="8"/>
  <c r="AL757" i="8" s="1"/>
  <c r="AL772" i="8" s="1"/>
  <c r="AL787" i="8" s="1"/>
  <c r="B678" i="8"/>
  <c r="B693" i="8" s="1"/>
  <c r="B708" i="8" s="1"/>
  <c r="B723" i="8" s="1"/>
  <c r="AX742" i="8"/>
  <c r="AX757" i="8" s="1"/>
  <c r="AX772" i="8" s="1"/>
  <c r="AX787" i="8" s="1"/>
  <c r="BV358" i="8"/>
  <c r="BV373" i="8" s="1"/>
  <c r="BV388" i="8" s="1"/>
  <c r="BV403" i="8" s="1"/>
  <c r="N230" i="8"/>
  <c r="N245" i="8" s="1"/>
  <c r="N260" i="8" s="1"/>
  <c r="N275" i="8" s="1"/>
  <c r="BV486" i="8"/>
  <c r="BV501" i="8" s="1"/>
  <c r="BV516" i="8" s="1"/>
  <c r="BV531" i="8" s="1"/>
  <c r="DF678" i="8"/>
  <c r="DF693" i="8" s="1"/>
  <c r="DF708" i="8" s="1"/>
  <c r="DF723" i="8" s="1"/>
  <c r="B742" i="8"/>
  <c r="B757" i="8" s="1"/>
  <c r="B772" i="8" s="1"/>
  <c r="B787" i="8" s="1"/>
  <c r="Z742" i="8"/>
  <c r="Z757" i="8" s="1"/>
  <c r="Z772" i="8" s="1"/>
  <c r="Z787" i="8" s="1"/>
  <c r="Z614" i="8"/>
  <c r="Z629" i="8" s="1"/>
  <c r="Z644" i="8" s="1"/>
  <c r="Z659" i="8" s="1"/>
  <c r="BJ550" i="8"/>
  <c r="BJ565" i="8" s="1"/>
  <c r="BJ580" i="8" s="1"/>
  <c r="BJ595" i="8" s="1"/>
  <c r="N678" i="8"/>
  <c r="N693" i="8" s="1"/>
  <c r="N708" i="8" s="1"/>
  <c r="N723" i="8" s="1"/>
  <c r="AX486" i="8"/>
  <c r="AX501" i="8" s="1"/>
  <c r="AX516" i="8" s="1"/>
  <c r="AX531" i="8" s="1"/>
  <c r="CT550" i="8"/>
  <c r="CT565" i="8" s="1"/>
  <c r="CT580" i="8" s="1"/>
  <c r="CT595" i="8" s="1"/>
  <c r="CT742" i="8"/>
  <c r="CT757" i="8" s="1"/>
  <c r="CT772" i="8" s="1"/>
  <c r="CT787" i="8" s="1"/>
  <c r="BJ678" i="8"/>
  <c r="BJ693" i="8" s="1"/>
  <c r="BJ708" i="8" s="1"/>
  <c r="BJ723" i="8" s="1"/>
  <c r="B230" i="8"/>
  <c r="BJ230" i="8"/>
  <c r="BJ245" i="8" s="1"/>
  <c r="BJ260" i="8" s="1"/>
  <c r="BJ275" i="8" s="1"/>
  <c r="DF486" i="8"/>
  <c r="DF501" i="8" s="1"/>
  <c r="DF516" i="8" s="1"/>
  <c r="DF531" i="8" s="1"/>
  <c r="AL614" i="8"/>
  <c r="AL629" i="8" s="1"/>
  <c r="AL644" i="8" s="1"/>
  <c r="AL659" i="8" s="1"/>
  <c r="BV550" i="8"/>
  <c r="BV565" i="8" s="1"/>
  <c r="BV580" i="8" s="1"/>
  <c r="BV595" i="8" s="1"/>
  <c r="N294" i="8"/>
  <c r="N309" i="8" s="1"/>
  <c r="N324" i="8" s="1"/>
  <c r="N339" i="8" s="1"/>
  <c r="BJ614" i="8"/>
  <c r="BJ629" i="8" s="1"/>
  <c r="BJ644" i="8" s="1"/>
  <c r="BJ659" i="8" s="1"/>
  <c r="AX422" i="8"/>
  <c r="AX437" i="8" s="1"/>
  <c r="AX452" i="8" s="1"/>
  <c r="AX467" i="8" s="1"/>
  <c r="DF742" i="8"/>
  <c r="DF757" i="8" s="1"/>
  <c r="DF772" i="8" s="1"/>
  <c r="DF787" i="8" s="1"/>
  <c r="DF550" i="8"/>
  <c r="DF565" i="8" s="1"/>
  <c r="DF580" i="8" s="1"/>
  <c r="DF595" i="8" s="1"/>
  <c r="CT614" i="8"/>
  <c r="CT629" i="8" s="1"/>
  <c r="CT644" i="8" s="1"/>
  <c r="CT659" i="8" s="1"/>
  <c r="BJ486" i="8"/>
  <c r="BJ501" i="8" s="1"/>
  <c r="BJ516" i="8" s="1"/>
  <c r="BJ531" i="8" s="1"/>
  <c r="BJ237" i="8"/>
  <c r="BJ252" i="8" s="1"/>
  <c r="BJ267" i="8" s="1"/>
  <c r="BJ282" i="8" s="1"/>
  <c r="B237" i="8"/>
  <c r="BV237" i="8"/>
  <c r="BV252" i="8" s="1"/>
  <c r="BV267" i="8" s="1"/>
  <c r="BV282" i="8" s="1"/>
  <c r="AX237" i="8"/>
  <c r="AX252" i="8" s="1"/>
  <c r="AX267" i="8" s="1"/>
  <c r="AX282" i="8" s="1"/>
  <c r="Z237" i="8"/>
  <c r="Z252" i="8" s="1"/>
  <c r="Z267" i="8" s="1"/>
  <c r="Z282" i="8" s="1"/>
  <c r="AL365" i="8"/>
  <c r="AL380" i="8" s="1"/>
  <c r="AL395" i="8" s="1"/>
  <c r="AL410" i="8" s="1"/>
  <c r="DF365" i="8"/>
  <c r="DF380" i="8" s="1"/>
  <c r="DF395" i="8" s="1"/>
  <c r="DF410" i="8" s="1"/>
  <c r="AX429" i="8"/>
  <c r="AX444" i="8" s="1"/>
  <c r="AX459" i="8" s="1"/>
  <c r="AX474" i="8" s="1"/>
  <c r="Z301" i="8"/>
  <c r="Z316" i="8" s="1"/>
  <c r="Z331" i="8" s="1"/>
  <c r="Z346" i="8" s="1"/>
  <c r="DF301" i="8"/>
  <c r="DF316" i="8" s="1"/>
  <c r="DF331" i="8" s="1"/>
  <c r="DF346" i="8" s="1"/>
  <c r="N237" i="8"/>
  <c r="N252" i="8" s="1"/>
  <c r="N267" i="8" s="1"/>
  <c r="N282" i="8" s="1"/>
  <c r="AL301" i="8"/>
  <c r="AL316" i="8" s="1"/>
  <c r="AL331" i="8" s="1"/>
  <c r="AL346" i="8" s="1"/>
  <c r="CH365" i="8"/>
  <c r="CH380" i="8" s="1"/>
  <c r="CH395" i="8" s="1"/>
  <c r="CH410" i="8" s="1"/>
  <c r="N365" i="8"/>
  <c r="N380" i="8" s="1"/>
  <c r="N395" i="8" s="1"/>
  <c r="N410" i="8" s="1"/>
  <c r="BJ429" i="8"/>
  <c r="BJ444" i="8" s="1"/>
  <c r="BJ459" i="8" s="1"/>
  <c r="BJ474" i="8" s="1"/>
  <c r="CT237" i="8"/>
  <c r="CT252" i="8" s="1"/>
  <c r="CT267" i="8" s="1"/>
  <c r="CT282" i="8" s="1"/>
  <c r="CH301" i="8"/>
  <c r="CH316" i="8" s="1"/>
  <c r="CH331" i="8" s="1"/>
  <c r="CH346" i="8" s="1"/>
  <c r="B365" i="8"/>
  <c r="N493" i="8"/>
  <c r="N508" i="8" s="1"/>
  <c r="N523" i="8" s="1"/>
  <c r="N538" i="8" s="1"/>
  <c r="CH429" i="8"/>
  <c r="CH444" i="8" s="1"/>
  <c r="CH459" i="8" s="1"/>
  <c r="CH474" i="8" s="1"/>
  <c r="CT493" i="8"/>
  <c r="CT508" i="8" s="1"/>
  <c r="CT523" i="8" s="1"/>
  <c r="CT538" i="8" s="1"/>
  <c r="AL621" i="8"/>
  <c r="AL636" i="8" s="1"/>
  <c r="AL651" i="8" s="1"/>
  <c r="AL666" i="8" s="1"/>
  <c r="DF621" i="8"/>
  <c r="DF636" i="8" s="1"/>
  <c r="DF651" i="8" s="1"/>
  <c r="DF666" i="8" s="1"/>
  <c r="AX685" i="8"/>
  <c r="AX700" i="8" s="1"/>
  <c r="AX715" i="8" s="1"/>
  <c r="AX730" i="8" s="1"/>
  <c r="DF237" i="8"/>
  <c r="DF252" i="8" s="1"/>
  <c r="DF267" i="8" s="1"/>
  <c r="DF282" i="8" s="1"/>
  <c r="B301" i="8"/>
  <c r="B316" i="8" s="1"/>
  <c r="B331" i="8" s="1"/>
  <c r="B346" i="8" s="1"/>
  <c r="CT301" i="8"/>
  <c r="CT316" i="8" s="1"/>
  <c r="CT331" i="8" s="1"/>
  <c r="CT346" i="8" s="1"/>
  <c r="Z365" i="8"/>
  <c r="Z380" i="8" s="1"/>
  <c r="Z395" i="8" s="1"/>
  <c r="Z410" i="8" s="1"/>
  <c r="B429" i="8"/>
  <c r="B444" i="8" s="1"/>
  <c r="B459" i="8" s="1"/>
  <c r="B474" i="8" s="1"/>
  <c r="Z493" i="8"/>
  <c r="Z508" i="8" s="1"/>
  <c r="Z523" i="8" s="1"/>
  <c r="Z538" i="8" s="1"/>
  <c r="DF493" i="8"/>
  <c r="DF508" i="8" s="1"/>
  <c r="DF523" i="8" s="1"/>
  <c r="DF538" i="8" s="1"/>
  <c r="BV557" i="8"/>
  <c r="BV572" i="8" s="1"/>
  <c r="BV587" i="8" s="1"/>
  <c r="BV602" i="8" s="1"/>
  <c r="CH237" i="8"/>
  <c r="CH252" i="8" s="1"/>
  <c r="CH267" i="8" s="1"/>
  <c r="CH282" i="8" s="1"/>
  <c r="BV301" i="8"/>
  <c r="BV316" i="8" s="1"/>
  <c r="BV331" i="8" s="1"/>
  <c r="BV346" i="8" s="1"/>
  <c r="N429" i="8"/>
  <c r="N444" i="8" s="1"/>
  <c r="N459" i="8" s="1"/>
  <c r="N474" i="8" s="1"/>
  <c r="AX365" i="8"/>
  <c r="AX380" i="8" s="1"/>
  <c r="AX395" i="8" s="1"/>
  <c r="AX410" i="8" s="1"/>
  <c r="CH493" i="8"/>
  <c r="CH508" i="8" s="1"/>
  <c r="CH523" i="8" s="1"/>
  <c r="CH538" i="8" s="1"/>
  <c r="CH557" i="8"/>
  <c r="CH572" i="8" s="1"/>
  <c r="CH587" i="8" s="1"/>
  <c r="CH602" i="8" s="1"/>
  <c r="BJ365" i="8"/>
  <c r="BJ380" i="8" s="1"/>
  <c r="BJ395" i="8" s="1"/>
  <c r="BJ410" i="8" s="1"/>
  <c r="N301" i="8"/>
  <c r="N316" i="8" s="1"/>
  <c r="N331" i="8" s="1"/>
  <c r="N346" i="8" s="1"/>
  <c r="Z557" i="8"/>
  <c r="Z572" i="8" s="1"/>
  <c r="Z587" i="8" s="1"/>
  <c r="Z602" i="8" s="1"/>
  <c r="BJ621" i="8"/>
  <c r="BJ636" i="8" s="1"/>
  <c r="BJ651" i="8" s="1"/>
  <c r="BJ666" i="8" s="1"/>
  <c r="N685" i="8"/>
  <c r="N700" i="8" s="1"/>
  <c r="N715" i="8" s="1"/>
  <c r="N730" i="8" s="1"/>
  <c r="CT685" i="8"/>
  <c r="CT700" i="8" s="1"/>
  <c r="CT715" i="8" s="1"/>
  <c r="CT730" i="8" s="1"/>
  <c r="AL749" i="8"/>
  <c r="AL764" i="8" s="1"/>
  <c r="AL779" i="8" s="1"/>
  <c r="AL794" i="8" s="1"/>
  <c r="DF749" i="8"/>
  <c r="DF764" i="8" s="1"/>
  <c r="DF779" i="8" s="1"/>
  <c r="DF794" i="8" s="1"/>
  <c r="B493" i="8"/>
  <c r="B508" i="8" s="1"/>
  <c r="B523" i="8" s="1"/>
  <c r="B538" i="8" s="1"/>
  <c r="AX557" i="8"/>
  <c r="AX572" i="8" s="1"/>
  <c r="AX587" i="8" s="1"/>
  <c r="AX602" i="8" s="1"/>
  <c r="N621" i="8"/>
  <c r="N636" i="8" s="1"/>
  <c r="N651" i="8" s="1"/>
  <c r="N666" i="8" s="1"/>
  <c r="B749" i="8"/>
  <c r="B764" i="8" s="1"/>
  <c r="B779" i="8" s="1"/>
  <c r="B794" i="8" s="1"/>
  <c r="CH749" i="8"/>
  <c r="CH764" i="8" s="1"/>
  <c r="CH779" i="8" s="1"/>
  <c r="CH794" i="8" s="1"/>
  <c r="DF429" i="8"/>
  <c r="DF444" i="8" s="1"/>
  <c r="DF459" i="8" s="1"/>
  <c r="DF474" i="8" s="1"/>
  <c r="AX493" i="8"/>
  <c r="AX508" i="8" s="1"/>
  <c r="AX523" i="8" s="1"/>
  <c r="AX538" i="8" s="1"/>
  <c r="CT557" i="8"/>
  <c r="CT572" i="8" s="1"/>
  <c r="CT587" i="8" s="1"/>
  <c r="CT602" i="8" s="1"/>
  <c r="DF685" i="8"/>
  <c r="DF700" i="8" s="1"/>
  <c r="DF715" i="8" s="1"/>
  <c r="DF730" i="8" s="1"/>
  <c r="Z621" i="8"/>
  <c r="Z636" i="8" s="1"/>
  <c r="Z651" i="8" s="1"/>
  <c r="Z666" i="8" s="1"/>
  <c r="CT749" i="8"/>
  <c r="CT764" i="8" s="1"/>
  <c r="CT779" i="8" s="1"/>
  <c r="CT794" i="8" s="1"/>
  <c r="DF557" i="8"/>
  <c r="DF572" i="8" s="1"/>
  <c r="DF587" i="8" s="1"/>
  <c r="DF602" i="8" s="1"/>
  <c r="B557" i="8"/>
  <c r="B572" i="8" s="1"/>
  <c r="B587" i="8" s="1"/>
  <c r="B602" i="8" s="1"/>
  <c r="B685" i="8"/>
  <c r="B700" i="8" s="1"/>
  <c r="B715" i="8" s="1"/>
  <c r="B730" i="8" s="1"/>
  <c r="N749" i="8"/>
  <c r="N764" i="8" s="1"/>
  <c r="N779" i="8" s="1"/>
  <c r="N794" i="8" s="1"/>
  <c r="BV365" i="8"/>
  <c r="BV380" i="8" s="1"/>
  <c r="BV395" i="8" s="1"/>
  <c r="BV410" i="8" s="1"/>
  <c r="BJ493" i="8"/>
  <c r="BJ508" i="8" s="1"/>
  <c r="BJ523" i="8" s="1"/>
  <c r="BJ538" i="8" s="1"/>
  <c r="AX621" i="8"/>
  <c r="AX636" i="8" s="1"/>
  <c r="AX651" i="8" s="1"/>
  <c r="AX666" i="8" s="1"/>
  <c r="CH685" i="8"/>
  <c r="CH700" i="8" s="1"/>
  <c r="CH715" i="8" s="1"/>
  <c r="CH730" i="8" s="1"/>
  <c r="BV493" i="8"/>
  <c r="BV508" i="8" s="1"/>
  <c r="BV523" i="8" s="1"/>
  <c r="BV538" i="8" s="1"/>
  <c r="BJ685" i="8"/>
  <c r="BJ700" i="8" s="1"/>
  <c r="BJ715" i="8" s="1"/>
  <c r="BJ730" i="8" s="1"/>
  <c r="Z429" i="8"/>
  <c r="Z444" i="8" s="1"/>
  <c r="Z459" i="8" s="1"/>
  <c r="Z474" i="8" s="1"/>
  <c r="AL557" i="8"/>
  <c r="AL572" i="8" s="1"/>
  <c r="AL587" i="8" s="1"/>
  <c r="AL602" i="8" s="1"/>
  <c r="CT365" i="8"/>
  <c r="CT380" i="8" s="1"/>
  <c r="CT395" i="8" s="1"/>
  <c r="CT410" i="8" s="1"/>
  <c r="BV429" i="8"/>
  <c r="BV444" i="8" s="1"/>
  <c r="BV459" i="8" s="1"/>
  <c r="BV474" i="8" s="1"/>
  <c r="BJ749" i="8"/>
  <c r="BJ764" i="8" s="1"/>
  <c r="BJ779" i="8" s="1"/>
  <c r="BJ794" i="8" s="1"/>
  <c r="BV749" i="8"/>
  <c r="BV764" i="8" s="1"/>
  <c r="BV779" i="8" s="1"/>
  <c r="BV794" i="8" s="1"/>
  <c r="CT621" i="8"/>
  <c r="CT636" i="8" s="1"/>
  <c r="CT651" i="8" s="1"/>
  <c r="CT666" i="8" s="1"/>
  <c r="Z685" i="8"/>
  <c r="Z700" i="8" s="1"/>
  <c r="Z715" i="8" s="1"/>
  <c r="Z730" i="8" s="1"/>
  <c r="AL685" i="8"/>
  <c r="AL700" i="8" s="1"/>
  <c r="AL715" i="8" s="1"/>
  <c r="AL730" i="8" s="1"/>
  <c r="AL493" i="8"/>
  <c r="AL508" i="8" s="1"/>
  <c r="AL523" i="8" s="1"/>
  <c r="AL538" i="8" s="1"/>
  <c r="N557" i="8"/>
  <c r="N572" i="8" s="1"/>
  <c r="N587" i="8" s="1"/>
  <c r="N602" i="8" s="1"/>
  <c r="AX301" i="8"/>
  <c r="AX316" i="8" s="1"/>
  <c r="AX331" i="8" s="1"/>
  <c r="AX346" i="8" s="1"/>
  <c r="BJ301" i="8"/>
  <c r="BJ316" i="8" s="1"/>
  <c r="BJ331" i="8" s="1"/>
  <c r="BJ346" i="8" s="1"/>
  <c r="Z749" i="8"/>
  <c r="Z764" i="8" s="1"/>
  <c r="Z779" i="8" s="1"/>
  <c r="Z794" i="8" s="1"/>
  <c r="BV685" i="8"/>
  <c r="BV700" i="8" s="1"/>
  <c r="BV715" i="8" s="1"/>
  <c r="BV730" i="8" s="1"/>
  <c r="CT429" i="8"/>
  <c r="CT444" i="8" s="1"/>
  <c r="CT459" i="8" s="1"/>
  <c r="CT474" i="8" s="1"/>
  <c r="BV621" i="8"/>
  <c r="BV636" i="8" s="1"/>
  <c r="BV651" i="8" s="1"/>
  <c r="BV666" i="8" s="1"/>
  <c r="CH621" i="8"/>
  <c r="CH636" i="8" s="1"/>
  <c r="CH651" i="8" s="1"/>
  <c r="CH666" i="8" s="1"/>
  <c r="AL237" i="8"/>
  <c r="AL252" i="8" s="1"/>
  <c r="AL267" i="8" s="1"/>
  <c r="AL282" i="8" s="1"/>
  <c r="AL429" i="8"/>
  <c r="AL444" i="8" s="1"/>
  <c r="AL459" i="8" s="1"/>
  <c r="AL474" i="8" s="1"/>
  <c r="B621" i="8"/>
  <c r="B636" i="8" s="1"/>
  <c r="B651" i="8" s="1"/>
  <c r="B666" i="8" s="1"/>
  <c r="AX749" i="8"/>
  <c r="AX764" i="8" s="1"/>
  <c r="AX779" i="8" s="1"/>
  <c r="AX794" i="8" s="1"/>
  <c r="BJ557" i="8"/>
  <c r="BJ572" i="8" s="1"/>
  <c r="BJ587" i="8" s="1"/>
  <c r="BJ602" i="8" s="1"/>
  <c r="AL233" i="8"/>
  <c r="AL248" i="8" s="1"/>
  <c r="AL263" i="8" s="1"/>
  <c r="AL278" i="8" s="1"/>
  <c r="DF233" i="8"/>
  <c r="DF248" i="8" s="1"/>
  <c r="DF263" i="8" s="1"/>
  <c r="DF278" i="8" s="1"/>
  <c r="AX233" i="8"/>
  <c r="AX248" i="8" s="1"/>
  <c r="AX263" i="8" s="1"/>
  <c r="AX278" i="8" s="1"/>
  <c r="BJ233" i="8"/>
  <c r="BJ248" i="8" s="1"/>
  <c r="BJ263" i="8" s="1"/>
  <c r="BJ278" i="8" s="1"/>
  <c r="BV297" i="8"/>
  <c r="BV312" i="8" s="1"/>
  <c r="BV327" i="8" s="1"/>
  <c r="BV342" i="8" s="1"/>
  <c r="N361" i="8"/>
  <c r="N376" i="8" s="1"/>
  <c r="N391" i="8" s="1"/>
  <c r="N406" i="8" s="1"/>
  <c r="CH361" i="8"/>
  <c r="CH376" i="8" s="1"/>
  <c r="CH391" i="8" s="1"/>
  <c r="CH406" i="8" s="1"/>
  <c r="Z425" i="8"/>
  <c r="Z440" i="8" s="1"/>
  <c r="Z455" i="8" s="1"/>
  <c r="Z470" i="8" s="1"/>
  <c r="CT425" i="8"/>
  <c r="CT440" i="8" s="1"/>
  <c r="CT455" i="8" s="1"/>
  <c r="CT470" i="8" s="1"/>
  <c r="CT233" i="8"/>
  <c r="CT248" i="8" s="1"/>
  <c r="CT263" i="8" s="1"/>
  <c r="CT278" i="8" s="1"/>
  <c r="Z297" i="8"/>
  <c r="Z312" i="8" s="1"/>
  <c r="Z327" i="8" s="1"/>
  <c r="Z342" i="8" s="1"/>
  <c r="DF297" i="8"/>
  <c r="DF312" i="8" s="1"/>
  <c r="DF327" i="8" s="1"/>
  <c r="DF342" i="8" s="1"/>
  <c r="CT361" i="8"/>
  <c r="CT376" i="8" s="1"/>
  <c r="CT391" i="8" s="1"/>
  <c r="CT406" i="8" s="1"/>
  <c r="BJ425" i="8"/>
  <c r="BJ440" i="8" s="1"/>
  <c r="BJ455" i="8" s="1"/>
  <c r="BJ470" i="8" s="1"/>
  <c r="B233" i="8"/>
  <c r="AL297" i="8"/>
  <c r="AL312" i="8" s="1"/>
  <c r="AL327" i="8" s="1"/>
  <c r="AL342" i="8" s="1"/>
  <c r="Z361" i="8"/>
  <c r="Z376" i="8" s="1"/>
  <c r="Z391" i="8" s="1"/>
  <c r="Z406" i="8" s="1"/>
  <c r="N489" i="8"/>
  <c r="N504" i="8" s="1"/>
  <c r="N519" i="8" s="1"/>
  <c r="N534" i="8" s="1"/>
  <c r="CH489" i="8"/>
  <c r="CH504" i="8" s="1"/>
  <c r="CH519" i="8" s="1"/>
  <c r="CH534" i="8" s="1"/>
  <c r="CH425" i="8"/>
  <c r="CH440" i="8" s="1"/>
  <c r="CH455" i="8" s="1"/>
  <c r="CH470" i="8" s="1"/>
  <c r="CH233" i="8"/>
  <c r="CH248" i="8" s="1"/>
  <c r="CH263" i="8" s="1"/>
  <c r="CH278" i="8" s="1"/>
  <c r="AX297" i="8"/>
  <c r="AX312" i="8" s="1"/>
  <c r="AX327" i="8" s="1"/>
  <c r="AX342" i="8" s="1"/>
  <c r="B425" i="8"/>
  <c r="B440" i="8" s="1"/>
  <c r="B455" i="8" s="1"/>
  <c r="B470" i="8" s="1"/>
  <c r="BV489" i="8"/>
  <c r="BV504" i="8" s="1"/>
  <c r="BV519" i="8" s="1"/>
  <c r="BV534" i="8" s="1"/>
  <c r="BV553" i="8"/>
  <c r="BV568" i="8" s="1"/>
  <c r="BV583" i="8" s="1"/>
  <c r="BV598" i="8" s="1"/>
  <c r="N617" i="8"/>
  <c r="N632" i="8" s="1"/>
  <c r="N647" i="8" s="1"/>
  <c r="N662" i="8" s="1"/>
  <c r="CH617" i="8"/>
  <c r="CH632" i="8" s="1"/>
  <c r="CH647" i="8" s="1"/>
  <c r="CH662" i="8" s="1"/>
  <c r="Z681" i="8"/>
  <c r="Z696" i="8" s="1"/>
  <c r="Z711" i="8" s="1"/>
  <c r="Z726" i="8" s="1"/>
  <c r="CT681" i="8"/>
  <c r="CT696" i="8" s="1"/>
  <c r="CT711" i="8" s="1"/>
  <c r="CT726" i="8" s="1"/>
  <c r="BJ297" i="8"/>
  <c r="BJ312" i="8" s="1"/>
  <c r="BJ327" i="8" s="1"/>
  <c r="BJ342" i="8" s="1"/>
  <c r="AL361" i="8"/>
  <c r="AL376" i="8" s="1"/>
  <c r="AL391" i="8" s="1"/>
  <c r="AL406" i="8" s="1"/>
  <c r="B553" i="8"/>
  <c r="B568" i="8" s="1"/>
  <c r="B583" i="8" s="1"/>
  <c r="B598" i="8" s="1"/>
  <c r="B297" i="8"/>
  <c r="B312" i="8" s="1"/>
  <c r="B327" i="8" s="1"/>
  <c r="B342" i="8" s="1"/>
  <c r="B361" i="8"/>
  <c r="Z489" i="8"/>
  <c r="Z504" i="8" s="1"/>
  <c r="Z519" i="8" s="1"/>
  <c r="Z534" i="8" s="1"/>
  <c r="N297" i="8"/>
  <c r="N312" i="8" s="1"/>
  <c r="N327" i="8" s="1"/>
  <c r="N342" i="8" s="1"/>
  <c r="AX361" i="8"/>
  <c r="AX376" i="8" s="1"/>
  <c r="AX391" i="8" s="1"/>
  <c r="AX406" i="8" s="1"/>
  <c r="CT297" i="8"/>
  <c r="CT312" i="8" s="1"/>
  <c r="CT327" i="8" s="1"/>
  <c r="CT342" i="8" s="1"/>
  <c r="DF425" i="8"/>
  <c r="DF440" i="8" s="1"/>
  <c r="DF455" i="8" s="1"/>
  <c r="DF470" i="8" s="1"/>
  <c r="AX553" i="8"/>
  <c r="AX568" i="8" s="1"/>
  <c r="AX583" i="8" s="1"/>
  <c r="AX598" i="8" s="1"/>
  <c r="BJ681" i="8"/>
  <c r="BJ696" i="8" s="1"/>
  <c r="BJ711" i="8" s="1"/>
  <c r="BJ726" i="8" s="1"/>
  <c r="N745" i="8"/>
  <c r="N760" i="8" s="1"/>
  <c r="N775" i="8" s="1"/>
  <c r="N790" i="8" s="1"/>
  <c r="CH745" i="8"/>
  <c r="CH760" i="8" s="1"/>
  <c r="CH775" i="8" s="1"/>
  <c r="CH790" i="8" s="1"/>
  <c r="AX489" i="8"/>
  <c r="AX504" i="8" s="1"/>
  <c r="AX519" i="8" s="1"/>
  <c r="AX534" i="8" s="1"/>
  <c r="BV617" i="8"/>
  <c r="BV632" i="8" s="1"/>
  <c r="BV647" i="8" s="1"/>
  <c r="BV662" i="8" s="1"/>
  <c r="BJ489" i="8"/>
  <c r="BJ504" i="8" s="1"/>
  <c r="BJ519" i="8" s="1"/>
  <c r="BJ534" i="8" s="1"/>
  <c r="CH553" i="8"/>
  <c r="CH568" i="8" s="1"/>
  <c r="CH583" i="8" s="1"/>
  <c r="CH598" i="8" s="1"/>
  <c r="CT617" i="8"/>
  <c r="CT632" i="8" s="1"/>
  <c r="CT647" i="8" s="1"/>
  <c r="CT662" i="8" s="1"/>
  <c r="BJ361" i="8"/>
  <c r="BJ376" i="8" s="1"/>
  <c r="BJ391" i="8" s="1"/>
  <c r="BJ406" i="8" s="1"/>
  <c r="AX745" i="8"/>
  <c r="AX760" i="8" s="1"/>
  <c r="AX775" i="8" s="1"/>
  <c r="AX790" i="8" s="1"/>
  <c r="B617" i="8"/>
  <c r="B632" i="8" s="1"/>
  <c r="B647" i="8" s="1"/>
  <c r="B662" i="8" s="1"/>
  <c r="N681" i="8"/>
  <c r="N696" i="8" s="1"/>
  <c r="N711" i="8" s="1"/>
  <c r="N726" i="8" s="1"/>
  <c r="N425" i="8"/>
  <c r="N440" i="8" s="1"/>
  <c r="N455" i="8" s="1"/>
  <c r="N470" i="8" s="1"/>
  <c r="B489" i="8"/>
  <c r="B504" i="8" s="1"/>
  <c r="B519" i="8" s="1"/>
  <c r="B534" i="8" s="1"/>
  <c r="Z617" i="8"/>
  <c r="Z632" i="8" s="1"/>
  <c r="Z647" i="8" s="1"/>
  <c r="Z662" i="8" s="1"/>
  <c r="AL681" i="8"/>
  <c r="AL696" i="8" s="1"/>
  <c r="AL711" i="8" s="1"/>
  <c r="AL726" i="8" s="1"/>
  <c r="N553" i="8"/>
  <c r="N568" i="8" s="1"/>
  <c r="N583" i="8" s="1"/>
  <c r="N598" i="8" s="1"/>
  <c r="BV361" i="8"/>
  <c r="BV376" i="8" s="1"/>
  <c r="BV391" i="8" s="1"/>
  <c r="BV406" i="8" s="1"/>
  <c r="BJ745" i="8"/>
  <c r="BJ760" i="8" s="1"/>
  <c r="BJ775" i="8" s="1"/>
  <c r="BJ790" i="8" s="1"/>
  <c r="DF361" i="8"/>
  <c r="DF376" i="8" s="1"/>
  <c r="DF391" i="8" s="1"/>
  <c r="DF406" i="8" s="1"/>
  <c r="BJ553" i="8"/>
  <c r="BJ568" i="8" s="1"/>
  <c r="BJ583" i="8" s="1"/>
  <c r="BJ598" i="8" s="1"/>
  <c r="BV681" i="8"/>
  <c r="BV696" i="8" s="1"/>
  <c r="BV711" i="8" s="1"/>
  <c r="BV726" i="8" s="1"/>
  <c r="BV745" i="8"/>
  <c r="BV760" i="8" s="1"/>
  <c r="BV775" i="8" s="1"/>
  <c r="BV790" i="8" s="1"/>
  <c r="Z553" i="8"/>
  <c r="Z568" i="8" s="1"/>
  <c r="Z583" i="8" s="1"/>
  <c r="Z598" i="8" s="1"/>
  <c r="BV425" i="8"/>
  <c r="BV440" i="8" s="1"/>
  <c r="BV455" i="8" s="1"/>
  <c r="BV470" i="8" s="1"/>
  <c r="CT489" i="8"/>
  <c r="CT504" i="8" s="1"/>
  <c r="CT519" i="8" s="1"/>
  <c r="CT534" i="8" s="1"/>
  <c r="CT553" i="8"/>
  <c r="CT568" i="8" s="1"/>
  <c r="CT583" i="8" s="1"/>
  <c r="CT598" i="8" s="1"/>
  <c r="CH681" i="8"/>
  <c r="CH696" i="8" s="1"/>
  <c r="CH711" i="8" s="1"/>
  <c r="CH726" i="8" s="1"/>
  <c r="Z745" i="8"/>
  <c r="Z760" i="8" s="1"/>
  <c r="Z775" i="8" s="1"/>
  <c r="Z790" i="8" s="1"/>
  <c r="DF489" i="8"/>
  <c r="DF504" i="8" s="1"/>
  <c r="DF519" i="8" s="1"/>
  <c r="DF534" i="8" s="1"/>
  <c r="DF681" i="8"/>
  <c r="DF696" i="8" s="1"/>
  <c r="DF711" i="8" s="1"/>
  <c r="DF726" i="8" s="1"/>
  <c r="AL745" i="8"/>
  <c r="AL760" i="8" s="1"/>
  <c r="AL775" i="8" s="1"/>
  <c r="AL790" i="8" s="1"/>
  <c r="AL617" i="8"/>
  <c r="AL632" i="8" s="1"/>
  <c r="AL647" i="8" s="1"/>
  <c r="AL662" i="8" s="1"/>
  <c r="AX617" i="8"/>
  <c r="AX632" i="8" s="1"/>
  <c r="AX647" i="8" s="1"/>
  <c r="AX662" i="8" s="1"/>
  <c r="CT745" i="8"/>
  <c r="CT760" i="8" s="1"/>
  <c r="CT775" i="8" s="1"/>
  <c r="CT790" i="8" s="1"/>
  <c r="Z233" i="8"/>
  <c r="Z248" i="8" s="1"/>
  <c r="Z263" i="8" s="1"/>
  <c r="Z278" i="8" s="1"/>
  <c r="AX425" i="8"/>
  <c r="AX440" i="8" s="1"/>
  <c r="AX455" i="8" s="1"/>
  <c r="AX470" i="8" s="1"/>
  <c r="B681" i="8"/>
  <c r="B696" i="8" s="1"/>
  <c r="B711" i="8" s="1"/>
  <c r="B726" i="8" s="1"/>
  <c r="DF745" i="8"/>
  <c r="DF760" i="8" s="1"/>
  <c r="DF775" i="8" s="1"/>
  <c r="DF790" i="8" s="1"/>
  <c r="BV233" i="8"/>
  <c r="BV248" i="8" s="1"/>
  <c r="BV263" i="8" s="1"/>
  <c r="BV278" i="8" s="1"/>
  <c r="CH297" i="8"/>
  <c r="CH312" i="8" s="1"/>
  <c r="CH327" i="8" s="1"/>
  <c r="CH342" i="8" s="1"/>
  <c r="AX681" i="8"/>
  <c r="AX696" i="8" s="1"/>
  <c r="AX711" i="8" s="1"/>
  <c r="AX726" i="8" s="1"/>
  <c r="DF553" i="8"/>
  <c r="DF568" i="8" s="1"/>
  <c r="DF583" i="8" s="1"/>
  <c r="DF598" i="8" s="1"/>
  <c r="N233" i="8"/>
  <c r="N248" i="8" s="1"/>
  <c r="N263" i="8" s="1"/>
  <c r="N278" i="8" s="1"/>
  <c r="AL425" i="8"/>
  <c r="AL440" i="8" s="1"/>
  <c r="AL455" i="8" s="1"/>
  <c r="AL470" i="8" s="1"/>
  <c r="BJ617" i="8"/>
  <c r="BJ632" i="8" s="1"/>
  <c r="BJ647" i="8" s="1"/>
  <c r="BJ662" i="8" s="1"/>
  <c r="AL489" i="8"/>
  <c r="AL504" i="8" s="1"/>
  <c r="AL519" i="8" s="1"/>
  <c r="AL534" i="8" s="1"/>
  <c r="B745" i="8"/>
  <c r="B760" i="8" s="1"/>
  <c r="B775" i="8" s="1"/>
  <c r="B790" i="8" s="1"/>
  <c r="AL553" i="8"/>
  <c r="AL568" i="8" s="1"/>
  <c r="AL583" i="8" s="1"/>
  <c r="AL598" i="8" s="1"/>
  <c r="DF617" i="8"/>
  <c r="DF632" i="8" s="1"/>
  <c r="DF647" i="8" s="1"/>
  <c r="DF662" i="8" s="1"/>
  <c r="N229" i="8"/>
  <c r="CH229" i="8"/>
  <c r="Z229" i="8"/>
  <c r="CT229" i="8"/>
  <c r="BJ229" i="8"/>
  <c r="B293" i="8"/>
  <c r="BJ357" i="8"/>
  <c r="B421" i="8"/>
  <c r="BV421" i="8"/>
  <c r="BV293" i="8"/>
  <c r="CH293" i="8"/>
  <c r="Z357" i="8"/>
  <c r="DF229" i="8"/>
  <c r="DF357" i="8"/>
  <c r="BJ485" i="8"/>
  <c r="CT421" i="8"/>
  <c r="B549" i="8"/>
  <c r="B564" i="8" s="1"/>
  <c r="B579" i="8" s="1"/>
  <c r="B594" i="8" s="1"/>
  <c r="AX229" i="8"/>
  <c r="BJ293" i="8"/>
  <c r="AL357" i="8"/>
  <c r="N421" i="8"/>
  <c r="AL485" i="8"/>
  <c r="CH549" i="8"/>
  <c r="CH564" i="8" s="1"/>
  <c r="CH579" i="8" s="1"/>
  <c r="CH594" i="8" s="1"/>
  <c r="BJ613" i="8"/>
  <c r="BJ628" i="8" s="1"/>
  <c r="BJ643" i="8" s="1"/>
  <c r="BJ658" i="8" s="1"/>
  <c r="B677" i="8"/>
  <c r="B692" i="8" s="1"/>
  <c r="B707" i="8" s="1"/>
  <c r="B722" i="8" s="1"/>
  <c r="BV677" i="8"/>
  <c r="BV692" i="8" s="1"/>
  <c r="BV707" i="8" s="1"/>
  <c r="BV722" i="8" s="1"/>
  <c r="BV229" i="8"/>
  <c r="DF421" i="8"/>
  <c r="N549" i="8"/>
  <c r="N564" i="8" s="1"/>
  <c r="N579" i="8" s="1"/>
  <c r="N594" i="8" s="1"/>
  <c r="CT357" i="8"/>
  <c r="CH421" i="8"/>
  <c r="Z293" i="8"/>
  <c r="AX485" i="8"/>
  <c r="DF549" i="8"/>
  <c r="DF564" i="8" s="1"/>
  <c r="DF579" i="8" s="1"/>
  <c r="DF594" i="8" s="1"/>
  <c r="Z613" i="8"/>
  <c r="Z628" i="8" s="1"/>
  <c r="Z643" i="8" s="1"/>
  <c r="Z658" i="8" s="1"/>
  <c r="BV357" i="8"/>
  <c r="BJ421" i="8"/>
  <c r="AL549" i="8"/>
  <c r="AL564" i="8" s="1"/>
  <c r="AL579" i="8" s="1"/>
  <c r="AL594" i="8" s="1"/>
  <c r="B613" i="8"/>
  <c r="B628" i="8" s="1"/>
  <c r="B643" i="8" s="1"/>
  <c r="B658" i="8" s="1"/>
  <c r="CH613" i="8"/>
  <c r="CH628" i="8" s="1"/>
  <c r="CH643" i="8" s="1"/>
  <c r="CH658" i="8" s="1"/>
  <c r="Z677" i="8"/>
  <c r="Z692" i="8" s="1"/>
  <c r="Z707" i="8" s="1"/>
  <c r="Z722" i="8" s="1"/>
  <c r="DF677" i="8"/>
  <c r="DF692" i="8" s="1"/>
  <c r="DF707" i="8" s="1"/>
  <c r="DF722" i="8" s="1"/>
  <c r="BJ741" i="8"/>
  <c r="BJ756" i="8" s="1"/>
  <c r="BJ771" i="8" s="1"/>
  <c r="BJ786" i="8" s="1"/>
  <c r="N485" i="8"/>
  <c r="DF485" i="8"/>
  <c r="AL293" i="8"/>
  <c r="Z485" i="8"/>
  <c r="CT293" i="8"/>
  <c r="CH357" i="8"/>
  <c r="N613" i="8"/>
  <c r="N628" i="8" s="1"/>
  <c r="N643" i="8" s="1"/>
  <c r="N658" i="8" s="1"/>
  <c r="N741" i="8"/>
  <c r="N756" i="8" s="1"/>
  <c r="N771" i="8" s="1"/>
  <c r="N786" i="8" s="1"/>
  <c r="CT741" i="8"/>
  <c r="CT756" i="8" s="1"/>
  <c r="CT771" i="8" s="1"/>
  <c r="CT786" i="8" s="1"/>
  <c r="DF293" i="8"/>
  <c r="CT485" i="8"/>
  <c r="DF613" i="8"/>
  <c r="DF628" i="8" s="1"/>
  <c r="DF643" i="8" s="1"/>
  <c r="DF658" i="8" s="1"/>
  <c r="AL677" i="8"/>
  <c r="AL692" i="8" s="1"/>
  <c r="AL707" i="8" s="1"/>
  <c r="AL722" i="8" s="1"/>
  <c r="Z741" i="8"/>
  <c r="Z756" i="8" s="1"/>
  <c r="Z771" i="8" s="1"/>
  <c r="Z786" i="8" s="1"/>
  <c r="DF741" i="8"/>
  <c r="DF756" i="8" s="1"/>
  <c r="DF771" i="8" s="1"/>
  <c r="DF786" i="8" s="1"/>
  <c r="AL613" i="8"/>
  <c r="AL628" i="8" s="1"/>
  <c r="AL643" i="8" s="1"/>
  <c r="AL658" i="8" s="1"/>
  <c r="AL421" i="8"/>
  <c r="Z421" i="8"/>
  <c r="AX677" i="8"/>
  <c r="AX692" i="8" s="1"/>
  <c r="AX707" i="8" s="1"/>
  <c r="AX722" i="8" s="1"/>
  <c r="B485" i="8"/>
  <c r="B229" i="8"/>
  <c r="N677" i="8"/>
  <c r="N692" i="8" s="1"/>
  <c r="N707" i="8" s="1"/>
  <c r="N722" i="8" s="1"/>
  <c r="N357" i="8"/>
  <c r="AX421" i="8"/>
  <c r="BV549" i="8"/>
  <c r="BV564" i="8" s="1"/>
  <c r="BV579" i="8" s="1"/>
  <c r="BV594" i="8" s="1"/>
  <c r="AX741" i="8"/>
  <c r="AX756" i="8" s="1"/>
  <c r="AX771" i="8" s="1"/>
  <c r="AX786" i="8" s="1"/>
  <c r="Z549" i="8"/>
  <c r="Z564" i="8" s="1"/>
  <c r="Z579" i="8" s="1"/>
  <c r="Z594" i="8" s="1"/>
  <c r="CT613" i="8"/>
  <c r="CT628" i="8" s="1"/>
  <c r="CT643" i="8" s="1"/>
  <c r="CT658" i="8" s="1"/>
  <c r="BJ677" i="8"/>
  <c r="BJ692" i="8" s="1"/>
  <c r="BJ707" i="8" s="1"/>
  <c r="BJ722" i="8" s="1"/>
  <c r="BV485" i="8"/>
  <c r="AX549" i="8"/>
  <c r="AX564" i="8" s="1"/>
  <c r="AX579" i="8" s="1"/>
  <c r="AX594" i="8" s="1"/>
  <c r="B741" i="8"/>
  <c r="B756" i="8" s="1"/>
  <c r="B771" i="8" s="1"/>
  <c r="B786" i="8" s="1"/>
  <c r="B357" i="8"/>
  <c r="CH485" i="8"/>
  <c r="CT677" i="8"/>
  <c r="CT692" i="8" s="1"/>
  <c r="CT707" i="8" s="1"/>
  <c r="CT722" i="8" s="1"/>
  <c r="BV741" i="8"/>
  <c r="BV756" i="8" s="1"/>
  <c r="BV771" i="8" s="1"/>
  <c r="BV786" i="8" s="1"/>
  <c r="AL229" i="8"/>
  <c r="BV613" i="8"/>
  <c r="BV628" i="8" s="1"/>
  <c r="BV643" i="8" s="1"/>
  <c r="BV658" i="8" s="1"/>
  <c r="CH677" i="8"/>
  <c r="CH692" i="8" s="1"/>
  <c r="CH707" i="8" s="1"/>
  <c r="CH722" i="8" s="1"/>
  <c r="BJ549" i="8"/>
  <c r="BJ564" i="8" s="1"/>
  <c r="BJ579" i="8" s="1"/>
  <c r="BJ594" i="8" s="1"/>
  <c r="AL741" i="8"/>
  <c r="AL756" i="8" s="1"/>
  <c r="AL771" i="8" s="1"/>
  <c r="AL786" i="8" s="1"/>
  <c r="AX357" i="8"/>
  <c r="CT549" i="8"/>
  <c r="CT564" i="8" s="1"/>
  <c r="CT579" i="8" s="1"/>
  <c r="CT594" i="8" s="1"/>
  <c r="N293" i="8"/>
  <c r="AX613" i="8"/>
  <c r="AX628" i="8" s="1"/>
  <c r="AX643" i="8" s="1"/>
  <c r="AX658" i="8" s="1"/>
  <c r="AX293" i="8"/>
  <c r="CH741" i="8"/>
  <c r="CH756" i="8" s="1"/>
  <c r="CH771" i="8" s="1"/>
  <c r="CH786" i="8" s="1"/>
  <c r="J2119" i="8"/>
  <c r="J2121" i="8"/>
  <c r="F53" i="8" s="1"/>
  <c r="K2120" i="8"/>
  <c r="F2120" i="8"/>
  <c r="F45" i="8" s="1"/>
  <c r="J2120" i="8"/>
  <c r="O2121" i="8"/>
  <c r="H2119" i="8"/>
  <c r="C2121" i="8"/>
  <c r="D2121" i="8"/>
  <c r="L2119" i="8"/>
  <c r="N2119" i="8"/>
  <c r="K2119" i="8"/>
  <c r="G2119" i="8"/>
  <c r="M2119" i="8"/>
  <c r="F2119" i="8"/>
  <c r="E2120" i="8"/>
  <c r="I2119" i="8"/>
  <c r="S15" i="8" l="1"/>
  <c r="S17" i="8"/>
  <c r="S22" i="8"/>
  <c r="S24" i="8" s="1"/>
  <c r="S16" i="8"/>
  <c r="AY14" i="7"/>
  <c r="AY16" i="7"/>
  <c r="AY15" i="7"/>
  <c r="Q32" i="1"/>
  <c r="X34" i="7"/>
  <c r="Q32" i="8"/>
  <c r="R32" i="8" s="1"/>
  <c r="Q12" i="7"/>
  <c r="W31" i="7"/>
  <c r="W41" i="7" s="1"/>
  <c r="Q34" i="1"/>
  <c r="X36" i="7"/>
  <c r="Q14" i="7"/>
  <c r="Q34" i="8"/>
  <c r="CE155" i="8"/>
  <c r="Q20" i="7"/>
  <c r="Q41" i="1"/>
  <c r="Q24" i="1"/>
  <c r="AI155" i="8"/>
  <c r="F45" i="1"/>
  <c r="F37" i="6"/>
  <c r="L92" i="1"/>
  <c r="L91" i="1"/>
  <c r="L37" i="6" s="1"/>
  <c r="L2120" i="8"/>
  <c r="L90" i="1"/>
  <c r="R38" i="8"/>
  <c r="Q36" i="1"/>
  <c r="X38" i="7"/>
  <c r="Q36" i="8"/>
  <c r="Q16" i="7"/>
  <c r="W45" i="7"/>
  <c r="X43" i="7"/>
  <c r="CE173" i="8"/>
  <c r="CQ155" i="8"/>
  <c r="T46" i="8"/>
  <c r="K92" i="1"/>
  <c r="K91" i="1"/>
  <c r="K37" i="6" s="1"/>
  <c r="K90" i="1"/>
  <c r="E92" i="1"/>
  <c r="R33" i="8"/>
  <c r="DO155" i="8"/>
  <c r="W173" i="8"/>
  <c r="Q31" i="1"/>
  <c r="Q31" i="8"/>
  <c r="Q11" i="7"/>
  <c r="X33" i="7"/>
  <c r="P20" i="1"/>
  <c r="P26" i="1" s="1"/>
  <c r="P91" i="1" s="1"/>
  <c r="Q10" i="1"/>
  <c r="P9" i="7"/>
  <c r="P19" i="7" s="1"/>
  <c r="AK55" i="7" s="1"/>
  <c r="T20" i="1"/>
  <c r="E45" i="1"/>
  <c r="Q35" i="1"/>
  <c r="Q35" i="8"/>
  <c r="Q15" i="7"/>
  <c r="X37" i="7"/>
  <c r="CQ173" i="8"/>
  <c r="Q37" i="1"/>
  <c r="Q17" i="7"/>
  <c r="X39" i="7"/>
  <c r="Q37" i="8"/>
  <c r="R37" i="8" s="1"/>
  <c r="H91" i="1"/>
  <c r="H92" i="1"/>
  <c r="H90" i="1"/>
  <c r="H2120" i="8"/>
  <c r="H45" i="8" s="1"/>
  <c r="P45" i="8" s="1"/>
  <c r="O92" i="1"/>
  <c r="O91" i="1"/>
  <c r="O37" i="6" s="1"/>
  <c r="O90" i="1"/>
  <c r="O2120" i="8"/>
  <c r="K155" i="8"/>
  <c r="BS173" i="8"/>
  <c r="G92" i="1"/>
  <c r="P92" i="1" s="1"/>
  <c r="T92" i="1" s="1"/>
  <c r="G91" i="1"/>
  <c r="G90" i="1"/>
  <c r="F53" i="1" s="1"/>
  <c r="G2120" i="8"/>
  <c r="G45" i="8" s="1"/>
  <c r="BG173" i="8"/>
  <c r="M92" i="1"/>
  <c r="T46" i="1" s="1"/>
  <c r="H32" i="7" s="1"/>
  <c r="M91" i="1"/>
  <c r="M37" i="6" s="1"/>
  <c r="M90" i="1"/>
  <c r="N91" i="1"/>
  <c r="N37" i="6" s="1"/>
  <c r="N90" i="1"/>
  <c r="N92" i="1"/>
  <c r="M2120" i="8"/>
  <c r="AI173" i="8"/>
  <c r="Q30" i="1"/>
  <c r="X32" i="7"/>
  <c r="Q10" i="7"/>
  <c r="Q30" i="8"/>
  <c r="AX308" i="8"/>
  <c r="N308" i="8"/>
  <c r="AX372" i="8"/>
  <c r="AL244" i="8"/>
  <c r="CH500" i="8"/>
  <c r="B372" i="8"/>
  <c r="B1088" i="8"/>
  <c r="BV500" i="8"/>
  <c r="AX436" i="8"/>
  <c r="N372" i="8"/>
  <c r="B244" i="8"/>
  <c r="B956" i="8"/>
  <c r="B500" i="8"/>
  <c r="Z436" i="8"/>
  <c r="AL436" i="8"/>
  <c r="CT500" i="8"/>
  <c r="DF308" i="8"/>
  <c r="CH372" i="8"/>
  <c r="CT308" i="8"/>
  <c r="Z500" i="8"/>
  <c r="AL308" i="8"/>
  <c r="DF500" i="8"/>
  <c r="N500" i="8"/>
  <c r="BJ436" i="8"/>
  <c r="BV372" i="8"/>
  <c r="AX500" i="8"/>
  <c r="Z308" i="8"/>
  <c r="CH436" i="8"/>
  <c r="CT372" i="8"/>
  <c r="DF436" i="8"/>
  <c r="BV244" i="8"/>
  <c r="AL500" i="8"/>
  <c r="N436" i="8"/>
  <c r="AL372" i="8"/>
  <c r="BJ308" i="8"/>
  <c r="AX244" i="8"/>
  <c r="CT436" i="8"/>
  <c r="BJ500" i="8"/>
  <c r="DF372" i="8"/>
  <c r="DF244" i="8"/>
  <c r="Z372" i="8"/>
  <c r="CH308" i="8"/>
  <c r="BV308" i="8"/>
  <c r="BV436" i="8"/>
  <c r="B436" i="8"/>
  <c r="BJ372" i="8"/>
  <c r="B308" i="8"/>
  <c r="BJ244" i="8"/>
  <c r="CT244" i="8"/>
  <c r="Z244" i="8"/>
  <c r="CH244" i="8"/>
  <c r="N244" i="8"/>
  <c r="B376" i="8"/>
  <c r="B391" i="8" s="1"/>
  <c r="B406" i="8" s="1"/>
  <c r="B1092" i="8"/>
  <c r="B1108" i="8" s="1"/>
  <c r="B1124" i="8" s="1"/>
  <c r="B1140" i="8" s="1"/>
  <c r="B248" i="8"/>
  <c r="B263" i="8" s="1"/>
  <c r="B278" i="8" s="1"/>
  <c r="B960" i="8"/>
  <c r="B380" i="8"/>
  <c r="B395" i="8" s="1"/>
  <c r="B410" i="8" s="1"/>
  <c r="B1096" i="8"/>
  <c r="B1112" i="8" s="1"/>
  <c r="B1128" i="8" s="1"/>
  <c r="B1144" i="8" s="1"/>
  <c r="B252" i="8"/>
  <c r="B267" i="8" s="1"/>
  <c r="B282" i="8" s="1"/>
  <c r="B964" i="8"/>
  <c r="B245" i="8"/>
  <c r="B260" i="8" s="1"/>
  <c r="B275" i="8" s="1"/>
  <c r="B957" i="8"/>
  <c r="B373" i="8"/>
  <c r="B388" i="8" s="1"/>
  <c r="B403" i="8" s="1"/>
  <c r="B1089" i="8"/>
  <c r="B1105" i="8" s="1"/>
  <c r="B1121" i="8" s="1"/>
  <c r="B1137" i="8" s="1"/>
  <c r="B379" i="8"/>
  <c r="B394" i="8" s="1"/>
  <c r="B409" i="8" s="1"/>
  <c r="B1095" i="8"/>
  <c r="B1111" i="8" s="1"/>
  <c r="B1127" i="8" s="1"/>
  <c r="B1143" i="8" s="1"/>
  <c r="B251" i="8"/>
  <c r="B266" i="8" s="1"/>
  <c r="B281" i="8" s="1"/>
  <c r="B963" i="8"/>
  <c r="B381" i="8"/>
  <c r="B396" i="8" s="1"/>
  <c r="B411" i="8" s="1"/>
  <c r="B1097" i="8"/>
  <c r="B1113" i="8" s="1"/>
  <c r="B1129" i="8" s="1"/>
  <c r="B1145" i="8" s="1"/>
  <c r="B253" i="8"/>
  <c r="B268" i="8" s="1"/>
  <c r="B283" i="8" s="1"/>
  <c r="B965" i="8"/>
  <c r="CT694" i="8"/>
  <c r="CH694" i="8"/>
  <c r="CH630" i="8"/>
  <c r="B694" i="8"/>
  <c r="BJ630" i="8"/>
  <c r="AX630" i="8"/>
  <c r="DF566" i="8"/>
  <c r="BV694" i="8"/>
  <c r="N630" i="8"/>
  <c r="BJ694" i="8"/>
  <c r="BV630" i="8"/>
  <c r="DF694" i="8"/>
  <c r="N566" i="8"/>
  <c r="B630" i="8"/>
  <c r="CT566" i="8"/>
  <c r="Z694" i="8"/>
  <c r="CT630" i="8"/>
  <c r="N694" i="8"/>
  <c r="Z566" i="8"/>
  <c r="Z630" i="8"/>
  <c r="AX566" i="8"/>
  <c r="AL694" i="8"/>
  <c r="AL566" i="8"/>
  <c r="BJ566" i="8"/>
  <c r="B374" i="8"/>
  <c r="B389" i="8" s="1"/>
  <c r="B404" i="8" s="1"/>
  <c r="B1090" i="8"/>
  <c r="B1106" i="8" s="1"/>
  <c r="B1122" i="8" s="1"/>
  <c r="B1138" i="8" s="1"/>
  <c r="CH566" i="8"/>
  <c r="AX694" i="8"/>
  <c r="DF630" i="8"/>
  <c r="AL630" i="8"/>
  <c r="B566" i="8"/>
  <c r="BV566" i="8"/>
  <c r="B246" i="8"/>
  <c r="B261" i="8" s="1"/>
  <c r="B276" i="8" s="1"/>
  <c r="B958" i="8"/>
  <c r="B375" i="8"/>
  <c r="B390" i="8" s="1"/>
  <c r="B405" i="8" s="1"/>
  <c r="B1091" i="8"/>
  <c r="B1107" i="8" s="1"/>
  <c r="B1123" i="8" s="1"/>
  <c r="B1139" i="8" s="1"/>
  <c r="B247" i="8"/>
  <c r="B262" i="8" s="1"/>
  <c r="B277" i="8" s="1"/>
  <c r="B959" i="8"/>
  <c r="B378" i="8"/>
  <c r="B393" i="8" s="1"/>
  <c r="B408" i="8" s="1"/>
  <c r="B1094" i="8"/>
  <c r="B1110" i="8" s="1"/>
  <c r="B1126" i="8" s="1"/>
  <c r="B1142" i="8" s="1"/>
  <c r="B250" i="8"/>
  <c r="B265" i="8" s="1"/>
  <c r="B280" i="8" s="1"/>
  <c r="B962" i="8"/>
  <c r="B377" i="8"/>
  <c r="B392" i="8" s="1"/>
  <c r="B407" i="8" s="1"/>
  <c r="B1093" i="8"/>
  <c r="B1109" i="8" s="1"/>
  <c r="B1125" i="8" s="1"/>
  <c r="B1141" i="8" s="1"/>
  <c r="B249" i="8"/>
  <c r="B264" i="8" s="1"/>
  <c r="B279" i="8" s="1"/>
  <c r="B961" i="8"/>
  <c r="AU166" i="8"/>
  <c r="AU163" i="8"/>
  <c r="AU162" i="8"/>
  <c r="AU167" i="8"/>
  <c r="AU169" i="8"/>
  <c r="AU171" i="8"/>
  <c r="AU164" i="8"/>
  <c r="AU168" i="8"/>
  <c r="AU154" i="8"/>
  <c r="AU152" i="8"/>
  <c r="AU170" i="8"/>
  <c r="AU165" i="8"/>
  <c r="AU153" i="8"/>
  <c r="AU159" i="8"/>
  <c r="AU157" i="8"/>
  <c r="AU158" i="8"/>
  <c r="AU161" i="8"/>
  <c r="AU156" i="8"/>
  <c r="AU172" i="8"/>
  <c r="AU160" i="8"/>
  <c r="Q20" i="8"/>
  <c r="Q26" i="8" s="1"/>
  <c r="R15" i="8" s="1"/>
  <c r="W164" i="8"/>
  <c r="W167" i="8"/>
  <c r="W166" i="8"/>
  <c r="W154" i="8"/>
  <c r="W162" i="8"/>
  <c r="W168" i="8"/>
  <c r="W169" i="8"/>
  <c r="W163" i="8"/>
  <c r="W170" i="8"/>
  <c r="W171" i="8"/>
  <c r="W165" i="8"/>
  <c r="W160" i="8"/>
  <c r="W153" i="8"/>
  <c r="W152" i="8"/>
  <c r="W157" i="8"/>
  <c r="W158" i="8"/>
  <c r="W159" i="8"/>
  <c r="W161" i="8"/>
  <c r="W156" i="8"/>
  <c r="W172" i="8"/>
  <c r="BG166" i="8"/>
  <c r="BG163" i="8"/>
  <c r="BG164" i="8"/>
  <c r="BG162" i="8"/>
  <c r="BG167" i="8"/>
  <c r="BG169" i="8"/>
  <c r="BG168" i="8"/>
  <c r="BG165" i="8"/>
  <c r="BG170" i="8"/>
  <c r="BG171" i="8"/>
  <c r="BG153" i="8"/>
  <c r="BG154" i="8"/>
  <c r="BG152" i="8"/>
  <c r="BG159" i="8"/>
  <c r="BG157" i="8"/>
  <c r="BG161" i="8"/>
  <c r="BG156" i="8"/>
  <c r="BG158" i="8"/>
  <c r="BG160" i="8"/>
  <c r="BG172" i="8"/>
  <c r="K163" i="8"/>
  <c r="K162" i="8"/>
  <c r="K167" i="8"/>
  <c r="K164" i="8"/>
  <c r="K169" i="8"/>
  <c r="K168" i="8"/>
  <c r="K152" i="8"/>
  <c r="K166" i="8"/>
  <c r="K154" i="8"/>
  <c r="K171" i="8"/>
  <c r="K170" i="8"/>
  <c r="K153" i="8"/>
  <c r="K165" i="8"/>
  <c r="K160" i="8"/>
  <c r="K157" i="8"/>
  <c r="K159" i="8"/>
  <c r="K172" i="8"/>
  <c r="K158" i="8"/>
  <c r="K161" i="8"/>
  <c r="K156" i="8"/>
  <c r="CE167" i="8"/>
  <c r="CE163" i="8"/>
  <c r="CE162" i="8"/>
  <c r="CE164" i="8"/>
  <c r="CE168" i="8"/>
  <c r="CE166" i="8"/>
  <c r="CE171" i="8"/>
  <c r="CE153" i="8"/>
  <c r="CE152" i="8"/>
  <c r="CE165" i="8"/>
  <c r="CE170" i="8"/>
  <c r="CE154" i="8"/>
  <c r="CE169" i="8"/>
  <c r="CE157" i="8"/>
  <c r="CE156" i="8"/>
  <c r="CE161" i="8"/>
  <c r="CE160" i="8"/>
  <c r="CE159" i="8"/>
  <c r="CE158" i="8"/>
  <c r="CE172" i="8"/>
  <c r="BS163" i="8"/>
  <c r="BS162" i="8"/>
  <c r="BS164" i="8"/>
  <c r="BS167" i="8"/>
  <c r="BS168" i="8"/>
  <c r="BS166" i="8"/>
  <c r="BS169" i="8"/>
  <c r="BS152" i="8"/>
  <c r="BS171" i="8"/>
  <c r="BS170" i="8"/>
  <c r="BS154" i="8"/>
  <c r="BS153" i="8"/>
  <c r="BS165" i="8"/>
  <c r="BS159" i="8"/>
  <c r="BS157" i="8"/>
  <c r="BS161" i="8"/>
  <c r="BS160" i="8"/>
  <c r="BS158" i="8"/>
  <c r="BS156" i="8"/>
  <c r="BS172" i="8"/>
  <c r="CQ167" i="8"/>
  <c r="CQ164" i="8"/>
  <c r="CQ168" i="8"/>
  <c r="CQ166" i="8"/>
  <c r="CQ163" i="8"/>
  <c r="CQ162" i="8"/>
  <c r="CQ153" i="8"/>
  <c r="CQ169" i="8"/>
  <c r="CQ160" i="8"/>
  <c r="CQ152" i="8"/>
  <c r="CQ171" i="8"/>
  <c r="CQ154" i="8"/>
  <c r="CQ170" i="8"/>
  <c r="CQ165" i="8"/>
  <c r="CQ157" i="8"/>
  <c r="CQ156" i="8"/>
  <c r="CQ158" i="8"/>
  <c r="CQ161" i="8"/>
  <c r="CQ172" i="8"/>
  <c r="CQ159" i="8"/>
  <c r="CI88" i="8"/>
  <c r="CI89" i="8" s="1"/>
  <c r="C88" i="8"/>
  <c r="C89" i="8" s="1"/>
  <c r="BW88" i="8"/>
  <c r="BW89" i="8" s="1"/>
  <c r="CU88" i="8"/>
  <c r="CU89" i="8" s="1"/>
  <c r="O88" i="8"/>
  <c r="O89" i="8" s="1"/>
  <c r="AY88" i="8"/>
  <c r="AY89" i="8" s="1"/>
  <c r="DG88" i="8"/>
  <c r="DG89" i="8" s="1"/>
  <c r="BK88" i="8"/>
  <c r="BK89" i="8" s="1"/>
  <c r="AM88" i="8"/>
  <c r="AM89" i="8" s="1"/>
  <c r="AA88" i="8"/>
  <c r="AA89" i="8" s="1"/>
  <c r="DO163" i="8"/>
  <c r="DO167" i="8"/>
  <c r="DO162" i="8"/>
  <c r="DO166" i="8"/>
  <c r="DO169" i="8"/>
  <c r="DO168" i="8"/>
  <c r="DO164" i="8"/>
  <c r="DO154" i="8"/>
  <c r="DO153" i="8"/>
  <c r="DO171" i="8"/>
  <c r="DO170" i="8"/>
  <c r="DO152" i="8"/>
  <c r="DO174" i="8" s="1"/>
  <c r="DO160" i="8"/>
  <c r="DO165" i="8"/>
  <c r="DO157" i="8"/>
  <c r="DO161" i="8"/>
  <c r="DO158" i="8"/>
  <c r="DO172" i="8"/>
  <c r="DO159" i="8"/>
  <c r="DO156" i="8"/>
  <c r="DC163" i="8"/>
  <c r="DC162" i="8"/>
  <c r="DC166" i="8"/>
  <c r="DC168" i="8"/>
  <c r="DC169" i="8"/>
  <c r="DC164" i="8"/>
  <c r="DC167" i="8"/>
  <c r="DC165" i="8"/>
  <c r="DC171" i="8"/>
  <c r="DC154" i="8"/>
  <c r="DC170" i="8"/>
  <c r="DC152" i="8"/>
  <c r="DC153" i="8"/>
  <c r="DC159" i="8"/>
  <c r="DC161" i="8"/>
  <c r="DC157" i="8"/>
  <c r="DC156" i="8"/>
  <c r="DC172" i="8"/>
  <c r="DC158" i="8"/>
  <c r="DC160" i="8"/>
  <c r="AI163" i="8"/>
  <c r="AI164" i="8"/>
  <c r="AI167" i="8"/>
  <c r="AI166" i="8"/>
  <c r="AI162" i="8"/>
  <c r="AI168" i="8"/>
  <c r="AI169" i="8"/>
  <c r="AI170" i="8"/>
  <c r="AI171" i="8"/>
  <c r="AI154" i="8"/>
  <c r="AI165" i="8"/>
  <c r="AI152" i="8"/>
  <c r="AI153" i="8"/>
  <c r="AI172" i="8"/>
  <c r="AI156" i="8"/>
  <c r="AI160" i="8"/>
  <c r="AI158" i="8"/>
  <c r="AI157" i="8"/>
  <c r="AI159" i="8"/>
  <c r="AI161" i="8"/>
  <c r="C1585" i="8"/>
  <c r="G1572" i="8"/>
  <c r="F1601" i="8" s="1"/>
  <c r="G1568" i="8"/>
  <c r="F1597" i="8" s="1"/>
  <c r="G1569" i="8"/>
  <c r="F1598" i="8" s="1"/>
  <c r="G1570" i="8"/>
  <c r="F1599" i="8" s="1"/>
  <c r="G1555" i="8"/>
  <c r="F1584" i="8" s="1"/>
  <c r="G1571" i="8"/>
  <c r="F1600" i="8" s="1"/>
  <c r="G1554" i="8"/>
  <c r="G1556" i="8"/>
  <c r="F1585" i="8" s="1"/>
  <c r="G1559" i="8"/>
  <c r="F1588" i="8" s="1"/>
  <c r="G1562" i="8"/>
  <c r="F1591" i="8" s="1"/>
  <c r="G1560" i="8"/>
  <c r="F1589" i="8" s="1"/>
  <c r="G1564" i="8"/>
  <c r="F1593" i="8" s="1"/>
  <c r="G1565" i="8"/>
  <c r="F1594" i="8" s="1"/>
  <c r="G1573" i="8"/>
  <c r="F1602" i="8" s="1"/>
  <c r="G1574" i="8"/>
  <c r="F1603" i="8" s="1"/>
  <c r="G1566" i="8"/>
  <c r="F1595" i="8" s="1"/>
  <c r="G1558" i="8"/>
  <c r="F1587" i="8" s="1"/>
  <c r="G1563" i="8"/>
  <c r="F1592" i="8" s="1"/>
  <c r="G1561" i="8"/>
  <c r="F1590" i="8" s="1"/>
  <c r="G1567" i="8"/>
  <c r="F1596" i="8" s="1"/>
  <c r="K1557" i="8"/>
  <c r="K1566" i="8"/>
  <c r="K1567" i="8"/>
  <c r="K1554" i="8"/>
  <c r="K1556" i="8"/>
  <c r="K1562" i="8"/>
  <c r="K1563" i="8"/>
  <c r="K1558" i="8"/>
  <c r="K1555" i="8"/>
  <c r="K1564" i="8"/>
  <c r="D1289" i="8"/>
  <c r="C1305" i="8"/>
  <c r="C1321" i="8" s="1"/>
  <c r="C1337" i="8" s="1"/>
  <c r="X19" i="7"/>
  <c r="X27" i="7" s="1"/>
  <c r="AY18" i="7"/>
  <c r="AY13" i="7"/>
  <c r="AY17" i="7"/>
  <c r="AY10" i="7"/>
  <c r="AY12" i="7"/>
  <c r="AY9" i="7"/>
  <c r="AY11" i="7"/>
  <c r="AY21" i="7"/>
  <c r="AY24" i="7" s="1"/>
  <c r="D1355" i="8"/>
  <c r="C1371" i="8"/>
  <c r="C1387" i="8" s="1"/>
  <c r="C1403" i="8" s="1"/>
  <c r="D1421" i="8"/>
  <c r="C1437" i="8"/>
  <c r="C1453" i="8" s="1"/>
  <c r="C1469" i="8" s="1"/>
  <c r="R41" i="8"/>
  <c r="R43" i="8" s="1"/>
  <c r="Q43" i="8"/>
  <c r="S19" i="8"/>
  <c r="S13" i="8"/>
  <c r="S11" i="8"/>
  <c r="S14" i="8"/>
  <c r="S18" i="8"/>
  <c r="S10" i="8"/>
  <c r="S12" i="8"/>
  <c r="P2120" i="8"/>
  <c r="O2119" i="8"/>
  <c r="E2121" i="8"/>
  <c r="S19" i="1" l="1"/>
  <c r="S22" i="1"/>
  <c r="S17" i="1"/>
  <c r="S13" i="1"/>
  <c r="S18" i="1"/>
  <c r="S10" i="1"/>
  <c r="S12" i="1"/>
  <c r="S11" i="1"/>
  <c r="S16" i="1"/>
  <c r="S14" i="1"/>
  <c r="S15" i="1"/>
  <c r="N38" i="6"/>
  <c r="G1604" i="8"/>
  <c r="M1561" i="8"/>
  <c r="M1559" i="8"/>
  <c r="M1560" i="8"/>
  <c r="G1586" i="8"/>
  <c r="Q43" i="1"/>
  <c r="L38" i="6" s="1"/>
  <c r="R30" i="8"/>
  <c r="Q29" i="1"/>
  <c r="Q20" i="1"/>
  <c r="Q9" i="7"/>
  <c r="X31" i="7"/>
  <c r="Q29" i="8"/>
  <c r="R34" i="8"/>
  <c r="CQ174" i="8"/>
  <c r="W174" i="8"/>
  <c r="O38" i="6"/>
  <c r="DC174" i="8"/>
  <c r="BS174" i="8"/>
  <c r="Y16" i="7"/>
  <c r="Y15" i="7"/>
  <c r="Y14" i="7"/>
  <c r="X45" i="7"/>
  <c r="Y43" i="7"/>
  <c r="Y45" i="7" s="1"/>
  <c r="S20" i="8"/>
  <c r="S26" i="8" s="1"/>
  <c r="AI174" i="8"/>
  <c r="K174" i="8"/>
  <c r="G45" i="1"/>
  <c r="G22" i="7" s="1"/>
  <c r="AB55" i="7" s="1"/>
  <c r="G37" i="6"/>
  <c r="G38" i="6" s="1"/>
  <c r="R31" i="8"/>
  <c r="F22" i="7"/>
  <c r="AA55" i="7" s="1"/>
  <c r="P45" i="1"/>
  <c r="R35" i="8"/>
  <c r="H37" i="6"/>
  <c r="H45" i="1"/>
  <c r="H22" i="7" s="1"/>
  <c r="AC55" i="7" s="1"/>
  <c r="R22" i="8"/>
  <c r="R24" i="8" s="1"/>
  <c r="R17" i="8"/>
  <c r="R16" i="8"/>
  <c r="AU174" i="8"/>
  <c r="R36" i="8"/>
  <c r="AY19" i="7"/>
  <c r="AY27" i="7" s="1"/>
  <c r="CE174" i="8"/>
  <c r="BG174" i="8"/>
  <c r="E1421" i="8"/>
  <c r="D1437" i="8"/>
  <c r="D1453" i="8" s="1"/>
  <c r="D1469" i="8" s="1"/>
  <c r="E1355" i="8"/>
  <c r="D1371" i="8"/>
  <c r="D1387" i="8" s="1"/>
  <c r="D1403" i="8" s="1"/>
  <c r="Y18" i="7"/>
  <c r="Y11" i="7"/>
  <c r="Y13" i="7"/>
  <c r="Y12" i="7"/>
  <c r="Y10" i="7"/>
  <c r="Y17" i="7"/>
  <c r="Y21" i="7"/>
  <c r="Y24" i="7" s="1"/>
  <c r="Y9" i="7"/>
  <c r="E1289" i="8"/>
  <c r="D1305" i="8"/>
  <c r="D1321" i="8" s="1"/>
  <c r="D1337" i="8" s="1"/>
  <c r="G1576" i="8"/>
  <c r="F1583" i="8"/>
  <c r="F1606" i="8" s="1"/>
  <c r="M1554" i="8"/>
  <c r="M1555" i="8"/>
  <c r="M1556" i="8"/>
  <c r="M1557" i="8"/>
  <c r="M1558" i="8"/>
  <c r="M1562" i="8"/>
  <c r="G1585" i="8"/>
  <c r="G1589" i="8"/>
  <c r="G1597" i="8"/>
  <c r="C1587" i="8"/>
  <c r="G1594" i="8"/>
  <c r="G1598" i="8"/>
  <c r="G1583" i="8"/>
  <c r="G1584" i="8"/>
  <c r="M1563" i="8"/>
  <c r="G1588" i="8"/>
  <c r="G1592" i="8"/>
  <c r="G1596" i="8"/>
  <c r="G1600" i="8"/>
  <c r="G1593" i="8"/>
  <c r="G1601" i="8"/>
  <c r="G1590" i="8"/>
  <c r="G1602" i="8"/>
  <c r="M1566" i="8"/>
  <c r="G1605" i="8"/>
  <c r="G1603" i="8"/>
  <c r="G1591" i="8"/>
  <c r="G1595" i="8"/>
  <c r="G1599" i="8"/>
  <c r="G1587" i="8"/>
  <c r="M1564" i="8"/>
  <c r="AA90" i="8"/>
  <c r="AA91" i="8" s="1"/>
  <c r="AM90" i="8"/>
  <c r="AM91" i="8" s="1"/>
  <c r="BK90" i="8"/>
  <c r="BK91" i="8" s="1"/>
  <c r="DG90" i="8"/>
  <c r="DG91" i="8" s="1"/>
  <c r="AY90" i="8"/>
  <c r="AY91" i="8" s="1"/>
  <c r="O91" i="8"/>
  <c r="O90" i="8"/>
  <c r="CU90" i="8"/>
  <c r="CU91" i="8" s="1"/>
  <c r="BW90" i="8"/>
  <c r="BW91" i="8" s="1"/>
  <c r="C90" i="8"/>
  <c r="C91" i="8" s="1"/>
  <c r="CI90" i="8"/>
  <c r="CI91" i="8" s="1"/>
  <c r="T47" i="8"/>
  <c r="R19" i="8"/>
  <c r="R14" i="8"/>
  <c r="R13" i="8"/>
  <c r="R12" i="8"/>
  <c r="R18" i="8"/>
  <c r="R11" i="8"/>
  <c r="R10" i="8"/>
  <c r="B977" i="8"/>
  <c r="B993" i="8" s="1"/>
  <c r="B1009" i="8" s="1"/>
  <c r="B1027" i="8"/>
  <c r="B978" i="8"/>
  <c r="B994" i="8" s="1"/>
  <c r="B1010" i="8" s="1"/>
  <c r="B1028" i="8"/>
  <c r="B975" i="8"/>
  <c r="B991" i="8" s="1"/>
  <c r="B1007" i="8" s="1"/>
  <c r="B1025" i="8"/>
  <c r="B974" i="8"/>
  <c r="B990" i="8" s="1"/>
  <c r="B1006" i="8" s="1"/>
  <c r="B1024" i="8"/>
  <c r="BV581" i="8"/>
  <c r="B581" i="8"/>
  <c r="AL645" i="8"/>
  <c r="DF645" i="8"/>
  <c r="AX709" i="8"/>
  <c r="CH581" i="8"/>
  <c r="BJ581" i="8"/>
  <c r="AL581" i="8"/>
  <c r="AL709" i="8"/>
  <c r="AX581" i="8"/>
  <c r="Z645" i="8"/>
  <c r="Z581" i="8"/>
  <c r="N709" i="8"/>
  <c r="CT645" i="8"/>
  <c r="Z709" i="8"/>
  <c r="CT581" i="8"/>
  <c r="B645" i="8"/>
  <c r="N581" i="8"/>
  <c r="DF709" i="8"/>
  <c r="BV645" i="8"/>
  <c r="BJ709" i="8"/>
  <c r="N645" i="8"/>
  <c r="BV709" i="8"/>
  <c r="DF581" i="8"/>
  <c r="AX645" i="8"/>
  <c r="BJ645" i="8"/>
  <c r="B709" i="8"/>
  <c r="CH645" i="8"/>
  <c r="CH709" i="8"/>
  <c r="CT709" i="8"/>
  <c r="B981" i="8"/>
  <c r="B997" i="8" s="1"/>
  <c r="B1013" i="8" s="1"/>
  <c r="B1031" i="8"/>
  <c r="B979" i="8"/>
  <c r="B995" i="8" s="1"/>
  <c r="B1011" i="8" s="1"/>
  <c r="B1029" i="8"/>
  <c r="B973" i="8"/>
  <c r="B989" i="8" s="1"/>
  <c r="B1005" i="8" s="1"/>
  <c r="B1023" i="8"/>
  <c r="B980" i="8"/>
  <c r="B996" i="8" s="1"/>
  <c r="B1012" i="8" s="1"/>
  <c r="B1030" i="8"/>
  <c r="B976" i="8"/>
  <c r="B992" i="8" s="1"/>
  <c r="B1008" i="8" s="1"/>
  <c r="B1026" i="8"/>
  <c r="N259" i="8"/>
  <c r="CH259" i="8"/>
  <c r="Z259" i="8"/>
  <c r="CT259" i="8"/>
  <c r="BJ259" i="8"/>
  <c r="B323" i="8"/>
  <c r="BJ387" i="8"/>
  <c r="B451" i="8"/>
  <c r="BV451" i="8"/>
  <c r="BV323" i="8"/>
  <c r="CH323" i="8"/>
  <c r="Z387" i="8"/>
  <c r="DF259" i="8"/>
  <c r="DF387" i="8"/>
  <c r="BJ515" i="8"/>
  <c r="CT451" i="8"/>
  <c r="AX259" i="8"/>
  <c r="BJ323" i="8"/>
  <c r="AL387" i="8"/>
  <c r="N451" i="8"/>
  <c r="AL515" i="8"/>
  <c r="BV259" i="8"/>
  <c r="DF451" i="8"/>
  <c r="CT387" i="8"/>
  <c r="CH451" i="8"/>
  <c r="Z323" i="8"/>
  <c r="AX515" i="8"/>
  <c r="BV387" i="8"/>
  <c r="BJ451" i="8"/>
  <c r="N515" i="8"/>
  <c r="DF515" i="8"/>
  <c r="AL323" i="8"/>
  <c r="Z515" i="8"/>
  <c r="CT323" i="8"/>
  <c r="CH387" i="8"/>
  <c r="DF323" i="8"/>
  <c r="CT515" i="8"/>
  <c r="AL451" i="8"/>
  <c r="Z451" i="8"/>
  <c r="B515" i="8"/>
  <c r="B972" i="8"/>
  <c r="B1022" i="8"/>
  <c r="B259" i="8"/>
  <c r="N387" i="8"/>
  <c r="AX451" i="8"/>
  <c r="BV515" i="8"/>
  <c r="B1104" i="8"/>
  <c r="B387" i="8"/>
  <c r="CH515" i="8"/>
  <c r="AL259" i="8"/>
  <c r="AX387" i="8"/>
  <c r="N323" i="8"/>
  <c r="AX323" i="8"/>
  <c r="T2121" i="8"/>
  <c r="CT724" i="8" l="1"/>
  <c r="BV724" i="8"/>
  <c r="E1636" i="8"/>
  <c r="K1636" i="8"/>
  <c r="C1636" i="8"/>
  <c r="D1636" i="8"/>
  <c r="G1636" i="8"/>
  <c r="H1636" i="8"/>
  <c r="F1636" i="8"/>
  <c r="I1636" i="8"/>
  <c r="J1636" i="8"/>
  <c r="L1636" i="8"/>
  <c r="BJ724" i="8"/>
  <c r="AL724" i="8"/>
  <c r="Q19" i="7"/>
  <c r="Q22" i="7" s="1"/>
  <c r="Q26" i="1"/>
  <c r="S34" i="1"/>
  <c r="S34" i="8"/>
  <c r="R14" i="7"/>
  <c r="F38" i="6"/>
  <c r="Q39" i="1"/>
  <c r="Q91" i="1" s="1"/>
  <c r="U31" i="6" s="1"/>
  <c r="R29" i="1"/>
  <c r="S33" i="1"/>
  <c r="S33" i="8"/>
  <c r="R13" i="7"/>
  <c r="DF724" i="8"/>
  <c r="P37" i="6"/>
  <c r="K38" i="6"/>
  <c r="S35" i="1"/>
  <c r="R15" i="7"/>
  <c r="S35" i="8"/>
  <c r="AX724" i="8"/>
  <c r="R20" i="8"/>
  <c r="R26" i="8" s="1"/>
  <c r="S20" i="1"/>
  <c r="S29" i="1"/>
  <c r="R9" i="7"/>
  <c r="S29" i="8"/>
  <c r="Z724" i="8"/>
  <c r="I1618" i="8"/>
  <c r="I1645" i="8" s="1"/>
  <c r="J1618" i="8"/>
  <c r="J1645" i="8" s="1"/>
  <c r="C1618" i="8"/>
  <c r="C1645" i="8" s="1"/>
  <c r="K1618" i="8"/>
  <c r="K1645" i="8" s="1"/>
  <c r="D1618" i="8"/>
  <c r="D1645" i="8" s="1"/>
  <c r="F1618" i="8"/>
  <c r="F1645" i="8" s="1"/>
  <c r="G1618" i="8"/>
  <c r="G1645" i="8" s="1"/>
  <c r="H1618" i="8"/>
  <c r="H1645" i="8" s="1"/>
  <c r="L1618" i="8"/>
  <c r="L1645" i="8" s="1"/>
  <c r="E1618" i="8"/>
  <c r="E1645" i="8" s="1"/>
  <c r="S37" i="1"/>
  <c r="S37" i="8"/>
  <c r="R17" i="7"/>
  <c r="J1719" i="8"/>
  <c r="E1719" i="8"/>
  <c r="K1719" i="8"/>
  <c r="G1719" i="8"/>
  <c r="F1719" i="8"/>
  <c r="L1719" i="8"/>
  <c r="D1719" i="8"/>
  <c r="C1719" i="8"/>
  <c r="H1719" i="8"/>
  <c r="I1719" i="8"/>
  <c r="S32" i="1"/>
  <c r="R12" i="7"/>
  <c r="S32" i="8"/>
  <c r="CH724" i="8"/>
  <c r="Y19" i="7"/>
  <c r="Y27" i="7" s="1"/>
  <c r="J38" i="6"/>
  <c r="I38" i="6"/>
  <c r="M38" i="6"/>
  <c r="Q39" i="8"/>
  <c r="Q2120" i="8" s="1"/>
  <c r="R29" i="8"/>
  <c r="R39" i="8" s="1"/>
  <c r="R45" i="8" s="1"/>
  <c r="K1710" i="8"/>
  <c r="G1710" i="8"/>
  <c r="E1710" i="8"/>
  <c r="F1710" i="8"/>
  <c r="L1710" i="8"/>
  <c r="I1710" i="8"/>
  <c r="J1710" i="8"/>
  <c r="H1710" i="8"/>
  <c r="D1710" i="8"/>
  <c r="C1710" i="8"/>
  <c r="S36" i="1"/>
  <c r="R16" i="7"/>
  <c r="S36" i="8"/>
  <c r="S30" i="1"/>
  <c r="S30" i="8"/>
  <c r="R10" i="7"/>
  <c r="S31" i="1"/>
  <c r="S31" i="8"/>
  <c r="R11" i="7"/>
  <c r="H38" i="6"/>
  <c r="Y31" i="7"/>
  <c r="X41" i="7"/>
  <c r="X47" i="7" s="1"/>
  <c r="K1728" i="8"/>
  <c r="F1728" i="8"/>
  <c r="L1728" i="8"/>
  <c r="G1728" i="8"/>
  <c r="C1728" i="8"/>
  <c r="I1728" i="8"/>
  <c r="D1728" i="8"/>
  <c r="J1728" i="8"/>
  <c r="H1728" i="8"/>
  <c r="E1728" i="8"/>
  <c r="S41" i="8"/>
  <c r="S43" i="8" s="1"/>
  <c r="S41" i="1"/>
  <c r="S43" i="1" s="1"/>
  <c r="S24" i="1"/>
  <c r="R20" i="7" s="1"/>
  <c r="S38" i="1"/>
  <c r="R18" i="7"/>
  <c r="S38" i="8"/>
  <c r="AX338" i="8"/>
  <c r="N338" i="8"/>
  <c r="AX402" i="8"/>
  <c r="AL274" i="8"/>
  <c r="CH530" i="8"/>
  <c r="B402" i="8"/>
  <c r="B1120" i="8"/>
  <c r="BV530" i="8"/>
  <c r="AX466" i="8"/>
  <c r="N402" i="8"/>
  <c r="B274" i="8"/>
  <c r="B1038" i="8"/>
  <c r="B1154" i="8"/>
  <c r="B988" i="8"/>
  <c r="B530" i="8"/>
  <c r="Z466" i="8"/>
  <c r="AL466" i="8"/>
  <c r="CT530" i="8"/>
  <c r="DF338" i="8"/>
  <c r="CH402" i="8"/>
  <c r="CT338" i="8"/>
  <c r="Z530" i="8"/>
  <c r="AL338" i="8"/>
  <c r="DF530" i="8"/>
  <c r="N530" i="8"/>
  <c r="BJ466" i="8"/>
  <c r="BV402" i="8"/>
  <c r="AX530" i="8"/>
  <c r="Z338" i="8"/>
  <c r="CH466" i="8"/>
  <c r="CT402" i="8"/>
  <c r="DF466" i="8"/>
  <c r="BV274" i="8"/>
  <c r="AL530" i="8"/>
  <c r="N466" i="8"/>
  <c r="AL402" i="8"/>
  <c r="BJ338" i="8"/>
  <c r="AX274" i="8"/>
  <c r="CT466" i="8"/>
  <c r="BJ530" i="8"/>
  <c r="DF402" i="8"/>
  <c r="DF274" i="8"/>
  <c r="Z402" i="8"/>
  <c r="CH338" i="8"/>
  <c r="BV338" i="8"/>
  <c r="BV466" i="8"/>
  <c r="B466" i="8"/>
  <c r="BJ402" i="8"/>
  <c r="B338" i="8"/>
  <c r="BJ274" i="8"/>
  <c r="CT274" i="8"/>
  <c r="Z274" i="8"/>
  <c r="CH274" i="8"/>
  <c r="N274" i="8"/>
  <c r="B1042" i="8"/>
  <c r="B1058" i="8" s="1"/>
  <c r="B1074" i="8" s="1"/>
  <c r="B1158" i="8"/>
  <c r="B1046" i="8"/>
  <c r="B1062" i="8" s="1"/>
  <c r="B1078" i="8" s="1"/>
  <c r="B1162" i="8"/>
  <c r="B1039" i="8"/>
  <c r="B1055" i="8" s="1"/>
  <c r="B1071" i="8" s="1"/>
  <c r="B1155" i="8"/>
  <c r="B1045" i="8"/>
  <c r="B1061" i="8" s="1"/>
  <c r="B1077" i="8" s="1"/>
  <c r="B1161" i="8"/>
  <c r="B1047" i="8"/>
  <c r="B1063" i="8" s="1"/>
  <c r="B1079" i="8" s="1"/>
  <c r="B1163" i="8"/>
  <c r="CH660" i="8"/>
  <c r="B724" i="8"/>
  <c r="BJ660" i="8"/>
  <c r="AX660" i="8"/>
  <c r="DF596" i="8"/>
  <c r="N660" i="8"/>
  <c r="BV660" i="8"/>
  <c r="N596" i="8"/>
  <c r="B660" i="8"/>
  <c r="CT596" i="8"/>
  <c r="CT660" i="8"/>
  <c r="N724" i="8"/>
  <c r="Z596" i="8"/>
  <c r="Z660" i="8"/>
  <c r="AX596" i="8"/>
  <c r="AL596" i="8"/>
  <c r="BJ596" i="8"/>
  <c r="CH596" i="8"/>
  <c r="DF660" i="8"/>
  <c r="AL660" i="8"/>
  <c r="B596" i="8"/>
  <c r="BV596" i="8"/>
  <c r="B1040" i="8"/>
  <c r="B1056" i="8" s="1"/>
  <c r="B1072" i="8" s="1"/>
  <c r="B1156" i="8"/>
  <c r="B1041" i="8"/>
  <c r="B1057" i="8" s="1"/>
  <c r="B1073" i="8" s="1"/>
  <c r="B1157" i="8"/>
  <c r="B1044" i="8"/>
  <c r="B1060" i="8" s="1"/>
  <c r="B1076" i="8" s="1"/>
  <c r="B1160" i="8"/>
  <c r="B1043" i="8"/>
  <c r="B1059" i="8" s="1"/>
  <c r="B1075" i="8" s="1"/>
  <c r="B1159" i="8"/>
  <c r="CI93" i="8"/>
  <c r="CI92" i="8"/>
  <c r="C92" i="8"/>
  <c r="C93" i="8" s="1"/>
  <c r="BW92" i="8"/>
  <c r="BW93" i="8" s="1"/>
  <c r="CU92" i="8"/>
  <c r="CU93" i="8" s="1"/>
  <c r="O93" i="8"/>
  <c r="O92" i="8"/>
  <c r="AY92" i="8"/>
  <c r="AY93" i="8" s="1"/>
  <c r="DG93" i="8"/>
  <c r="DG92" i="8"/>
  <c r="BK92" i="8"/>
  <c r="BK93" i="8" s="1"/>
  <c r="AM92" i="8"/>
  <c r="AM93" i="8" s="1"/>
  <c r="AA92" i="8"/>
  <c r="AA93" i="8" s="1"/>
  <c r="C1619" i="8"/>
  <c r="G1619" i="8"/>
  <c r="H1619" i="8"/>
  <c r="I1619" i="8"/>
  <c r="L1619" i="8"/>
  <c r="D1619" i="8"/>
  <c r="E1619" i="8"/>
  <c r="J1619" i="8"/>
  <c r="K1619" i="8"/>
  <c r="F1619" i="8"/>
  <c r="C1631" i="8"/>
  <c r="H1631" i="8"/>
  <c r="J1631" i="8"/>
  <c r="D1631" i="8"/>
  <c r="L1631" i="8"/>
  <c r="E1631" i="8"/>
  <c r="G1631" i="8"/>
  <c r="I1631" i="8"/>
  <c r="F1631" i="8"/>
  <c r="K1631" i="8"/>
  <c r="K1627" i="8"/>
  <c r="K1654" i="8" s="1"/>
  <c r="D1627" i="8"/>
  <c r="D1654" i="8" s="1"/>
  <c r="G1627" i="8"/>
  <c r="G1654" i="8" s="1"/>
  <c r="I1627" i="8"/>
  <c r="I1654" i="8" s="1"/>
  <c r="L1627" i="8"/>
  <c r="L1654" i="8" s="1"/>
  <c r="H1627" i="8"/>
  <c r="H1654" i="8" s="1"/>
  <c r="C1627" i="8"/>
  <c r="C1654" i="8" s="1"/>
  <c r="E1627" i="8"/>
  <c r="E1654" i="8" s="1"/>
  <c r="F1627" i="8"/>
  <c r="F1654" i="8" s="1"/>
  <c r="J1627" i="8"/>
  <c r="J1654" i="8" s="1"/>
  <c r="G1623" i="8"/>
  <c r="K1623" i="8"/>
  <c r="C1623" i="8"/>
  <c r="H1623" i="8"/>
  <c r="I1623" i="8"/>
  <c r="L1623" i="8"/>
  <c r="D1623" i="8"/>
  <c r="E1623" i="8"/>
  <c r="J1623" i="8"/>
  <c r="F1623" i="8"/>
  <c r="G1635" i="8"/>
  <c r="K1635" i="8"/>
  <c r="L1635" i="8"/>
  <c r="C1635" i="8"/>
  <c r="D1635" i="8"/>
  <c r="H1635" i="8"/>
  <c r="I1635" i="8"/>
  <c r="J1635" i="8"/>
  <c r="E1635" i="8"/>
  <c r="F1635" i="8"/>
  <c r="I1637" i="8"/>
  <c r="M1565" i="8"/>
  <c r="M1567" i="8" s="1"/>
  <c r="C1637" i="8"/>
  <c r="G1637" i="8"/>
  <c r="J1637" i="8"/>
  <c r="F1637" i="8"/>
  <c r="K1637" i="8"/>
  <c r="D1637" i="8"/>
  <c r="E1637" i="8"/>
  <c r="L1637" i="8"/>
  <c r="H1637" i="8"/>
  <c r="F1634" i="8"/>
  <c r="L1634" i="8"/>
  <c r="D1634" i="8"/>
  <c r="G1634" i="8"/>
  <c r="H1634" i="8"/>
  <c r="J1634" i="8"/>
  <c r="K1634" i="8"/>
  <c r="I1634" i="8"/>
  <c r="C1634" i="8"/>
  <c r="E1634" i="8"/>
  <c r="F1622" i="8"/>
  <c r="K1622" i="8"/>
  <c r="D1622" i="8"/>
  <c r="G1622" i="8"/>
  <c r="H1622" i="8"/>
  <c r="J1622" i="8"/>
  <c r="L1622" i="8"/>
  <c r="I1622" i="8"/>
  <c r="C1622" i="8"/>
  <c r="E1622" i="8"/>
  <c r="E1633" i="8"/>
  <c r="I1633" i="8"/>
  <c r="L1633" i="8"/>
  <c r="F1633" i="8"/>
  <c r="K1633" i="8"/>
  <c r="C1633" i="8"/>
  <c r="G1633" i="8"/>
  <c r="J1633" i="8"/>
  <c r="H1633" i="8"/>
  <c r="D1633" i="8"/>
  <c r="I1625" i="8"/>
  <c r="I1652" i="8" s="1"/>
  <c r="E1625" i="8"/>
  <c r="E1652" i="8" s="1"/>
  <c r="F1625" i="8"/>
  <c r="F1652" i="8" s="1"/>
  <c r="G1625" i="8"/>
  <c r="G1652" i="8" s="1"/>
  <c r="J1625" i="8"/>
  <c r="J1652" i="8" s="1"/>
  <c r="K1625" i="8"/>
  <c r="K1652" i="8" s="1"/>
  <c r="C1625" i="8"/>
  <c r="C1652" i="8" s="1"/>
  <c r="D1625" i="8"/>
  <c r="D1652" i="8" s="1"/>
  <c r="L1625" i="8"/>
  <c r="L1652" i="8" s="1"/>
  <c r="H1625" i="8"/>
  <c r="H1652" i="8" s="1"/>
  <c r="D1632" i="8"/>
  <c r="H1632" i="8"/>
  <c r="J1632" i="8"/>
  <c r="E1632" i="8"/>
  <c r="I1632" i="8"/>
  <c r="F1632" i="8"/>
  <c r="K1632" i="8"/>
  <c r="L1632" i="8"/>
  <c r="G1632" i="8"/>
  <c r="C1632" i="8"/>
  <c r="L1628" i="8"/>
  <c r="L1655" i="8" s="1"/>
  <c r="D1628" i="8"/>
  <c r="D1655" i="8" s="1"/>
  <c r="F1628" i="8"/>
  <c r="F1655" i="8" s="1"/>
  <c r="J1628" i="8"/>
  <c r="J1655" i="8" s="1"/>
  <c r="E1628" i="8"/>
  <c r="E1655" i="8" s="1"/>
  <c r="G1628" i="8"/>
  <c r="G1655" i="8" s="1"/>
  <c r="H1628" i="8"/>
  <c r="H1655" i="8" s="1"/>
  <c r="C1628" i="8"/>
  <c r="C1655" i="8" s="1"/>
  <c r="I1628" i="8"/>
  <c r="I1655" i="8" s="1"/>
  <c r="K1628" i="8"/>
  <c r="K1655" i="8" s="1"/>
  <c r="H1624" i="8"/>
  <c r="F1624" i="8"/>
  <c r="I1624" i="8"/>
  <c r="C1624" i="8"/>
  <c r="E1624" i="8"/>
  <c r="J1624" i="8"/>
  <c r="L1624" i="8"/>
  <c r="D1624" i="8"/>
  <c r="K1624" i="8"/>
  <c r="G1624" i="8"/>
  <c r="D1620" i="8"/>
  <c r="J1620" i="8"/>
  <c r="L1620" i="8"/>
  <c r="E1620" i="8"/>
  <c r="F1620" i="8"/>
  <c r="H1620" i="8"/>
  <c r="I1620" i="8"/>
  <c r="K1620" i="8"/>
  <c r="G1620" i="8"/>
  <c r="C1620" i="8"/>
  <c r="L1616" i="8"/>
  <c r="L1643" i="8" s="1"/>
  <c r="F1616" i="8"/>
  <c r="F1643" i="8" s="1"/>
  <c r="H1616" i="8"/>
  <c r="H1643" i="8" s="1"/>
  <c r="I1616" i="8"/>
  <c r="I1643" i="8" s="1"/>
  <c r="J1616" i="8"/>
  <c r="J1643" i="8" s="1"/>
  <c r="D1616" i="8"/>
  <c r="D1643" i="8" s="1"/>
  <c r="E1616" i="8"/>
  <c r="E1643" i="8" s="1"/>
  <c r="G1616" i="8"/>
  <c r="G1643" i="8" s="1"/>
  <c r="C1616" i="8"/>
  <c r="C1643" i="8" s="1"/>
  <c r="K1616" i="8"/>
  <c r="K1643" i="8" s="1"/>
  <c r="K1615" i="8"/>
  <c r="C1615" i="8"/>
  <c r="F1615" i="8"/>
  <c r="L1615" i="8"/>
  <c r="G1606" i="8"/>
  <c r="D1615" i="8"/>
  <c r="E1615" i="8"/>
  <c r="G1615" i="8"/>
  <c r="H1615" i="8"/>
  <c r="I1615" i="8"/>
  <c r="J1615" i="8"/>
  <c r="F1630" i="8"/>
  <c r="H1630" i="8"/>
  <c r="I1630" i="8"/>
  <c r="C1630" i="8"/>
  <c r="D1630" i="8"/>
  <c r="G1630" i="8"/>
  <c r="J1630" i="8"/>
  <c r="K1630" i="8"/>
  <c r="L1630" i="8"/>
  <c r="E1630" i="8"/>
  <c r="J1626" i="8"/>
  <c r="J1653" i="8" s="1"/>
  <c r="D1626" i="8"/>
  <c r="D1653" i="8" s="1"/>
  <c r="E1626" i="8"/>
  <c r="E1653" i="8" s="1"/>
  <c r="H1626" i="8"/>
  <c r="H1653" i="8" s="1"/>
  <c r="K1626" i="8"/>
  <c r="K1653" i="8" s="1"/>
  <c r="L1626" i="8"/>
  <c r="L1653" i="8" s="1"/>
  <c r="C1626" i="8"/>
  <c r="C1653" i="8" s="1"/>
  <c r="F1626" i="8"/>
  <c r="F1653" i="8" s="1"/>
  <c r="G1626" i="8"/>
  <c r="G1653" i="8" s="1"/>
  <c r="I1626" i="8"/>
  <c r="I1653" i="8" s="1"/>
  <c r="I1629" i="8"/>
  <c r="K1629" i="8"/>
  <c r="C1629" i="8"/>
  <c r="E1629" i="8"/>
  <c r="G1629" i="8"/>
  <c r="H1629" i="8"/>
  <c r="J1629" i="8"/>
  <c r="D1629" i="8"/>
  <c r="F1629" i="8"/>
  <c r="L1629" i="8"/>
  <c r="E1621" i="8"/>
  <c r="I1621" i="8"/>
  <c r="C1621" i="8"/>
  <c r="F1621" i="8"/>
  <c r="G1621" i="8"/>
  <c r="J1621" i="8"/>
  <c r="K1621" i="8"/>
  <c r="L1621" i="8"/>
  <c r="H1621" i="8"/>
  <c r="D1621" i="8"/>
  <c r="E1617" i="8"/>
  <c r="E1644" i="8" s="1"/>
  <c r="G1617" i="8"/>
  <c r="G1644" i="8" s="1"/>
  <c r="K1617" i="8"/>
  <c r="K1644" i="8" s="1"/>
  <c r="C1617" i="8"/>
  <c r="C1644" i="8" s="1"/>
  <c r="F1617" i="8"/>
  <c r="F1644" i="8" s="1"/>
  <c r="H1617" i="8"/>
  <c r="H1644" i="8" s="1"/>
  <c r="I1617" i="8"/>
  <c r="I1644" i="8" s="1"/>
  <c r="J1617" i="8"/>
  <c r="J1644" i="8" s="1"/>
  <c r="D1617" i="8"/>
  <c r="D1644" i="8" s="1"/>
  <c r="L1617" i="8"/>
  <c r="L1644" i="8" s="1"/>
  <c r="F1737" i="8"/>
  <c r="L1737" i="8"/>
  <c r="G1737" i="8"/>
  <c r="I1737" i="8"/>
  <c r="C1737" i="8"/>
  <c r="D1737" i="8"/>
  <c r="K1737" i="8"/>
  <c r="H1737" i="8"/>
  <c r="E1737" i="8"/>
  <c r="J1737" i="8"/>
  <c r="F1701" i="8"/>
  <c r="L1701" i="8"/>
  <c r="H1701" i="8"/>
  <c r="I1701" i="8"/>
  <c r="G1701" i="8"/>
  <c r="C1701" i="8"/>
  <c r="D1701" i="8"/>
  <c r="E1701" i="8"/>
  <c r="J1701" i="8"/>
  <c r="K1701" i="8"/>
  <c r="H1692" i="8"/>
  <c r="C1692" i="8"/>
  <c r="J1692" i="8"/>
  <c r="E1692" i="8"/>
  <c r="F1692" i="8"/>
  <c r="L1692" i="8"/>
  <c r="G1692" i="8"/>
  <c r="I1692" i="8"/>
  <c r="K1692" i="8"/>
  <c r="D1692" i="8"/>
  <c r="G1683" i="8"/>
  <c r="C1683" i="8"/>
  <c r="K1683" i="8"/>
  <c r="F1683" i="8"/>
  <c r="L1683" i="8"/>
  <c r="H1683" i="8"/>
  <c r="I1683" i="8"/>
  <c r="J1683" i="8"/>
  <c r="D1683" i="8"/>
  <c r="E1683" i="8"/>
  <c r="H1674" i="8"/>
  <c r="C1674" i="8"/>
  <c r="I1674" i="8"/>
  <c r="D1674" i="8"/>
  <c r="K1674" i="8"/>
  <c r="F1674" i="8"/>
  <c r="L1674" i="8"/>
  <c r="G1674" i="8"/>
  <c r="J1674" i="8"/>
  <c r="E1674" i="8"/>
  <c r="C1665" i="8"/>
  <c r="E1665" i="8"/>
  <c r="F1665" i="8"/>
  <c r="L1665" i="8"/>
  <c r="D1665" i="8"/>
  <c r="G1665" i="8"/>
  <c r="H1665" i="8"/>
  <c r="I1665" i="8"/>
  <c r="J1665" i="8"/>
  <c r="K1665" i="8"/>
  <c r="F1289" i="8"/>
  <c r="E1305" i="8"/>
  <c r="E1321" i="8" s="1"/>
  <c r="E1337" i="8" s="1"/>
  <c r="F1355" i="8"/>
  <c r="E1371" i="8"/>
  <c r="E1387" i="8" s="1"/>
  <c r="E1403" i="8" s="1"/>
  <c r="F1421" i="8"/>
  <c r="E1437" i="8"/>
  <c r="E1453" i="8" s="1"/>
  <c r="E1469" i="8" s="1"/>
  <c r="L1428" i="8" l="1"/>
  <c r="L1444" i="8" s="1"/>
  <c r="L1460" i="8" s="1"/>
  <c r="L1476" i="8" s="1"/>
  <c r="L1729" i="8"/>
  <c r="K1296" i="8"/>
  <c r="K1312" i="8" s="1"/>
  <c r="K1328" i="8" s="1"/>
  <c r="K1344" i="8" s="1"/>
  <c r="K1711" i="8"/>
  <c r="H1362" i="8"/>
  <c r="H1378" i="8" s="1"/>
  <c r="H1394" i="8" s="1"/>
  <c r="H1410" i="8" s="1"/>
  <c r="H1720" i="8"/>
  <c r="R19" i="7"/>
  <c r="R22" i="7" s="1"/>
  <c r="F1428" i="8"/>
  <c r="F1444" i="8" s="1"/>
  <c r="F1460" i="8" s="1"/>
  <c r="F1476" i="8" s="1"/>
  <c r="F1729" i="8"/>
  <c r="C1362" i="8"/>
  <c r="C1378" i="8" s="1"/>
  <c r="C1394" i="8" s="1"/>
  <c r="C1410" i="8" s="1"/>
  <c r="C1720" i="8"/>
  <c r="S39" i="1"/>
  <c r="K1428" i="8"/>
  <c r="K1444" i="8" s="1"/>
  <c r="K1460" i="8" s="1"/>
  <c r="K1476" i="8" s="1"/>
  <c r="K1729" i="8"/>
  <c r="D1362" i="8"/>
  <c r="D1378" i="8" s="1"/>
  <c r="D1394" i="8" s="1"/>
  <c r="D1410" i="8" s="1"/>
  <c r="D1720" i="8"/>
  <c r="S26" i="1"/>
  <c r="Y35" i="7"/>
  <c r="Y40" i="7"/>
  <c r="Y32" i="7"/>
  <c r="Y33" i="7"/>
  <c r="Y37" i="7"/>
  <c r="Y34" i="7"/>
  <c r="Y39" i="7"/>
  <c r="Y36" i="7"/>
  <c r="Y38" i="7"/>
  <c r="C1296" i="8"/>
  <c r="C1312" i="8" s="1"/>
  <c r="C1328" i="8" s="1"/>
  <c r="C1344" i="8" s="1"/>
  <c r="C1711" i="8"/>
  <c r="L1362" i="8"/>
  <c r="L1378" i="8" s="1"/>
  <c r="L1394" i="8" s="1"/>
  <c r="L1410" i="8" s="1"/>
  <c r="L1720" i="8"/>
  <c r="Y41" i="7"/>
  <c r="Y47" i="7" s="1"/>
  <c r="J1428" i="8"/>
  <c r="J1444" i="8" s="1"/>
  <c r="J1460" i="8" s="1"/>
  <c r="J1476" i="8" s="1"/>
  <c r="J1729" i="8"/>
  <c r="I1296" i="8"/>
  <c r="I1312" i="8" s="1"/>
  <c r="I1328" i="8" s="1"/>
  <c r="I1344" i="8" s="1"/>
  <c r="I1711" i="8"/>
  <c r="E1362" i="8"/>
  <c r="E1378" i="8" s="1"/>
  <c r="E1394" i="8" s="1"/>
  <c r="E1410" i="8" s="1"/>
  <c r="E1720" i="8"/>
  <c r="E1428" i="8"/>
  <c r="E1444" i="8" s="1"/>
  <c r="E1460" i="8" s="1"/>
  <c r="E1476" i="8" s="1"/>
  <c r="E1729" i="8"/>
  <c r="K1362" i="8"/>
  <c r="K1378" i="8" s="1"/>
  <c r="K1394" i="8" s="1"/>
  <c r="K1410" i="8" s="1"/>
  <c r="K1720" i="8"/>
  <c r="D1428" i="8"/>
  <c r="D1444" i="8" s="1"/>
  <c r="D1460" i="8" s="1"/>
  <c r="D1476" i="8" s="1"/>
  <c r="D1729" i="8"/>
  <c r="L1296" i="8"/>
  <c r="L1312" i="8" s="1"/>
  <c r="L1328" i="8" s="1"/>
  <c r="L1344" i="8" s="1"/>
  <c r="L1711" i="8"/>
  <c r="J1362" i="8"/>
  <c r="J1378" i="8" s="1"/>
  <c r="J1394" i="8" s="1"/>
  <c r="J1410" i="8" s="1"/>
  <c r="J1720" i="8"/>
  <c r="R14" i="1"/>
  <c r="R19" i="1"/>
  <c r="T47" i="1"/>
  <c r="H33" i="7" s="1"/>
  <c r="R22" i="1"/>
  <c r="R24" i="1" s="1"/>
  <c r="R17" i="1"/>
  <c r="R15" i="1"/>
  <c r="R12" i="1"/>
  <c r="R11" i="1"/>
  <c r="R18" i="1"/>
  <c r="R38" i="1"/>
  <c r="R13" i="1"/>
  <c r="R16" i="1"/>
  <c r="R33" i="1"/>
  <c r="R39" i="1" s="1"/>
  <c r="R35" i="1"/>
  <c r="R31" i="1"/>
  <c r="R30" i="1"/>
  <c r="R41" i="1"/>
  <c r="R43" i="1" s="1"/>
  <c r="R37" i="1"/>
  <c r="R34" i="1"/>
  <c r="R10" i="1"/>
  <c r="R20" i="1" s="1"/>
  <c r="R26" i="1" s="1"/>
  <c r="R32" i="1"/>
  <c r="R36" i="1"/>
  <c r="H1296" i="8"/>
  <c r="H1312" i="8" s="1"/>
  <c r="H1328" i="8" s="1"/>
  <c r="H1344" i="8" s="1"/>
  <c r="H1711" i="8"/>
  <c r="G1362" i="8"/>
  <c r="G1378" i="8" s="1"/>
  <c r="G1394" i="8" s="1"/>
  <c r="G1410" i="8" s="1"/>
  <c r="G1720" i="8"/>
  <c r="I1428" i="8"/>
  <c r="I1444" i="8" s="1"/>
  <c r="I1460" i="8" s="1"/>
  <c r="I1476" i="8" s="1"/>
  <c r="I1729" i="8"/>
  <c r="F1296" i="8"/>
  <c r="F1312" i="8" s="1"/>
  <c r="F1328" i="8" s="1"/>
  <c r="F1344" i="8" s="1"/>
  <c r="F1711" i="8"/>
  <c r="D1296" i="8"/>
  <c r="D1312" i="8" s="1"/>
  <c r="D1328" i="8" s="1"/>
  <c r="D1344" i="8" s="1"/>
  <c r="D1711" i="8"/>
  <c r="F1362" i="8"/>
  <c r="F1378" i="8" s="1"/>
  <c r="F1394" i="8" s="1"/>
  <c r="F1410" i="8" s="1"/>
  <c r="F1720" i="8"/>
  <c r="H1729" i="8"/>
  <c r="H1428" i="8"/>
  <c r="H1444" i="8" s="1"/>
  <c r="H1460" i="8" s="1"/>
  <c r="H1476" i="8" s="1"/>
  <c r="J1296" i="8"/>
  <c r="J1312" i="8" s="1"/>
  <c r="J1328" i="8" s="1"/>
  <c r="J1344" i="8" s="1"/>
  <c r="J1711" i="8"/>
  <c r="C1428" i="8"/>
  <c r="C1444" i="8" s="1"/>
  <c r="C1460" i="8" s="1"/>
  <c r="C1476" i="8" s="1"/>
  <c r="C1729" i="8"/>
  <c r="E1296" i="8"/>
  <c r="E1312" i="8" s="1"/>
  <c r="E1328" i="8" s="1"/>
  <c r="E1344" i="8" s="1"/>
  <c r="E1711" i="8"/>
  <c r="G1428" i="8"/>
  <c r="G1444" i="8" s="1"/>
  <c r="G1460" i="8" s="1"/>
  <c r="G1476" i="8" s="1"/>
  <c r="G1729" i="8"/>
  <c r="G1296" i="8"/>
  <c r="G1312" i="8" s="1"/>
  <c r="G1328" i="8" s="1"/>
  <c r="G1344" i="8" s="1"/>
  <c r="G1711" i="8"/>
  <c r="I1362" i="8"/>
  <c r="I1378" i="8" s="1"/>
  <c r="I1394" i="8" s="1"/>
  <c r="I1410" i="8" s="1"/>
  <c r="I1720" i="8"/>
  <c r="S39" i="8"/>
  <c r="G1421" i="8"/>
  <c r="F1437" i="8"/>
  <c r="F1453" i="8" s="1"/>
  <c r="F1469" i="8" s="1"/>
  <c r="G1355" i="8"/>
  <c r="F1371" i="8"/>
  <c r="F1387" i="8" s="1"/>
  <c r="F1403" i="8" s="1"/>
  <c r="G1289" i="8"/>
  <c r="F1305" i="8"/>
  <c r="F1321" i="8" s="1"/>
  <c r="F1337" i="8" s="1"/>
  <c r="K966" i="8"/>
  <c r="K1666" i="8"/>
  <c r="J966" i="8"/>
  <c r="J1666" i="8"/>
  <c r="I966" i="8"/>
  <c r="I1666" i="8"/>
  <c r="H966" i="8"/>
  <c r="H1666" i="8"/>
  <c r="G966" i="8"/>
  <c r="G1666" i="8"/>
  <c r="D966" i="8"/>
  <c r="D1666" i="8"/>
  <c r="L966" i="8"/>
  <c r="L1666" i="8"/>
  <c r="F966" i="8"/>
  <c r="F1666" i="8"/>
  <c r="E966" i="8"/>
  <c r="E1666" i="8"/>
  <c r="C966" i="8"/>
  <c r="C1666" i="8"/>
  <c r="E1032" i="8"/>
  <c r="E1675" i="8"/>
  <c r="J1032" i="8"/>
  <c r="J1675" i="8"/>
  <c r="G1032" i="8"/>
  <c r="G1675" i="8"/>
  <c r="L1032" i="8"/>
  <c r="L1675" i="8"/>
  <c r="F1032" i="8"/>
  <c r="F1675" i="8"/>
  <c r="K1032" i="8"/>
  <c r="K1675" i="8"/>
  <c r="D1032" i="8"/>
  <c r="D1675" i="8"/>
  <c r="I1032" i="8"/>
  <c r="I1675" i="8"/>
  <c r="C1032" i="8"/>
  <c r="C1675" i="8"/>
  <c r="H1032" i="8"/>
  <c r="H1675" i="8"/>
  <c r="E1098" i="8"/>
  <c r="E1684" i="8"/>
  <c r="D1098" i="8"/>
  <c r="D1684" i="8"/>
  <c r="J1098" i="8"/>
  <c r="J1684" i="8"/>
  <c r="I1098" i="8"/>
  <c r="I1684" i="8"/>
  <c r="H1098" i="8"/>
  <c r="H1684" i="8"/>
  <c r="L1098" i="8"/>
  <c r="L1684" i="8"/>
  <c r="F1098" i="8"/>
  <c r="F1684" i="8"/>
  <c r="K1098" i="8"/>
  <c r="K1684" i="8"/>
  <c r="C1098" i="8"/>
  <c r="C1684" i="8"/>
  <c r="G1098" i="8"/>
  <c r="G1684" i="8"/>
  <c r="D1164" i="8"/>
  <c r="D1693" i="8"/>
  <c r="K1164" i="8"/>
  <c r="K1693" i="8"/>
  <c r="I1164" i="8"/>
  <c r="I1693" i="8"/>
  <c r="G1164" i="8"/>
  <c r="G1693" i="8"/>
  <c r="L1164" i="8"/>
  <c r="L1693" i="8"/>
  <c r="F1164" i="8"/>
  <c r="F1693" i="8"/>
  <c r="E1164" i="8"/>
  <c r="E1693" i="8"/>
  <c r="J1164" i="8"/>
  <c r="J1693" i="8"/>
  <c r="C1164" i="8"/>
  <c r="C1693" i="8"/>
  <c r="H1164" i="8"/>
  <c r="H1693" i="8"/>
  <c r="K1230" i="8"/>
  <c r="K1246" i="8" s="1"/>
  <c r="K1262" i="8" s="1"/>
  <c r="K1278" i="8" s="1"/>
  <c r="K1702" i="8"/>
  <c r="J1230" i="8"/>
  <c r="J1246" i="8" s="1"/>
  <c r="J1262" i="8" s="1"/>
  <c r="J1278" i="8" s="1"/>
  <c r="J1702" i="8"/>
  <c r="E1230" i="8"/>
  <c r="E1246" i="8" s="1"/>
  <c r="E1262" i="8" s="1"/>
  <c r="E1278" i="8" s="1"/>
  <c r="E1702" i="8"/>
  <c r="D1230" i="8"/>
  <c r="D1246" i="8" s="1"/>
  <c r="D1262" i="8" s="1"/>
  <c r="D1278" i="8" s="1"/>
  <c r="D1702" i="8"/>
  <c r="C1230" i="8"/>
  <c r="C1246" i="8" s="1"/>
  <c r="C1262" i="8" s="1"/>
  <c r="C1278" i="8" s="1"/>
  <c r="C1702" i="8"/>
  <c r="G1230" i="8"/>
  <c r="G1246" i="8" s="1"/>
  <c r="G1262" i="8" s="1"/>
  <c r="G1278" i="8" s="1"/>
  <c r="G1702" i="8"/>
  <c r="I1230" i="8"/>
  <c r="I1246" i="8" s="1"/>
  <c r="I1262" i="8" s="1"/>
  <c r="I1278" i="8" s="1"/>
  <c r="I1702" i="8"/>
  <c r="H1230" i="8"/>
  <c r="H1246" i="8" s="1"/>
  <c r="H1262" i="8" s="1"/>
  <c r="H1278" i="8" s="1"/>
  <c r="H1702" i="8"/>
  <c r="L1230" i="8"/>
  <c r="L1246" i="8" s="1"/>
  <c r="L1262" i="8" s="1"/>
  <c r="L1278" i="8" s="1"/>
  <c r="L1702" i="8"/>
  <c r="F1230" i="8"/>
  <c r="F1246" i="8" s="1"/>
  <c r="F1262" i="8" s="1"/>
  <c r="F1278" i="8" s="1"/>
  <c r="F1702" i="8"/>
  <c r="J1494" i="8"/>
  <c r="J1510" i="8" s="1"/>
  <c r="J1526" i="8" s="1"/>
  <c r="J1542" i="8" s="1"/>
  <c r="J1738" i="8"/>
  <c r="E1494" i="8"/>
  <c r="E1510" i="8" s="1"/>
  <c r="E1526" i="8" s="1"/>
  <c r="E1542" i="8" s="1"/>
  <c r="E1738" i="8"/>
  <c r="H1494" i="8"/>
  <c r="H1510" i="8" s="1"/>
  <c r="H1526" i="8" s="1"/>
  <c r="H1542" i="8" s="1"/>
  <c r="H1738" i="8"/>
  <c r="K1494" i="8"/>
  <c r="K1510" i="8" s="1"/>
  <c r="K1526" i="8" s="1"/>
  <c r="K1542" i="8" s="1"/>
  <c r="K1738" i="8"/>
  <c r="D1494" i="8"/>
  <c r="D1510" i="8" s="1"/>
  <c r="D1526" i="8" s="1"/>
  <c r="D1542" i="8" s="1"/>
  <c r="D1738" i="8"/>
  <c r="C1494" i="8"/>
  <c r="C1510" i="8" s="1"/>
  <c r="C1526" i="8" s="1"/>
  <c r="C1542" i="8" s="1"/>
  <c r="C1738" i="8"/>
  <c r="I1494" i="8"/>
  <c r="I1510" i="8" s="1"/>
  <c r="I1526" i="8" s="1"/>
  <c r="I1542" i="8" s="1"/>
  <c r="I1738" i="8"/>
  <c r="G1494" i="8"/>
  <c r="G1510" i="8" s="1"/>
  <c r="G1526" i="8" s="1"/>
  <c r="G1542" i="8" s="1"/>
  <c r="G1738" i="8"/>
  <c r="L1494" i="8"/>
  <c r="L1510" i="8" s="1"/>
  <c r="L1526" i="8" s="1"/>
  <c r="L1542" i="8" s="1"/>
  <c r="L1738" i="8"/>
  <c r="F1494" i="8"/>
  <c r="F1510" i="8" s="1"/>
  <c r="F1526" i="8" s="1"/>
  <c r="F1542" i="8" s="1"/>
  <c r="F1738" i="8"/>
  <c r="J1642" i="8"/>
  <c r="J1638" i="8"/>
  <c r="I1638" i="8"/>
  <c r="I1642" i="8"/>
  <c r="H1642" i="8"/>
  <c r="H1638" i="8"/>
  <c r="G1642" i="8"/>
  <c r="G1638" i="8"/>
  <c r="E1638" i="8"/>
  <c r="E1642" i="8"/>
  <c r="D1642" i="8"/>
  <c r="D1638" i="8"/>
  <c r="L1642" i="8"/>
  <c r="L1638" i="8"/>
  <c r="F1642" i="8"/>
  <c r="F1638" i="8"/>
  <c r="C1638" i="8"/>
  <c r="C1642" i="8"/>
  <c r="K1638" i="8"/>
  <c r="K1642" i="8"/>
  <c r="AA94" i="8"/>
  <c r="AA95" i="8" s="1"/>
  <c r="AM94" i="8"/>
  <c r="AM95" i="8" s="1"/>
  <c r="BK95" i="8"/>
  <c r="BK94" i="8"/>
  <c r="DG94" i="8"/>
  <c r="DG95" i="8" s="1"/>
  <c r="AY94" i="8"/>
  <c r="AY95" i="8" s="1"/>
  <c r="O94" i="8"/>
  <c r="O95" i="8" s="1"/>
  <c r="CU94" i="8"/>
  <c r="CU95" i="8" s="1"/>
  <c r="BW94" i="8"/>
  <c r="BW95" i="8" s="1"/>
  <c r="C95" i="8"/>
  <c r="C94" i="8"/>
  <c r="CI94" i="8"/>
  <c r="CI95" i="8" s="1"/>
  <c r="B1175" i="8"/>
  <c r="B1191" i="8" s="1"/>
  <c r="B1207" i="8" s="1"/>
  <c r="B1225" i="8"/>
  <c r="B1176" i="8"/>
  <c r="B1192" i="8" s="1"/>
  <c r="B1208" i="8" s="1"/>
  <c r="B1226" i="8"/>
  <c r="B1173" i="8"/>
  <c r="B1189" i="8" s="1"/>
  <c r="B1205" i="8" s="1"/>
  <c r="B1223" i="8"/>
  <c r="B1172" i="8"/>
  <c r="B1188" i="8" s="1"/>
  <c r="B1204" i="8" s="1"/>
  <c r="B1222" i="8"/>
  <c r="B1179" i="8"/>
  <c r="B1195" i="8" s="1"/>
  <c r="B1211" i="8" s="1"/>
  <c r="B1229" i="8"/>
  <c r="B1177" i="8"/>
  <c r="B1193" i="8" s="1"/>
  <c r="B1209" i="8" s="1"/>
  <c r="B1227" i="8"/>
  <c r="B1171" i="8"/>
  <c r="B1187" i="8" s="1"/>
  <c r="B1203" i="8" s="1"/>
  <c r="B1221" i="8"/>
  <c r="B1178" i="8"/>
  <c r="B1194" i="8" s="1"/>
  <c r="B1210" i="8" s="1"/>
  <c r="B1228" i="8"/>
  <c r="B1174" i="8"/>
  <c r="B1190" i="8" s="1"/>
  <c r="B1206" i="8" s="1"/>
  <c r="B1224" i="8"/>
  <c r="B1004" i="8"/>
  <c r="B1170" i="8"/>
  <c r="B1220" i="8"/>
  <c r="B1054" i="8"/>
  <c r="B1136" i="8"/>
  <c r="R2120" i="8"/>
  <c r="H967" i="8"/>
  <c r="C967" i="8"/>
  <c r="K1033" i="8"/>
  <c r="D1099" i="8"/>
  <c r="K1099" i="8"/>
  <c r="G1165" i="8"/>
  <c r="H1165" i="8"/>
  <c r="J1033" i="8"/>
  <c r="F1165" i="8"/>
  <c r="G1099" i="8"/>
  <c r="K967" i="8"/>
  <c r="L967" i="8"/>
  <c r="G1033" i="8"/>
  <c r="H1099" i="8"/>
  <c r="E1165" i="8"/>
  <c r="G967" i="8"/>
  <c r="E1033" i="8"/>
  <c r="D1033" i="8"/>
  <c r="J1099" i="8"/>
  <c r="C1099" i="8"/>
  <c r="L1165" i="8"/>
  <c r="D967" i="8"/>
  <c r="I1033" i="8"/>
  <c r="C1033" i="8"/>
  <c r="I1099" i="8"/>
  <c r="J967" i="8"/>
  <c r="F967" i="8"/>
  <c r="L1033" i="8"/>
  <c r="H1033" i="8"/>
  <c r="L1099" i="8"/>
  <c r="K1165" i="8"/>
  <c r="J1165" i="8"/>
  <c r="I967" i="8"/>
  <c r="E967" i="8"/>
  <c r="F1033" i="8"/>
  <c r="E1099" i="8"/>
  <c r="F1099" i="8"/>
  <c r="I1165" i="8"/>
  <c r="C1165" i="8"/>
  <c r="D1165" i="8"/>
  <c r="L1231" i="8"/>
  <c r="K1231" i="8"/>
  <c r="J1231" i="8"/>
  <c r="I1231" i="8"/>
  <c r="H1231" i="8"/>
  <c r="G1231" i="8"/>
  <c r="F1231" i="8"/>
  <c r="E1231" i="8"/>
  <c r="D1231" i="8"/>
  <c r="C1231" i="8"/>
  <c r="C1703" i="8" l="1"/>
  <c r="D1703" i="8"/>
  <c r="E1703" i="8"/>
  <c r="F1703" i="8"/>
  <c r="G1703" i="8"/>
  <c r="H1703" i="8"/>
  <c r="I1703" i="8"/>
  <c r="J1703" i="8"/>
  <c r="K1703" i="8"/>
  <c r="L1703" i="8"/>
  <c r="D1694" i="8"/>
  <c r="C1694" i="8"/>
  <c r="I1694" i="8"/>
  <c r="F1685" i="8"/>
  <c r="E1685" i="8"/>
  <c r="F1676" i="8"/>
  <c r="E1667" i="8"/>
  <c r="I1667" i="8"/>
  <c r="J1694" i="8"/>
  <c r="K1694" i="8"/>
  <c r="L1685" i="8"/>
  <c r="H1676" i="8"/>
  <c r="L1676" i="8"/>
  <c r="F1667" i="8"/>
  <c r="J1667" i="8"/>
  <c r="I1685" i="8"/>
  <c r="C1676" i="8"/>
  <c r="I1676" i="8"/>
  <c r="D1667" i="8"/>
  <c r="L1694" i="8"/>
  <c r="C1685" i="8"/>
  <c r="J1685" i="8"/>
  <c r="D1676" i="8"/>
  <c r="E1676" i="8"/>
  <c r="G1667" i="8"/>
  <c r="E1694" i="8"/>
  <c r="H1685" i="8"/>
  <c r="G1676" i="8"/>
  <c r="L1667" i="8"/>
  <c r="K1667" i="8"/>
  <c r="G1685" i="8"/>
  <c r="F1694" i="8"/>
  <c r="J1676" i="8"/>
  <c r="H1694" i="8"/>
  <c r="G1694" i="8"/>
  <c r="K1685" i="8"/>
  <c r="D1685" i="8"/>
  <c r="K1676" i="8"/>
  <c r="C1667" i="8"/>
  <c r="H1667" i="8"/>
  <c r="R45" i="1"/>
  <c r="R91" i="1"/>
  <c r="D1180" i="8"/>
  <c r="S45" i="8"/>
  <c r="S2120" i="8"/>
  <c r="C1180" i="8"/>
  <c r="I1180" i="8"/>
  <c r="F1114" i="8"/>
  <c r="E1114" i="8"/>
  <c r="F1048" i="8"/>
  <c r="E982" i="8"/>
  <c r="I982" i="8"/>
  <c r="S45" i="1"/>
  <c r="S91" i="1"/>
  <c r="J1180" i="8"/>
  <c r="K1180" i="8"/>
  <c r="L1114" i="8"/>
  <c r="H1048" i="8"/>
  <c r="L1048" i="8"/>
  <c r="F982" i="8"/>
  <c r="J982" i="8"/>
  <c r="I1114" i="8"/>
  <c r="C1048" i="8"/>
  <c r="I1048" i="8"/>
  <c r="D982" i="8"/>
  <c r="L1180" i="8"/>
  <c r="C1114" i="8"/>
  <c r="J1114" i="8"/>
  <c r="D1048" i="8"/>
  <c r="E1048" i="8"/>
  <c r="G982" i="8"/>
  <c r="E1180" i="8"/>
  <c r="H1114" i="8"/>
  <c r="G1048" i="8"/>
  <c r="L982" i="8"/>
  <c r="K982" i="8"/>
  <c r="G1114" i="8"/>
  <c r="F1180" i="8"/>
  <c r="J1048" i="8"/>
  <c r="H1180" i="8"/>
  <c r="G1180" i="8"/>
  <c r="K1114" i="8"/>
  <c r="D1114" i="8"/>
  <c r="K1048" i="8"/>
  <c r="C982" i="8"/>
  <c r="H982" i="8"/>
  <c r="B1070" i="8"/>
  <c r="B1236" i="8"/>
  <c r="B1286" i="8"/>
  <c r="B1186" i="8"/>
  <c r="B1240" i="8"/>
  <c r="B1256" i="8" s="1"/>
  <c r="B1272" i="8" s="1"/>
  <c r="B1290" i="8"/>
  <c r="B1244" i="8"/>
  <c r="B1260" i="8" s="1"/>
  <c r="B1276" i="8" s="1"/>
  <c r="B1294" i="8"/>
  <c r="B1237" i="8"/>
  <c r="B1253" i="8" s="1"/>
  <c r="B1269" i="8" s="1"/>
  <c r="B1287" i="8"/>
  <c r="B1243" i="8"/>
  <c r="B1259" i="8" s="1"/>
  <c r="B1275" i="8" s="1"/>
  <c r="B1293" i="8"/>
  <c r="B1245" i="8"/>
  <c r="B1261" i="8" s="1"/>
  <c r="B1277" i="8" s="1"/>
  <c r="B1295" i="8"/>
  <c r="B1238" i="8"/>
  <c r="B1254" i="8" s="1"/>
  <c r="B1270" i="8" s="1"/>
  <c r="B1288" i="8"/>
  <c r="B1239" i="8"/>
  <c r="B1255" i="8" s="1"/>
  <c r="B1271" i="8" s="1"/>
  <c r="B1289" i="8"/>
  <c r="B1242" i="8"/>
  <c r="B1258" i="8" s="1"/>
  <c r="B1274" i="8" s="1"/>
  <c r="B1292" i="8"/>
  <c r="B1241" i="8"/>
  <c r="B1257" i="8" s="1"/>
  <c r="B1273" i="8" s="1"/>
  <c r="B1291" i="8"/>
  <c r="CI96" i="8"/>
  <c r="CI97" i="8" s="1"/>
  <c r="C96" i="8"/>
  <c r="C97" i="8" s="1"/>
  <c r="BW96" i="8"/>
  <c r="BW97" i="8" s="1"/>
  <c r="CU96" i="8"/>
  <c r="CU97" i="8" s="1"/>
  <c r="O96" i="8"/>
  <c r="O97" i="8" s="1"/>
  <c r="AY96" i="8"/>
  <c r="AY97" i="8" s="1"/>
  <c r="DG96" i="8"/>
  <c r="DG97" i="8" s="1"/>
  <c r="BK96" i="8"/>
  <c r="BK97" i="8" s="1"/>
  <c r="AM96" i="8"/>
  <c r="AM97" i="8" s="1"/>
  <c r="AA96" i="8"/>
  <c r="AA97" i="8" s="1"/>
  <c r="H1289" i="8"/>
  <c r="G1305" i="8"/>
  <c r="G1321" i="8" s="1"/>
  <c r="G1337" i="8" s="1"/>
  <c r="H1355" i="8"/>
  <c r="G1371" i="8"/>
  <c r="G1387" i="8" s="1"/>
  <c r="G1403" i="8" s="1"/>
  <c r="H1421" i="8"/>
  <c r="G1437" i="8"/>
  <c r="G1453" i="8" s="1"/>
  <c r="G1469" i="8" s="1"/>
  <c r="E983" i="8"/>
  <c r="C1049" i="8"/>
  <c r="L983" i="8"/>
  <c r="H1181" i="8"/>
  <c r="I983" i="8"/>
  <c r="I1049" i="8"/>
  <c r="K983" i="8"/>
  <c r="L1115" i="8"/>
  <c r="D1049" i="8"/>
  <c r="C1181" i="8"/>
  <c r="D983" i="8"/>
  <c r="G1115" i="8"/>
  <c r="G1181" i="8"/>
  <c r="L1181" i="8"/>
  <c r="F1181" i="8"/>
  <c r="K1181" i="8"/>
  <c r="D1181" i="8"/>
  <c r="J1181" i="8"/>
  <c r="C1115" i="8"/>
  <c r="J1049" i="8"/>
  <c r="J1115" i="8"/>
  <c r="I1181" i="8"/>
  <c r="L1049" i="8"/>
  <c r="G983" i="8"/>
  <c r="D1115" i="8"/>
  <c r="F1115" i="8"/>
  <c r="F983" i="8"/>
  <c r="E1181" i="8"/>
  <c r="K1049" i="8"/>
  <c r="E1115" i="8"/>
  <c r="J983" i="8"/>
  <c r="H1115" i="8"/>
  <c r="C983" i="8"/>
  <c r="F1049" i="8"/>
  <c r="I1115" i="8"/>
  <c r="G1049" i="8"/>
  <c r="H983" i="8"/>
  <c r="H1049" i="8"/>
  <c r="E1049" i="8"/>
  <c r="K1115" i="8"/>
  <c r="L1247" i="8"/>
  <c r="K1247" i="8"/>
  <c r="J1247" i="8"/>
  <c r="I1247" i="8"/>
  <c r="H1247" i="8"/>
  <c r="G1247" i="8"/>
  <c r="F1247" i="8"/>
  <c r="E1247" i="8"/>
  <c r="D1247" i="8"/>
  <c r="C1247" i="8"/>
  <c r="H1297" i="8"/>
  <c r="G1297" i="8"/>
  <c r="F1297" i="8"/>
  <c r="E1297" i="8"/>
  <c r="D1297" i="8"/>
  <c r="C1297" i="8"/>
  <c r="C1712" i="8" l="1"/>
  <c r="D1712" i="8"/>
  <c r="E1712" i="8"/>
  <c r="F1712" i="8"/>
  <c r="G1712" i="8"/>
  <c r="H1712" i="8"/>
  <c r="C1704" i="8"/>
  <c r="D1704" i="8"/>
  <c r="E1704" i="8"/>
  <c r="F1704" i="8"/>
  <c r="G1704" i="8"/>
  <c r="H1704" i="8"/>
  <c r="I1704" i="8"/>
  <c r="J1704" i="8"/>
  <c r="K1704" i="8"/>
  <c r="L1704" i="8"/>
  <c r="K1686" i="8"/>
  <c r="E1677" i="8"/>
  <c r="H1677" i="8"/>
  <c r="H1668" i="8"/>
  <c r="G1677" i="8"/>
  <c r="I1686" i="8"/>
  <c r="F1677" i="8"/>
  <c r="C1668" i="8"/>
  <c r="H1686" i="8"/>
  <c r="J1668" i="8"/>
  <c r="E1686" i="8"/>
  <c r="K1677" i="8"/>
  <c r="E1695" i="8"/>
  <c r="F1668" i="8"/>
  <c r="F1686" i="8"/>
  <c r="D1686" i="8"/>
  <c r="G1668" i="8"/>
  <c r="L1677" i="8"/>
  <c r="I1695" i="8"/>
  <c r="J1686" i="8"/>
  <c r="J1677" i="8"/>
  <c r="C1686" i="8"/>
  <c r="J1695" i="8"/>
  <c r="D1695" i="8"/>
  <c r="K1695" i="8"/>
  <c r="F1695" i="8"/>
  <c r="L1695" i="8"/>
  <c r="G1695" i="8"/>
  <c r="G1686" i="8"/>
  <c r="D1668" i="8"/>
  <c r="C1695" i="8"/>
  <c r="D1677" i="8"/>
  <c r="L1686" i="8"/>
  <c r="K1668" i="8"/>
  <c r="I1677" i="8"/>
  <c r="I1668" i="8"/>
  <c r="H1695" i="8"/>
  <c r="L1668" i="8"/>
  <c r="C1677" i="8"/>
  <c r="E1668" i="8"/>
  <c r="K1130" i="8"/>
  <c r="E1064" i="8"/>
  <c r="H1064" i="8"/>
  <c r="H998" i="8"/>
  <c r="G1064" i="8"/>
  <c r="I1130" i="8"/>
  <c r="F1064" i="8"/>
  <c r="C998" i="8"/>
  <c r="H1130" i="8"/>
  <c r="J998" i="8"/>
  <c r="E1130" i="8"/>
  <c r="K1064" i="8"/>
  <c r="E1196" i="8"/>
  <c r="F998" i="8"/>
  <c r="F1130" i="8"/>
  <c r="D1130" i="8"/>
  <c r="G998" i="8"/>
  <c r="L1064" i="8"/>
  <c r="I1196" i="8"/>
  <c r="J1130" i="8"/>
  <c r="J1064" i="8"/>
  <c r="C1130" i="8"/>
  <c r="J1196" i="8"/>
  <c r="D1196" i="8"/>
  <c r="K1196" i="8"/>
  <c r="F1196" i="8"/>
  <c r="L1196" i="8"/>
  <c r="G1196" i="8"/>
  <c r="G1130" i="8"/>
  <c r="D998" i="8"/>
  <c r="C1196" i="8"/>
  <c r="D1064" i="8"/>
  <c r="L1130" i="8"/>
  <c r="K998" i="8"/>
  <c r="I1064" i="8"/>
  <c r="I998" i="8"/>
  <c r="H1196" i="8"/>
  <c r="L998" i="8"/>
  <c r="C1064" i="8"/>
  <c r="E998" i="8"/>
  <c r="I1421" i="8"/>
  <c r="H1437" i="8"/>
  <c r="H1453" i="8" s="1"/>
  <c r="H1469" i="8" s="1"/>
  <c r="I1355" i="8"/>
  <c r="H1371" i="8"/>
  <c r="H1387" i="8" s="1"/>
  <c r="H1403" i="8" s="1"/>
  <c r="I1289" i="8"/>
  <c r="H1305" i="8"/>
  <c r="H1321" i="8" s="1"/>
  <c r="H1337" i="8" s="1"/>
  <c r="AA98" i="8"/>
  <c r="AA99" i="8" s="1"/>
  <c r="AM98" i="8"/>
  <c r="AM99" i="8" s="1"/>
  <c r="BK98" i="8"/>
  <c r="BK99" i="8" s="1"/>
  <c r="DG99" i="8"/>
  <c r="DG98" i="8"/>
  <c r="AY98" i="8"/>
  <c r="AY99" i="8" s="1"/>
  <c r="O98" i="8"/>
  <c r="O99" i="8" s="1"/>
  <c r="CU98" i="8"/>
  <c r="CU99" i="8" s="1"/>
  <c r="BW98" i="8"/>
  <c r="BW99" i="8" s="1"/>
  <c r="C98" i="8"/>
  <c r="C99" i="8" s="1"/>
  <c r="CI99" i="8"/>
  <c r="CI98" i="8"/>
  <c r="B1307" i="8"/>
  <c r="B1323" i="8" s="1"/>
  <c r="B1339" i="8" s="1"/>
  <c r="B1357" i="8"/>
  <c r="B1308" i="8"/>
  <c r="B1324" i="8" s="1"/>
  <c r="B1340" i="8" s="1"/>
  <c r="B1358" i="8"/>
  <c r="B1305" i="8"/>
  <c r="B1321" i="8" s="1"/>
  <c r="B1337" i="8" s="1"/>
  <c r="B1355" i="8"/>
  <c r="B1304" i="8"/>
  <c r="B1354" i="8"/>
  <c r="B1311" i="8"/>
  <c r="B1327" i="8" s="1"/>
  <c r="B1343" i="8" s="1"/>
  <c r="B1361" i="8"/>
  <c r="B1309" i="8"/>
  <c r="B1325" i="8" s="1"/>
  <c r="B1341" i="8" s="1"/>
  <c r="B1359" i="8"/>
  <c r="B1303" i="8"/>
  <c r="B1319" i="8" s="1"/>
  <c r="B1335" i="8" s="1"/>
  <c r="B1353" i="8"/>
  <c r="B1310" i="8"/>
  <c r="B1326" i="8" s="1"/>
  <c r="B1342" i="8" s="1"/>
  <c r="B1360" i="8"/>
  <c r="B1306" i="8"/>
  <c r="B1322" i="8" s="1"/>
  <c r="B1338" i="8" s="1"/>
  <c r="B1356" i="8"/>
  <c r="B1202" i="8"/>
  <c r="B1302" i="8"/>
  <c r="B1318" i="8" s="1"/>
  <c r="B1334" i="8" s="1"/>
  <c r="B1352" i="8"/>
  <c r="B1252" i="8"/>
  <c r="I1131" i="8"/>
  <c r="L1065" i="8"/>
  <c r="D999" i="8"/>
  <c r="F1065" i="8"/>
  <c r="I1197" i="8"/>
  <c r="C1197" i="8"/>
  <c r="C1131" i="8"/>
  <c r="C999" i="8"/>
  <c r="J1131" i="8"/>
  <c r="D1065" i="8"/>
  <c r="H1131" i="8"/>
  <c r="J1065" i="8"/>
  <c r="L1131" i="8"/>
  <c r="I1297" i="8"/>
  <c r="J999" i="8"/>
  <c r="K999" i="8"/>
  <c r="E1131" i="8"/>
  <c r="J1197" i="8"/>
  <c r="I1065" i="8"/>
  <c r="K1131" i="8"/>
  <c r="E1197" i="8"/>
  <c r="K1197" i="8"/>
  <c r="H1197" i="8"/>
  <c r="E1065" i="8"/>
  <c r="F999" i="8"/>
  <c r="F1197" i="8"/>
  <c r="L999" i="8"/>
  <c r="H1065" i="8"/>
  <c r="F1131" i="8"/>
  <c r="L1197" i="8"/>
  <c r="C1065" i="8"/>
  <c r="H999" i="8"/>
  <c r="D1131" i="8"/>
  <c r="G1197" i="8"/>
  <c r="E999" i="8"/>
  <c r="G1065" i="8"/>
  <c r="G999" i="8"/>
  <c r="G1131" i="8"/>
  <c r="K1065" i="8"/>
  <c r="D1197" i="8"/>
  <c r="I999" i="8"/>
  <c r="H1313" i="8"/>
  <c r="G1313" i="8"/>
  <c r="F1313" i="8"/>
  <c r="E1313" i="8"/>
  <c r="D1313" i="8"/>
  <c r="C1313" i="8"/>
  <c r="I1363" i="8"/>
  <c r="H1363" i="8"/>
  <c r="G1363" i="8"/>
  <c r="F1363" i="8"/>
  <c r="E1363" i="8"/>
  <c r="D1363" i="8"/>
  <c r="C1363" i="8"/>
  <c r="L1263" i="8"/>
  <c r="K1263" i="8"/>
  <c r="J1263" i="8"/>
  <c r="I1263" i="8"/>
  <c r="H1263" i="8"/>
  <c r="G1263" i="8"/>
  <c r="F1263" i="8"/>
  <c r="E1263" i="8"/>
  <c r="D1263" i="8"/>
  <c r="C1263" i="8"/>
  <c r="C1705" i="8" l="1"/>
  <c r="D1705" i="8"/>
  <c r="E1705" i="8"/>
  <c r="F1705" i="8"/>
  <c r="G1705" i="8"/>
  <c r="H1705" i="8"/>
  <c r="I1705" i="8"/>
  <c r="J1705" i="8"/>
  <c r="K1705" i="8"/>
  <c r="L1705" i="8"/>
  <c r="C1721" i="8"/>
  <c r="D1721" i="8"/>
  <c r="E1721" i="8"/>
  <c r="F1721" i="8"/>
  <c r="G1721" i="8"/>
  <c r="H1721" i="8"/>
  <c r="I1721" i="8"/>
  <c r="C1713" i="8"/>
  <c r="D1713" i="8"/>
  <c r="E1713" i="8"/>
  <c r="F1713" i="8"/>
  <c r="G1713" i="8"/>
  <c r="H1713" i="8"/>
  <c r="I1669" i="8"/>
  <c r="D1696" i="8"/>
  <c r="K1678" i="8"/>
  <c r="G1687" i="8"/>
  <c r="G1669" i="8"/>
  <c r="G1678" i="8"/>
  <c r="E1669" i="8"/>
  <c r="G1696" i="8"/>
  <c r="D1687" i="8"/>
  <c r="H1669" i="8"/>
  <c r="C1678" i="8"/>
  <c r="L1696" i="8"/>
  <c r="F1687" i="8"/>
  <c r="H1678" i="8"/>
  <c r="L1669" i="8"/>
  <c r="F1696" i="8"/>
  <c r="F1669" i="8"/>
  <c r="E1678" i="8"/>
  <c r="H1696" i="8"/>
  <c r="K1696" i="8"/>
  <c r="E1696" i="8"/>
  <c r="K1687" i="8"/>
  <c r="I1678" i="8"/>
  <c r="J1696" i="8"/>
  <c r="E1687" i="8"/>
  <c r="K1669" i="8"/>
  <c r="J1669" i="8"/>
  <c r="I1712" i="8"/>
  <c r="L1687" i="8"/>
  <c r="J1678" i="8"/>
  <c r="H1687" i="8"/>
  <c r="D1678" i="8"/>
  <c r="J1687" i="8"/>
  <c r="C1669" i="8"/>
  <c r="C1687" i="8"/>
  <c r="C1696" i="8"/>
  <c r="I1696" i="8"/>
  <c r="F1678" i="8"/>
  <c r="D1669" i="8"/>
  <c r="L1678" i="8"/>
  <c r="I1687" i="8"/>
  <c r="I1014" i="8"/>
  <c r="D1212" i="8"/>
  <c r="K1080" i="8"/>
  <c r="G1146" i="8"/>
  <c r="G1014" i="8"/>
  <c r="G1080" i="8"/>
  <c r="E1014" i="8"/>
  <c r="G1212" i="8"/>
  <c r="D1146" i="8"/>
  <c r="H1014" i="8"/>
  <c r="C1080" i="8"/>
  <c r="L1212" i="8"/>
  <c r="F1146" i="8"/>
  <c r="H1080" i="8"/>
  <c r="L1014" i="8"/>
  <c r="F1212" i="8"/>
  <c r="F1014" i="8"/>
  <c r="E1080" i="8"/>
  <c r="H1212" i="8"/>
  <c r="K1212" i="8"/>
  <c r="E1212" i="8"/>
  <c r="K1146" i="8"/>
  <c r="I1080" i="8"/>
  <c r="J1212" i="8"/>
  <c r="E1146" i="8"/>
  <c r="K1014" i="8"/>
  <c r="J1014" i="8"/>
  <c r="L1146" i="8"/>
  <c r="J1080" i="8"/>
  <c r="H1146" i="8"/>
  <c r="D1080" i="8"/>
  <c r="J1146" i="8"/>
  <c r="C1014" i="8"/>
  <c r="C1146" i="8"/>
  <c r="C1212" i="8"/>
  <c r="I1212" i="8"/>
  <c r="F1080" i="8"/>
  <c r="D1014" i="8"/>
  <c r="L1080" i="8"/>
  <c r="I1146" i="8"/>
  <c r="B1268" i="8"/>
  <c r="B1368" i="8"/>
  <c r="B1384" i="8" s="1"/>
  <c r="B1400" i="8" s="1"/>
  <c r="B1418" i="8"/>
  <c r="B1372" i="8"/>
  <c r="B1388" i="8" s="1"/>
  <c r="B1404" i="8" s="1"/>
  <c r="B1422" i="8"/>
  <c r="B1376" i="8"/>
  <c r="B1392" i="8" s="1"/>
  <c r="B1408" i="8" s="1"/>
  <c r="B1426" i="8"/>
  <c r="B1369" i="8"/>
  <c r="B1385" i="8" s="1"/>
  <c r="B1401" i="8" s="1"/>
  <c r="B1419" i="8"/>
  <c r="B1375" i="8"/>
  <c r="B1391" i="8" s="1"/>
  <c r="B1407" i="8" s="1"/>
  <c r="B1425" i="8"/>
  <c r="B1377" i="8"/>
  <c r="B1393" i="8" s="1"/>
  <c r="B1409" i="8" s="1"/>
  <c r="B1427" i="8"/>
  <c r="B1370" i="8"/>
  <c r="B1420" i="8"/>
  <c r="B1320" i="8"/>
  <c r="B1371" i="8"/>
  <c r="B1387" i="8" s="1"/>
  <c r="B1403" i="8" s="1"/>
  <c r="B1421" i="8"/>
  <c r="B1374" i="8"/>
  <c r="B1390" i="8" s="1"/>
  <c r="B1406" i="8" s="1"/>
  <c r="B1424" i="8"/>
  <c r="B1373" i="8"/>
  <c r="B1389" i="8" s="1"/>
  <c r="B1405" i="8" s="1"/>
  <c r="B1423" i="8"/>
  <c r="CI100" i="8"/>
  <c r="CI101" i="8" s="1"/>
  <c r="C100" i="8"/>
  <c r="C101" i="8" s="1"/>
  <c r="BW100" i="8"/>
  <c r="BW101" i="8" s="1"/>
  <c r="CU101" i="8"/>
  <c r="CU100" i="8"/>
  <c r="O100" i="8"/>
  <c r="O101" i="8" s="1"/>
  <c r="AY100" i="8"/>
  <c r="AY101" i="8" s="1"/>
  <c r="DG100" i="8"/>
  <c r="DG101" i="8" s="1"/>
  <c r="BK100" i="8"/>
  <c r="BK101" i="8" s="1"/>
  <c r="AM100" i="8"/>
  <c r="AM101" i="8" s="1"/>
  <c r="AA101" i="8"/>
  <c r="AA100" i="8"/>
  <c r="J1289" i="8"/>
  <c r="I1305" i="8"/>
  <c r="J1355" i="8"/>
  <c r="I1371" i="8"/>
  <c r="I1387" i="8" s="1"/>
  <c r="I1403" i="8" s="1"/>
  <c r="J1421" i="8"/>
  <c r="I1437" i="8"/>
  <c r="I1453" i="8" s="1"/>
  <c r="I1469" i="8" s="1"/>
  <c r="H1015" i="8"/>
  <c r="K1147" i="8"/>
  <c r="C1147" i="8"/>
  <c r="D1213" i="8"/>
  <c r="L1015" i="8"/>
  <c r="J1015" i="8"/>
  <c r="L1147" i="8"/>
  <c r="C1081" i="8"/>
  <c r="I1081" i="8"/>
  <c r="C1213" i="8"/>
  <c r="J1297" i="8"/>
  <c r="H1081" i="8"/>
  <c r="D1015" i="8"/>
  <c r="L1213" i="8"/>
  <c r="J1213" i="8"/>
  <c r="I1213" i="8"/>
  <c r="I1313" i="8"/>
  <c r="K1081" i="8"/>
  <c r="L1081" i="8"/>
  <c r="F1213" i="8"/>
  <c r="I1015" i="8"/>
  <c r="F1147" i="8"/>
  <c r="E1147" i="8"/>
  <c r="F1081" i="8"/>
  <c r="J1363" i="8"/>
  <c r="K1015" i="8"/>
  <c r="G1147" i="8"/>
  <c r="I1147" i="8"/>
  <c r="G1015" i="8"/>
  <c r="F1015" i="8"/>
  <c r="J1081" i="8"/>
  <c r="G1081" i="8"/>
  <c r="E1081" i="8"/>
  <c r="H1147" i="8"/>
  <c r="E1015" i="8"/>
  <c r="H1213" i="8"/>
  <c r="D1081" i="8"/>
  <c r="G1213" i="8"/>
  <c r="K1213" i="8"/>
  <c r="J1147" i="8"/>
  <c r="D1147" i="8"/>
  <c r="E1213" i="8"/>
  <c r="C1015" i="8"/>
  <c r="L1279" i="8"/>
  <c r="K1279" i="8"/>
  <c r="J1279" i="8"/>
  <c r="I1279" i="8"/>
  <c r="H1279" i="8"/>
  <c r="G1279" i="8"/>
  <c r="F1279" i="8"/>
  <c r="E1279" i="8"/>
  <c r="D1279" i="8"/>
  <c r="C1279" i="8"/>
  <c r="I1379" i="8"/>
  <c r="H1379" i="8"/>
  <c r="G1379" i="8"/>
  <c r="F1379" i="8"/>
  <c r="E1379" i="8"/>
  <c r="D1379" i="8"/>
  <c r="C1379" i="8"/>
  <c r="J1429" i="8"/>
  <c r="I1429" i="8"/>
  <c r="H1429" i="8"/>
  <c r="G1429" i="8"/>
  <c r="F1429" i="8"/>
  <c r="E1429" i="8"/>
  <c r="D1429" i="8"/>
  <c r="C1429" i="8"/>
  <c r="H1329" i="8"/>
  <c r="G1329" i="8"/>
  <c r="F1329" i="8"/>
  <c r="E1329" i="8"/>
  <c r="D1329" i="8"/>
  <c r="C1329" i="8"/>
  <c r="C1714" i="8" l="1"/>
  <c r="D1714" i="8"/>
  <c r="E1714" i="8"/>
  <c r="F1714" i="8"/>
  <c r="G1714" i="8"/>
  <c r="H1714" i="8"/>
  <c r="C1730" i="8"/>
  <c r="D1730" i="8"/>
  <c r="E1730" i="8"/>
  <c r="F1730" i="8"/>
  <c r="G1730" i="8"/>
  <c r="H1730" i="8"/>
  <c r="I1730" i="8"/>
  <c r="J1730" i="8"/>
  <c r="C1722" i="8"/>
  <c r="D1722" i="8"/>
  <c r="E1722" i="8"/>
  <c r="F1722" i="8"/>
  <c r="G1722" i="8"/>
  <c r="H1722" i="8"/>
  <c r="I1722" i="8"/>
  <c r="C1706" i="8"/>
  <c r="D1706" i="8"/>
  <c r="E1706" i="8"/>
  <c r="F1706" i="8"/>
  <c r="G1706" i="8"/>
  <c r="H1706" i="8"/>
  <c r="I1706" i="8"/>
  <c r="J1706" i="8"/>
  <c r="K1706" i="8"/>
  <c r="L1706" i="8"/>
  <c r="C1670" i="8"/>
  <c r="E1697" i="8"/>
  <c r="D1688" i="8"/>
  <c r="J1688" i="8"/>
  <c r="K1697" i="8"/>
  <c r="G1697" i="8"/>
  <c r="D1679" i="8"/>
  <c r="H1697" i="8"/>
  <c r="E1670" i="8"/>
  <c r="H1688" i="8"/>
  <c r="E1679" i="8"/>
  <c r="G1679" i="8"/>
  <c r="J1679" i="8"/>
  <c r="F1670" i="8"/>
  <c r="G1670" i="8"/>
  <c r="I1688" i="8"/>
  <c r="G1688" i="8"/>
  <c r="K1670" i="8"/>
  <c r="J1721" i="8"/>
  <c r="F1679" i="8"/>
  <c r="E1688" i="8"/>
  <c r="F1688" i="8"/>
  <c r="I1670" i="8"/>
  <c r="F1697" i="8"/>
  <c r="L1679" i="8"/>
  <c r="K1679" i="8"/>
  <c r="I1713" i="8"/>
  <c r="I1697" i="8"/>
  <c r="J1697" i="8"/>
  <c r="L1697" i="8"/>
  <c r="D1670" i="8"/>
  <c r="H1679" i="8"/>
  <c r="J1712" i="8"/>
  <c r="C1697" i="8"/>
  <c r="I1679" i="8"/>
  <c r="C1679" i="8"/>
  <c r="L1688" i="8"/>
  <c r="J1670" i="8"/>
  <c r="L1670" i="8"/>
  <c r="D1697" i="8"/>
  <c r="C1688" i="8"/>
  <c r="K1688" i="8"/>
  <c r="H1670" i="8"/>
  <c r="I1321" i="8"/>
  <c r="K1421" i="8"/>
  <c r="J1437" i="8"/>
  <c r="J1453" i="8" s="1"/>
  <c r="J1469" i="8" s="1"/>
  <c r="K1355" i="8"/>
  <c r="J1371" i="8"/>
  <c r="K1289" i="8"/>
  <c r="J1305" i="8"/>
  <c r="AA102" i="8"/>
  <c r="AA103" i="8" s="1"/>
  <c r="AM102" i="8"/>
  <c r="AM103" i="8" s="1"/>
  <c r="BK102" i="8"/>
  <c r="BK103" i="8" s="1"/>
  <c r="DG102" i="8"/>
  <c r="DG103" i="8" s="1"/>
  <c r="AY102" i="8"/>
  <c r="AY103" i="8" s="1"/>
  <c r="O103" i="8"/>
  <c r="O102" i="8"/>
  <c r="CU102" i="8"/>
  <c r="CU103" i="8" s="1"/>
  <c r="BW102" i="8"/>
  <c r="BW103" i="8" s="1"/>
  <c r="C102" i="8"/>
  <c r="C103" i="8" s="1"/>
  <c r="CI102" i="8"/>
  <c r="CI103" i="8" s="1"/>
  <c r="B1439" i="8"/>
  <c r="B1455" i="8" s="1"/>
  <c r="B1471" i="8" s="1"/>
  <c r="B1489" i="8"/>
  <c r="B1505" i="8" s="1"/>
  <c r="B1521" i="8" s="1"/>
  <c r="B1537" i="8" s="1"/>
  <c r="B1440" i="8"/>
  <c r="B1456" i="8" s="1"/>
  <c r="B1472" i="8" s="1"/>
  <c r="B1490" i="8"/>
  <c r="B1506" i="8" s="1"/>
  <c r="B1522" i="8" s="1"/>
  <c r="B1538" i="8" s="1"/>
  <c r="B1437" i="8"/>
  <c r="B1453" i="8" s="1"/>
  <c r="B1469" i="8" s="1"/>
  <c r="B1487" i="8"/>
  <c r="B1503" i="8" s="1"/>
  <c r="B1519" i="8" s="1"/>
  <c r="B1535" i="8" s="1"/>
  <c r="B1336" i="8"/>
  <c r="B1436" i="8"/>
  <c r="B1486" i="8"/>
  <c r="B1502" i="8" s="1"/>
  <c r="B1518" i="8" s="1"/>
  <c r="B1534" i="8" s="1"/>
  <c r="B1386" i="8"/>
  <c r="B1443" i="8"/>
  <c r="B1459" i="8" s="1"/>
  <c r="B1475" i="8" s="1"/>
  <c r="B1493" i="8"/>
  <c r="B1509" i="8" s="1"/>
  <c r="B1525" i="8" s="1"/>
  <c r="B1541" i="8" s="1"/>
  <c r="B1441" i="8"/>
  <c r="B1457" i="8" s="1"/>
  <c r="B1473" i="8" s="1"/>
  <c r="B1491" i="8"/>
  <c r="B1507" i="8" s="1"/>
  <c r="B1523" i="8" s="1"/>
  <c r="B1539" i="8" s="1"/>
  <c r="B1435" i="8"/>
  <c r="B1451" i="8" s="1"/>
  <c r="B1467" i="8" s="1"/>
  <c r="B1485" i="8"/>
  <c r="B1501" i="8" s="1"/>
  <c r="B1517" i="8" s="1"/>
  <c r="B1533" i="8" s="1"/>
  <c r="B1442" i="8"/>
  <c r="B1458" i="8" s="1"/>
  <c r="B1474" i="8" s="1"/>
  <c r="B1492" i="8"/>
  <c r="B1508" i="8" s="1"/>
  <c r="B1524" i="8" s="1"/>
  <c r="B1540" i="8" s="1"/>
  <c r="B1438" i="8"/>
  <c r="B1454" i="8" s="1"/>
  <c r="B1470" i="8" s="1"/>
  <c r="B1488" i="8"/>
  <c r="B1504" i="8" s="1"/>
  <c r="B1520" i="8" s="1"/>
  <c r="B1536" i="8" s="1"/>
  <c r="B1434" i="8"/>
  <c r="B1450" i="8" s="1"/>
  <c r="B1466" i="8" s="1"/>
  <c r="B1484" i="8"/>
  <c r="B1500" i="8" s="1"/>
  <c r="B1516" i="8" s="1"/>
  <c r="B1532" i="8" s="1"/>
  <c r="K1363" i="8"/>
  <c r="K1297" i="8"/>
  <c r="I1329" i="8"/>
  <c r="J1379" i="8"/>
  <c r="K1429" i="8"/>
  <c r="J1313" i="8"/>
  <c r="H1345" i="8"/>
  <c r="G1345" i="8"/>
  <c r="F1345" i="8"/>
  <c r="E1345" i="8"/>
  <c r="D1345" i="8"/>
  <c r="C1345" i="8"/>
  <c r="J1445" i="8"/>
  <c r="I1445" i="8"/>
  <c r="H1445" i="8"/>
  <c r="G1445" i="8"/>
  <c r="F1445" i="8"/>
  <c r="E1445" i="8"/>
  <c r="D1445" i="8"/>
  <c r="C1445" i="8"/>
  <c r="I1395" i="8"/>
  <c r="H1395" i="8"/>
  <c r="G1395" i="8"/>
  <c r="F1395" i="8"/>
  <c r="E1395" i="8"/>
  <c r="D1395" i="8"/>
  <c r="C1395" i="8"/>
  <c r="C1723" i="8" l="1"/>
  <c r="D1723" i="8"/>
  <c r="E1723" i="8"/>
  <c r="F1723" i="8"/>
  <c r="G1723" i="8"/>
  <c r="H1723" i="8"/>
  <c r="I1723" i="8"/>
  <c r="C1731" i="8"/>
  <c r="D1731" i="8"/>
  <c r="E1731" i="8"/>
  <c r="F1731" i="8"/>
  <c r="G1731" i="8"/>
  <c r="H1731" i="8"/>
  <c r="I1731" i="8"/>
  <c r="J1731" i="8"/>
  <c r="C1715" i="8"/>
  <c r="D1715" i="8"/>
  <c r="E1715" i="8"/>
  <c r="F1715" i="8"/>
  <c r="G1715" i="8"/>
  <c r="H1715" i="8"/>
  <c r="J1713" i="8"/>
  <c r="K1730" i="8"/>
  <c r="J1722" i="8"/>
  <c r="I1714" i="8"/>
  <c r="K1712" i="8"/>
  <c r="K1721" i="8"/>
  <c r="J1321" i="8"/>
  <c r="J1387" i="8"/>
  <c r="I1337" i="8"/>
  <c r="B1402" i="8"/>
  <c r="B1452" i="8"/>
  <c r="CI104" i="8"/>
  <c r="CI105" i="8" s="1"/>
  <c r="C104" i="8"/>
  <c r="C105" i="8" s="1"/>
  <c r="BW105" i="8"/>
  <c r="BW104" i="8"/>
  <c r="CU104" i="8"/>
  <c r="CU105" i="8" s="1"/>
  <c r="O104" i="8"/>
  <c r="O105" i="8" s="1"/>
  <c r="AY104" i="8"/>
  <c r="AY105" i="8" s="1"/>
  <c r="DG104" i="8"/>
  <c r="DG105" i="8" s="1"/>
  <c r="BK104" i="8"/>
  <c r="BK105" i="8" s="1"/>
  <c r="AM105" i="8"/>
  <c r="AM104" i="8"/>
  <c r="AA104" i="8"/>
  <c r="AA105" i="8" s="1"/>
  <c r="L1289" i="8"/>
  <c r="K1305" i="8"/>
  <c r="L1355" i="8"/>
  <c r="K1371" i="8"/>
  <c r="L1421" i="8"/>
  <c r="K1437" i="8"/>
  <c r="L1297" i="8"/>
  <c r="K1379" i="8"/>
  <c r="J1329" i="8"/>
  <c r="J1395" i="8"/>
  <c r="L1429" i="8"/>
  <c r="K1445" i="8"/>
  <c r="I1345" i="8"/>
  <c r="K1313" i="8"/>
  <c r="L1363" i="8"/>
  <c r="I1411" i="8"/>
  <c r="H1411" i="8"/>
  <c r="G1411" i="8"/>
  <c r="F1411" i="8"/>
  <c r="E1411" i="8"/>
  <c r="D1411" i="8"/>
  <c r="C1411" i="8"/>
  <c r="J1461" i="8"/>
  <c r="I1461" i="8"/>
  <c r="H1461" i="8"/>
  <c r="G1461" i="8"/>
  <c r="F1461" i="8"/>
  <c r="E1461" i="8"/>
  <c r="D1461" i="8"/>
  <c r="C1461" i="8"/>
  <c r="C1732" i="8" l="1"/>
  <c r="D1732" i="8"/>
  <c r="E1732" i="8"/>
  <c r="F1732" i="8"/>
  <c r="G1732" i="8"/>
  <c r="H1732" i="8"/>
  <c r="I1732" i="8"/>
  <c r="J1732" i="8"/>
  <c r="C1724" i="8"/>
  <c r="D1724" i="8"/>
  <c r="E1724" i="8"/>
  <c r="F1724" i="8"/>
  <c r="G1724" i="8"/>
  <c r="H1724" i="8"/>
  <c r="I1724" i="8"/>
  <c r="L1721" i="8"/>
  <c r="K1713" i="8"/>
  <c r="I1715" i="8"/>
  <c r="K1731" i="8"/>
  <c r="L1730" i="8"/>
  <c r="J1723" i="8"/>
  <c r="J1714" i="8"/>
  <c r="K1722" i="8"/>
  <c r="L1712" i="8"/>
  <c r="L1371" i="8"/>
  <c r="K1321" i="8"/>
  <c r="K1453" i="8"/>
  <c r="L1437" i="8"/>
  <c r="J1403" i="8"/>
  <c r="J1337" i="8"/>
  <c r="K1387" i="8"/>
  <c r="L1305" i="8"/>
  <c r="AA106" i="8"/>
  <c r="AA107" i="8" s="1"/>
  <c r="AM106" i="8"/>
  <c r="AM107" i="8" s="1"/>
  <c r="BK106" i="8"/>
  <c r="BK107" i="8" s="1"/>
  <c r="DG106" i="8"/>
  <c r="DG107" i="8" s="1"/>
  <c r="AY106" i="8"/>
  <c r="AY107" i="8" s="1"/>
  <c r="O106" i="8"/>
  <c r="O107" i="8" s="1"/>
  <c r="CU106" i="8"/>
  <c r="CU107" i="8" s="1"/>
  <c r="BW106" i="8"/>
  <c r="BW107" i="8" s="1"/>
  <c r="C106" i="8"/>
  <c r="C107" i="8" s="1"/>
  <c r="CI106" i="8"/>
  <c r="CI107" i="8" s="1"/>
  <c r="B1468" i="8"/>
  <c r="L1379" i="8"/>
  <c r="L1313" i="8"/>
  <c r="L1445" i="8"/>
  <c r="J1411" i="8"/>
  <c r="J1345" i="8"/>
  <c r="K1329" i="8"/>
  <c r="K1461" i="8"/>
  <c r="K1395" i="8"/>
  <c r="J1477" i="8"/>
  <c r="I1477" i="8"/>
  <c r="H1477" i="8"/>
  <c r="G1477" i="8"/>
  <c r="F1477" i="8"/>
  <c r="E1477" i="8"/>
  <c r="D1477" i="8"/>
  <c r="C1477" i="8"/>
  <c r="C1733" i="8" l="1"/>
  <c r="D1733" i="8"/>
  <c r="E1733" i="8"/>
  <c r="F1733" i="8"/>
  <c r="G1733" i="8"/>
  <c r="H1733" i="8"/>
  <c r="I1733" i="8"/>
  <c r="J1733" i="8"/>
  <c r="K1723" i="8"/>
  <c r="K1732" i="8"/>
  <c r="K1714" i="8"/>
  <c r="J1715" i="8"/>
  <c r="J1724" i="8"/>
  <c r="L1731" i="8"/>
  <c r="L1713" i="8"/>
  <c r="L1722" i="8"/>
  <c r="K1403" i="8"/>
  <c r="K1469" i="8"/>
  <c r="K1337" i="8"/>
  <c r="L1453" i="8"/>
  <c r="L1321" i="8"/>
  <c r="L1387" i="8"/>
  <c r="CI108" i="8"/>
  <c r="CI109" i="8" s="1"/>
  <c r="C108" i="8"/>
  <c r="C109" i="8" s="1"/>
  <c r="BW108" i="8"/>
  <c r="BW109" i="8" s="1"/>
  <c r="CU108" i="8"/>
  <c r="CU109" i="8" s="1"/>
  <c r="O108" i="8"/>
  <c r="O109" i="8" s="1"/>
  <c r="AY108" i="8"/>
  <c r="AY109" i="8" s="1"/>
  <c r="DG108" i="8"/>
  <c r="DG109" i="8" s="1"/>
  <c r="BK108" i="8"/>
  <c r="BK109" i="8" s="1"/>
  <c r="AM108" i="8"/>
  <c r="AM109" i="8" s="1"/>
  <c r="AA108" i="8"/>
  <c r="AA109" i="8" s="1"/>
  <c r="K1411" i="8"/>
  <c r="K1345" i="8"/>
  <c r="L1329" i="8"/>
  <c r="L1395" i="8"/>
  <c r="K1477" i="8"/>
  <c r="L1461" i="8"/>
  <c r="L1732" i="8" l="1"/>
  <c r="K1733" i="8"/>
  <c r="L1723" i="8"/>
  <c r="L1714" i="8"/>
  <c r="K1715" i="8"/>
  <c r="K1724" i="8"/>
  <c r="L1469" i="8"/>
  <c r="L1403" i="8"/>
  <c r="L1337" i="8"/>
  <c r="AA110" i="8"/>
  <c r="AA111" i="8" s="1"/>
  <c r="AM110" i="8"/>
  <c r="AM111" i="8" s="1"/>
  <c r="BK111" i="8"/>
  <c r="BK110" i="8"/>
  <c r="DG110" i="8"/>
  <c r="DG111" i="8" s="1"/>
  <c r="AY110" i="8"/>
  <c r="AY111" i="8" s="1"/>
  <c r="O110" i="8"/>
  <c r="O111" i="8" s="1"/>
  <c r="CU110" i="8"/>
  <c r="CU111" i="8" s="1"/>
  <c r="BW110" i="8"/>
  <c r="BW111" i="8" s="1"/>
  <c r="C111" i="8"/>
  <c r="C110" i="8"/>
  <c r="CI110" i="8"/>
  <c r="CI111" i="8" s="1"/>
  <c r="L1477" i="8"/>
  <c r="L1411" i="8"/>
  <c r="L1345" i="8"/>
  <c r="L1715" i="8" l="1"/>
  <c r="L1724" i="8"/>
  <c r="L1733" i="8"/>
  <c r="CI112" i="8"/>
  <c r="CI113" i="8" s="1"/>
  <c r="C112" i="8"/>
  <c r="C113" i="8" s="1"/>
  <c r="BW113" i="8"/>
  <c r="BW112" i="8"/>
  <c r="CU112" i="8"/>
  <c r="CU113" i="8" s="1"/>
  <c r="O112" i="8"/>
  <c r="O113" i="8" s="1"/>
  <c r="AY112" i="8"/>
  <c r="AY113" i="8" s="1"/>
  <c r="DG112" i="8"/>
  <c r="DG113" i="8" s="1"/>
  <c r="BK112" i="8"/>
  <c r="BK113" i="8" s="1"/>
  <c r="AM113" i="8"/>
  <c r="AM112" i="8"/>
  <c r="AA112" i="8"/>
  <c r="AA113" i="8" s="1"/>
  <c r="AA114" i="8" l="1"/>
  <c r="AA115" i="8" s="1"/>
  <c r="AM114" i="8"/>
  <c r="AM115" i="8" s="1"/>
  <c r="BK114" i="8"/>
  <c r="BK115" i="8" s="1"/>
  <c r="DG114" i="8"/>
  <c r="DG115" i="8" s="1"/>
  <c r="AY114" i="8"/>
  <c r="AY115" i="8" s="1"/>
  <c r="O114" i="8"/>
  <c r="O115" i="8" s="1"/>
  <c r="CU114" i="8"/>
  <c r="CU115" i="8" s="1"/>
  <c r="BW114" i="8"/>
  <c r="BW115" i="8" s="1"/>
  <c r="C114" i="8"/>
  <c r="C115" i="8" s="1"/>
  <c r="CI114" i="8"/>
  <c r="CI115" i="8" s="1"/>
  <c r="CI117" i="8" l="1"/>
  <c r="CI116" i="8"/>
  <c r="C116" i="8"/>
  <c r="C117" i="8" s="1"/>
  <c r="BW116" i="8"/>
  <c r="BW117" i="8" s="1"/>
  <c r="CU116" i="8"/>
  <c r="CU117" i="8" s="1"/>
  <c r="O116" i="8"/>
  <c r="O117" i="8" s="1"/>
  <c r="AY116" i="8"/>
  <c r="AY117" i="8" s="1"/>
  <c r="DG117" i="8"/>
  <c r="DG116" i="8"/>
  <c r="BK116" i="8"/>
  <c r="BK117" i="8" s="1"/>
  <c r="AM116" i="8"/>
  <c r="AM117" i="8" s="1"/>
  <c r="AA116" i="8"/>
  <c r="AA117" i="8" s="1"/>
  <c r="AA118" i="8" l="1"/>
  <c r="AA119" i="8" s="1"/>
  <c r="AM118" i="8"/>
  <c r="AM119" i="8" s="1"/>
  <c r="BK118" i="8"/>
  <c r="BK119" i="8" s="1"/>
  <c r="DG118" i="8"/>
  <c r="DG119" i="8" s="1"/>
  <c r="AY118" i="8"/>
  <c r="AY119" i="8" s="1"/>
  <c r="O118" i="8"/>
  <c r="O119" i="8" s="1"/>
  <c r="CU118" i="8"/>
  <c r="CU119" i="8" s="1"/>
  <c r="BW118" i="8"/>
  <c r="BW119" i="8" s="1"/>
  <c r="C118" i="8"/>
  <c r="C119" i="8" s="1"/>
  <c r="CI118" i="8"/>
  <c r="CI119" i="8" s="1"/>
  <c r="CI120" i="8" l="1"/>
  <c r="CI121" i="8" s="1"/>
  <c r="C120" i="8"/>
  <c r="C121" i="8" s="1"/>
  <c r="BW120" i="8"/>
  <c r="BW121" i="8" s="1"/>
  <c r="CU120" i="8"/>
  <c r="CU121" i="8" s="1"/>
  <c r="O120" i="8"/>
  <c r="O121" i="8" s="1"/>
  <c r="AY120" i="8"/>
  <c r="AY121" i="8" s="1"/>
  <c r="DG120" i="8"/>
  <c r="DG121" i="8" s="1"/>
  <c r="BK120" i="8"/>
  <c r="BK121" i="8" s="1"/>
  <c r="AM120" i="8"/>
  <c r="AM121" i="8" s="1"/>
  <c r="AA120" i="8"/>
  <c r="AA121" i="8" s="1"/>
  <c r="AA123" i="8" l="1"/>
  <c r="AA122" i="8"/>
  <c r="AM122" i="8"/>
  <c r="AM123" i="8" s="1"/>
  <c r="BK122" i="8"/>
  <c r="BK123" i="8" s="1"/>
  <c r="DG122" i="8"/>
  <c r="DG123" i="8" s="1"/>
  <c r="AY122" i="8"/>
  <c r="AY123" i="8" s="1"/>
  <c r="O122" i="8"/>
  <c r="O123" i="8" s="1"/>
  <c r="CU123" i="8"/>
  <c r="CU122" i="8"/>
  <c r="BW122" i="8"/>
  <c r="BW123" i="8" s="1"/>
  <c r="C122" i="8"/>
  <c r="C123" i="8" s="1"/>
  <c r="CI122" i="8"/>
  <c r="CI123" i="8" s="1"/>
  <c r="CI124" i="8" l="1"/>
  <c r="CI125" i="8" s="1"/>
  <c r="C124" i="8"/>
  <c r="C125" i="8" s="1"/>
  <c r="BW124" i="8"/>
  <c r="BW125" i="8" s="1"/>
  <c r="CU124" i="8"/>
  <c r="CU125" i="8" s="1"/>
  <c r="O124" i="8"/>
  <c r="O125" i="8" s="1"/>
  <c r="AY124" i="8"/>
  <c r="AY125" i="8" s="1"/>
  <c r="DG124" i="8"/>
  <c r="DG125" i="8" s="1"/>
  <c r="BK124" i="8"/>
  <c r="BK125" i="8" s="1"/>
  <c r="AM124" i="8"/>
  <c r="AM125" i="8" s="1"/>
  <c r="AA124" i="8"/>
  <c r="AA125" i="8" s="1"/>
  <c r="E941" i="8" l="1"/>
  <c r="AA718" i="8"/>
  <c r="F941" i="8"/>
  <c r="AM718" i="8"/>
  <c r="G941" i="8"/>
  <c r="AY718" i="8"/>
  <c r="H941" i="8"/>
  <c r="BK718" i="8"/>
  <c r="I941" i="8"/>
  <c r="BW718" i="8"/>
  <c r="J941" i="8"/>
  <c r="CI718" i="8"/>
  <c r="K941" i="8"/>
  <c r="CU718" i="8"/>
  <c r="L941" i="8"/>
  <c r="DG718" i="8"/>
  <c r="C938" i="8"/>
  <c r="C676" i="8"/>
  <c r="C939" i="8"/>
  <c r="C688" i="8"/>
  <c r="C937" i="8"/>
  <c r="C940" i="8"/>
  <c r="C703" i="8"/>
  <c r="C941" i="8"/>
  <c r="C718" i="8"/>
  <c r="D939" i="8"/>
  <c r="O688" i="8"/>
  <c r="D937" i="8"/>
  <c r="D940" i="8"/>
  <c r="O703" i="8"/>
  <c r="D941" i="8"/>
  <c r="O718" i="8"/>
  <c r="C942" i="8"/>
  <c r="C733" i="8"/>
  <c r="C209" i="8"/>
  <c r="C675" i="8"/>
  <c r="C687" i="8"/>
  <c r="C702" i="8"/>
  <c r="C717" i="8"/>
  <c r="C732" i="8"/>
  <c r="D942" i="8"/>
  <c r="O733" i="8"/>
  <c r="O675" i="8"/>
  <c r="O687" i="8"/>
  <c r="O702" i="8"/>
  <c r="O717" i="8"/>
  <c r="O732" i="8"/>
  <c r="E937" i="8"/>
  <c r="O209" i="8"/>
  <c r="O676" i="8"/>
  <c r="D938" i="8"/>
  <c r="AA688" i="8"/>
  <c r="E939" i="8"/>
  <c r="AA703" i="8"/>
  <c r="E940" i="8"/>
  <c r="E942" i="8"/>
  <c r="AA733" i="8"/>
  <c r="AA675" i="8"/>
  <c r="AA687" i="8"/>
  <c r="AA702" i="8"/>
  <c r="AA717" i="8"/>
  <c r="AA732" i="8"/>
  <c r="AA209" i="8"/>
  <c r="AA676" i="8"/>
  <c r="E938" i="8"/>
  <c r="AM676" i="8"/>
  <c r="F938" i="8"/>
  <c r="AM688" i="8"/>
  <c r="F939" i="8"/>
  <c r="AM703" i="8"/>
  <c r="F940" i="8"/>
  <c r="F937" i="8"/>
  <c r="F942" i="8"/>
  <c r="AM733" i="8"/>
  <c r="AM209" i="8"/>
  <c r="AM675" i="8"/>
  <c r="AM687" i="8"/>
  <c r="AM702" i="8"/>
  <c r="AM717" i="8"/>
  <c r="AM732" i="8"/>
  <c r="G938" i="8"/>
  <c r="AY676" i="8"/>
  <c r="G937" i="8"/>
  <c r="AY688" i="8"/>
  <c r="G939" i="8"/>
  <c r="AY703" i="8"/>
  <c r="G940" i="8"/>
  <c r="H937" i="8"/>
  <c r="BK688" i="8"/>
  <c r="H939" i="8"/>
  <c r="BK703" i="8"/>
  <c r="H940" i="8"/>
  <c r="G942" i="8"/>
  <c r="AY733" i="8"/>
  <c r="AY209" i="8"/>
  <c r="AY675" i="8"/>
  <c r="AY687" i="8"/>
  <c r="AY702" i="8"/>
  <c r="AY717" i="8"/>
  <c r="AY732" i="8"/>
  <c r="H942" i="8"/>
  <c r="BK733" i="8"/>
  <c r="BK675" i="8"/>
  <c r="BK687" i="8"/>
  <c r="BK702" i="8"/>
  <c r="BK717" i="8"/>
  <c r="BK732" i="8"/>
  <c r="BK209" i="8"/>
  <c r="BK676" i="8"/>
  <c r="H938" i="8"/>
  <c r="I937" i="8"/>
  <c r="BW676" i="8"/>
  <c r="I938" i="8"/>
  <c r="BW688" i="8"/>
  <c r="I939" i="8"/>
  <c r="BW703" i="8"/>
  <c r="I940" i="8"/>
  <c r="I942" i="8"/>
  <c r="BW733" i="8"/>
  <c r="BW209" i="8"/>
  <c r="BW675" i="8"/>
  <c r="BW687" i="8"/>
  <c r="BW702" i="8"/>
  <c r="BW717" i="8"/>
  <c r="BW732" i="8"/>
  <c r="J938" i="8"/>
  <c r="CI676" i="8"/>
  <c r="J937" i="8"/>
  <c r="CI688" i="8"/>
  <c r="J939" i="8"/>
  <c r="J942" i="8"/>
  <c r="CI733" i="8"/>
  <c r="CI717" i="8"/>
  <c r="CI732" i="8"/>
  <c r="CI209" i="8"/>
  <c r="CI675" i="8"/>
  <c r="CI687" i="8"/>
  <c r="CI702" i="8"/>
  <c r="CI703" i="8"/>
  <c r="J940" i="8"/>
  <c r="K938" i="8"/>
  <c r="CU676" i="8"/>
  <c r="K937" i="8"/>
  <c r="CU688" i="8"/>
  <c r="K939" i="8"/>
  <c r="CU703" i="8"/>
  <c r="K940" i="8"/>
  <c r="K942" i="8"/>
  <c r="CU733" i="8"/>
  <c r="CU209" i="8"/>
  <c r="CU675" i="8"/>
  <c r="CU687" i="8"/>
  <c r="CU702" i="8"/>
  <c r="CU717" i="8"/>
  <c r="CU732" i="8"/>
  <c r="L938" i="8"/>
  <c r="DG676" i="8"/>
  <c r="DG703" i="8"/>
  <c r="L940" i="8"/>
  <c r="DG688" i="8"/>
  <c r="L939" i="8"/>
  <c r="L937" i="8"/>
  <c r="L942" i="8"/>
  <c r="DG733" i="8"/>
  <c r="DG209" i="8"/>
  <c r="DG675" i="8"/>
  <c r="DG687" i="8"/>
  <c r="DG702" i="8"/>
  <c r="DG717" i="8"/>
  <c r="DG732" i="8"/>
  <c r="L893" i="8"/>
  <c r="DG356" i="8"/>
  <c r="E861" i="8"/>
  <c r="E835" i="8"/>
  <c r="E862" i="8"/>
  <c r="E836" i="8"/>
  <c r="C133" i="8"/>
  <c r="F156" i="8"/>
  <c r="G156" i="8"/>
  <c r="H911" i="8"/>
  <c r="BK484" i="8"/>
  <c r="C862" i="8"/>
  <c r="C836" i="8"/>
  <c r="F853" i="8"/>
  <c r="F827" i="8"/>
  <c r="AM179" i="8"/>
  <c r="E852" i="8"/>
  <c r="E826" i="8"/>
  <c r="AA178" i="8"/>
  <c r="CU796" i="8"/>
  <c r="CU781" i="8"/>
  <c r="CU766" i="8"/>
  <c r="CU751" i="8"/>
  <c r="AM172" i="8"/>
  <c r="AP172" i="8"/>
  <c r="C884" i="8"/>
  <c r="C292" i="8"/>
  <c r="I830" i="8"/>
  <c r="BW182" i="8"/>
  <c r="F829" i="8"/>
  <c r="AM181" i="8"/>
  <c r="D911" i="8"/>
  <c r="O484" i="8"/>
  <c r="CI211" i="8"/>
  <c r="J833" i="8"/>
  <c r="CI185" i="8"/>
  <c r="H853" i="8"/>
  <c r="H827" i="8"/>
  <c r="BK179" i="8"/>
  <c r="H884" i="8"/>
  <c r="BK292" i="8"/>
  <c r="I920" i="8"/>
  <c r="BW548" i="8"/>
  <c r="K893" i="8"/>
  <c r="CU356" i="8"/>
  <c r="I861" i="8"/>
  <c r="I835" i="8"/>
  <c r="E854" i="8"/>
  <c r="E828" i="8"/>
  <c r="AA180" i="8"/>
  <c r="J920" i="8"/>
  <c r="CI548" i="8"/>
  <c r="O178" i="8"/>
  <c r="D826" i="8"/>
  <c r="D852" i="8"/>
  <c r="K831" i="8"/>
  <c r="CU183" i="8"/>
  <c r="BW180" i="8"/>
  <c r="I828" i="8"/>
  <c r="I854" i="8"/>
  <c r="CU213" i="8"/>
  <c r="L911" i="8"/>
  <c r="DG484" i="8"/>
  <c r="K864" i="8"/>
  <c r="K838" i="8"/>
  <c r="DG133" i="8"/>
  <c r="DJ156" i="8"/>
  <c r="DK156" i="8"/>
  <c r="K902" i="8"/>
  <c r="CU420" i="8"/>
  <c r="C852" i="8"/>
  <c r="C826" i="8"/>
  <c r="C178" i="8"/>
  <c r="I834" i="8"/>
  <c r="BW186" i="8"/>
  <c r="BK172" i="8"/>
  <c r="BN172" i="8"/>
  <c r="I833" i="8"/>
  <c r="BW185" i="8"/>
  <c r="L853" i="8"/>
  <c r="L827" i="8"/>
  <c r="DG179" i="8"/>
  <c r="E844" i="8"/>
  <c r="AA196" i="8"/>
  <c r="AA220" i="8"/>
  <c r="F862" i="8"/>
  <c r="F836" i="8"/>
  <c r="J830" i="8"/>
  <c r="CI182" i="8"/>
  <c r="BW179" i="8"/>
  <c r="I827" i="8"/>
  <c r="I853" i="8"/>
  <c r="K830" i="8"/>
  <c r="CU182" i="8"/>
  <c r="E863" i="8"/>
  <c r="E837" i="8"/>
  <c r="E833" i="8"/>
  <c r="AA185" i="8"/>
  <c r="AM180" i="8"/>
  <c r="F828" i="8"/>
  <c r="F854" i="8"/>
  <c r="I831" i="8"/>
  <c r="BW183" i="8"/>
  <c r="DG172" i="8"/>
  <c r="DJ172" i="8"/>
  <c r="E832" i="8"/>
  <c r="AA184" i="8"/>
  <c r="I902" i="8"/>
  <c r="BW420" i="8"/>
  <c r="J854" i="8"/>
  <c r="J828" i="8"/>
  <c r="CI180" i="8"/>
  <c r="C911" i="8"/>
  <c r="C484" i="8"/>
  <c r="D830" i="8"/>
  <c r="O182" i="8"/>
  <c r="CI172" i="8"/>
  <c r="CL172" i="8"/>
  <c r="CI133" i="8"/>
  <c r="CL156" i="8"/>
  <c r="CM156" i="8"/>
  <c r="CU178" i="8"/>
  <c r="K826" i="8"/>
  <c r="K852" i="8"/>
  <c r="D831" i="8"/>
  <c r="O183" i="8"/>
  <c r="E911" i="8"/>
  <c r="AA484" i="8"/>
  <c r="O179" i="8"/>
  <c r="D827" i="8"/>
  <c r="D853" i="8"/>
  <c r="O218" i="8"/>
  <c r="O194" i="8"/>
  <c r="D842" i="8"/>
  <c r="L920" i="8"/>
  <c r="DG548" i="8"/>
  <c r="K832" i="8"/>
  <c r="CU184" i="8"/>
  <c r="AM188" i="8"/>
  <c r="AM212" i="8"/>
  <c r="AA172" i="8"/>
  <c r="AD172" i="8"/>
  <c r="G830" i="8"/>
  <c r="AY182" i="8"/>
  <c r="I946" i="8"/>
  <c r="CI179" i="8"/>
  <c r="J827" i="8"/>
  <c r="J853" i="8"/>
  <c r="J862" i="8"/>
  <c r="J836" i="8"/>
  <c r="G920" i="8"/>
  <c r="AY548" i="8"/>
  <c r="K829" i="8"/>
  <c r="CU181" i="8"/>
  <c r="D875" i="8"/>
  <c r="O228" i="8"/>
  <c r="AY217" i="8"/>
  <c r="AY193" i="8"/>
  <c r="G841" i="8"/>
  <c r="K834" i="8"/>
  <c r="CU186" i="8"/>
  <c r="AA217" i="8"/>
  <c r="AA193" i="8"/>
  <c r="E841" i="8"/>
  <c r="D929" i="8"/>
  <c r="O612" i="8"/>
  <c r="K884" i="8"/>
  <c r="CU292" i="8"/>
  <c r="H875" i="8"/>
  <c r="BK228" i="8"/>
  <c r="I893" i="8"/>
  <c r="BW356" i="8"/>
  <c r="K833" i="8"/>
  <c r="CU185" i="8"/>
  <c r="H864" i="8"/>
  <c r="H838" i="8"/>
  <c r="C179" i="8"/>
  <c r="C827" i="8"/>
  <c r="C853" i="8"/>
  <c r="H829" i="8"/>
  <c r="BK181" i="8"/>
  <c r="O216" i="8"/>
  <c r="O192" i="8"/>
  <c r="D840" i="8"/>
  <c r="G861" i="8"/>
  <c r="G835" i="8"/>
  <c r="K929" i="8"/>
  <c r="CU612" i="8"/>
  <c r="BW215" i="8"/>
  <c r="BW191" i="8"/>
  <c r="I839" i="8"/>
  <c r="H929" i="8"/>
  <c r="BK612" i="8"/>
  <c r="I911" i="8"/>
  <c r="BW484" i="8"/>
  <c r="AA189" i="8"/>
  <c r="AA213" i="8"/>
  <c r="D861" i="8"/>
  <c r="D835" i="8"/>
  <c r="AM751" i="8"/>
  <c r="AM766" i="8"/>
  <c r="AM781" i="8"/>
  <c r="AM796" i="8"/>
  <c r="G832" i="8"/>
  <c r="AY184" i="8"/>
  <c r="G831" i="8"/>
  <c r="AY183" i="8"/>
  <c r="CI217" i="8"/>
  <c r="CI193" i="8"/>
  <c r="J841" i="8"/>
  <c r="E864" i="8"/>
  <c r="E838" i="8"/>
  <c r="H844" i="8"/>
  <c r="BK196" i="8"/>
  <c r="BK220" i="8"/>
  <c r="O221" i="8"/>
  <c r="O197" i="8"/>
  <c r="D845" i="8"/>
  <c r="CI187" i="8"/>
  <c r="J835" i="8"/>
  <c r="J861" i="8"/>
  <c r="AA187" i="8"/>
  <c r="AA211" i="8"/>
  <c r="D862" i="8"/>
  <c r="D836" i="8"/>
  <c r="C929" i="8"/>
  <c r="C612" i="8"/>
  <c r="I864" i="8"/>
  <c r="I838" i="8"/>
  <c r="F861" i="8"/>
  <c r="F835" i="8"/>
  <c r="G839" i="8"/>
  <c r="AY191" i="8"/>
  <c r="AY215" i="8"/>
  <c r="AY187" i="8"/>
  <c r="AY211" i="8"/>
  <c r="F831" i="8"/>
  <c r="AM183" i="8"/>
  <c r="D854" i="8"/>
  <c r="D828" i="8"/>
  <c r="O180" i="8"/>
  <c r="F844" i="8"/>
  <c r="AM196" i="8"/>
  <c r="AM220" i="8"/>
  <c r="AM187" i="8"/>
  <c r="AM211" i="8"/>
  <c r="I875" i="8"/>
  <c r="BW228" i="8"/>
  <c r="DG178" i="8"/>
  <c r="L826" i="8"/>
  <c r="L852" i="8"/>
  <c r="L831" i="8"/>
  <c r="DG183" i="8"/>
  <c r="L847" i="8"/>
  <c r="L825" i="8"/>
  <c r="L851" i="8"/>
  <c r="AY221" i="8"/>
  <c r="AY197" i="8"/>
  <c r="G845" i="8"/>
  <c r="F846" i="8"/>
  <c r="AQ174" i="8"/>
  <c r="AP173" i="8"/>
  <c r="AM173" i="8"/>
  <c r="AM198" i="8"/>
  <c r="AM222" i="8"/>
  <c r="C217" i="8"/>
  <c r="C193" i="8"/>
  <c r="C841" i="8"/>
  <c r="I863" i="8"/>
  <c r="I837" i="8"/>
  <c r="J846" i="8"/>
  <c r="CM174" i="8"/>
  <c r="CL173" i="8"/>
  <c r="CI173" i="8"/>
  <c r="CI198" i="8"/>
  <c r="CI222" i="8"/>
  <c r="AY219" i="8"/>
  <c r="AY195" i="8"/>
  <c r="G843" i="8"/>
  <c r="AY214" i="8"/>
  <c r="F864" i="8"/>
  <c r="F838" i="8"/>
  <c r="I832" i="8"/>
  <c r="BW184" i="8"/>
  <c r="C796" i="8"/>
  <c r="C781" i="8"/>
  <c r="C766" i="8"/>
  <c r="C751" i="8"/>
  <c r="G902" i="8"/>
  <c r="AY420" i="8"/>
  <c r="H863" i="8"/>
  <c r="H837" i="8"/>
  <c r="CU210" i="8"/>
  <c r="CU739" i="8"/>
  <c r="K946" i="8"/>
  <c r="BW218" i="8"/>
  <c r="BW194" i="8"/>
  <c r="I842" i="8"/>
  <c r="C213" i="8"/>
  <c r="J845" i="8"/>
  <c r="CI197" i="8"/>
  <c r="CI221" i="8"/>
  <c r="E893" i="8"/>
  <c r="AA356" i="8"/>
  <c r="J946" i="8"/>
  <c r="K861" i="8"/>
  <c r="K835" i="8"/>
  <c r="H833" i="8"/>
  <c r="BK185" i="8"/>
  <c r="J884" i="8"/>
  <c r="CI292" i="8"/>
  <c r="J829" i="8"/>
  <c r="CI181" i="8"/>
  <c r="AY133" i="8"/>
  <c r="BB156" i="8"/>
  <c r="BC156" i="8"/>
  <c r="F911" i="8"/>
  <c r="AM484" i="8"/>
  <c r="AY190" i="8"/>
  <c r="G838" i="8"/>
  <c r="G864" i="8"/>
  <c r="BW172" i="8"/>
  <c r="BZ172" i="8"/>
  <c r="F884" i="8"/>
  <c r="AM292" i="8"/>
  <c r="K920" i="8"/>
  <c r="CU548" i="8"/>
  <c r="O220" i="8"/>
  <c r="O196" i="8"/>
  <c r="D844" i="8"/>
  <c r="BK796" i="8"/>
  <c r="BK781" i="8"/>
  <c r="BK766" i="8"/>
  <c r="BK751" i="8"/>
  <c r="AM133" i="8"/>
  <c r="AP156" i="8"/>
  <c r="AQ156" i="8"/>
  <c r="O187" i="8"/>
  <c r="O211" i="8"/>
  <c r="H902" i="8"/>
  <c r="BK420" i="8"/>
  <c r="AM221" i="8"/>
  <c r="AM197" i="8"/>
  <c r="F845" i="8"/>
  <c r="O751" i="8"/>
  <c r="O766" i="8"/>
  <c r="O781" i="8"/>
  <c r="O796" i="8"/>
  <c r="E834" i="8"/>
  <c r="AA186" i="8"/>
  <c r="C188" i="8"/>
  <c r="C212" i="8"/>
  <c r="C846" i="8"/>
  <c r="G174" i="8"/>
  <c r="F173" i="8"/>
  <c r="C173" i="8"/>
  <c r="C198" i="8"/>
  <c r="C222" i="8"/>
  <c r="K851" i="8"/>
  <c r="K825" i="8"/>
  <c r="K847" i="8"/>
  <c r="BW133" i="8"/>
  <c r="BZ156" i="8"/>
  <c r="CA156" i="8"/>
  <c r="AM213" i="8"/>
  <c r="C832" i="8"/>
  <c r="C184" i="8"/>
  <c r="L839" i="8"/>
  <c r="DG191" i="8"/>
  <c r="DG215" i="8"/>
  <c r="C189" i="8"/>
  <c r="C837" i="8"/>
  <c r="C863" i="8"/>
  <c r="BW190" i="8"/>
  <c r="BW214" i="8"/>
  <c r="AA221" i="8"/>
  <c r="AA197" i="8"/>
  <c r="E845" i="8"/>
  <c r="BW187" i="8"/>
  <c r="BW211" i="8"/>
  <c r="I884" i="8"/>
  <c r="BW292" i="8"/>
  <c r="DG212" i="8"/>
  <c r="E843" i="8"/>
  <c r="AA195" i="8"/>
  <c r="AA219" i="8"/>
  <c r="CU179" i="8"/>
  <c r="K827" i="8"/>
  <c r="K853" i="8"/>
  <c r="J863" i="8"/>
  <c r="J837" i="8"/>
  <c r="L834" i="8"/>
  <c r="DG186" i="8"/>
  <c r="F832" i="8"/>
  <c r="AM184" i="8"/>
  <c r="L833" i="8"/>
  <c r="DG185" i="8"/>
  <c r="E840" i="8"/>
  <c r="AA192" i="8"/>
  <c r="AA216" i="8"/>
  <c r="D841" i="8"/>
  <c r="O193" i="8"/>
  <c r="O217" i="8"/>
  <c r="AM189" i="8"/>
  <c r="F837" i="8"/>
  <c r="F863" i="8"/>
  <c r="C843" i="8"/>
  <c r="C195" i="8"/>
  <c r="C219" i="8"/>
  <c r="BW210" i="8"/>
  <c r="BW739" i="8"/>
  <c r="BW751" i="8"/>
  <c r="BW766" i="8"/>
  <c r="BW781" i="8"/>
  <c r="BW796" i="8"/>
  <c r="AY220" i="8"/>
  <c r="AY196" i="8"/>
  <c r="G844" i="8"/>
  <c r="E830" i="8"/>
  <c r="AA182" i="8"/>
  <c r="F875" i="8"/>
  <c r="AM228" i="8"/>
  <c r="CU187" i="8"/>
  <c r="CU211" i="8"/>
  <c r="H920" i="8"/>
  <c r="BK548" i="8"/>
  <c r="L829" i="8"/>
  <c r="DG181" i="8"/>
  <c r="CU190" i="8"/>
  <c r="CU214" i="8"/>
  <c r="DG221" i="8"/>
  <c r="DG197" i="8"/>
  <c r="L845" i="8"/>
  <c r="L902" i="8"/>
  <c r="DG420" i="8"/>
  <c r="AA133" i="8"/>
  <c r="AD156" i="8"/>
  <c r="AE156" i="8"/>
  <c r="J834" i="8"/>
  <c r="CI186" i="8"/>
  <c r="G929" i="8"/>
  <c r="AY612" i="8"/>
  <c r="BW222" i="8"/>
  <c r="CA174" i="8"/>
  <c r="BZ173" i="8"/>
  <c r="BW173" i="8"/>
  <c r="BW198" i="8"/>
  <c r="I846" i="8"/>
  <c r="BW220" i="8"/>
  <c r="BW196" i="8"/>
  <c r="I844" i="8"/>
  <c r="F929" i="8"/>
  <c r="AM612" i="8"/>
  <c r="E946" i="8"/>
  <c r="H851" i="8"/>
  <c r="H825" i="8"/>
  <c r="H847" i="8"/>
  <c r="C840" i="8"/>
  <c r="C192" i="8"/>
  <c r="C216" i="8"/>
  <c r="C829" i="8"/>
  <c r="C181" i="8"/>
  <c r="AY180" i="8"/>
  <c r="G828" i="8"/>
  <c r="G854" i="8"/>
  <c r="G852" i="8"/>
  <c r="G826" i="8"/>
  <c r="AY178" i="8"/>
  <c r="K846" i="8"/>
  <c r="CY174" i="8"/>
  <c r="CX173" i="8"/>
  <c r="CU173" i="8"/>
  <c r="CU198" i="8"/>
  <c r="CU222" i="8"/>
  <c r="C902" i="8"/>
  <c r="C420" i="8"/>
  <c r="CU180" i="8"/>
  <c r="K828" i="8"/>
  <c r="K854" i="8"/>
  <c r="J893" i="8"/>
  <c r="CI356" i="8"/>
  <c r="D829" i="8"/>
  <c r="O181" i="8"/>
  <c r="DG213" i="8"/>
  <c r="C214" i="8"/>
  <c r="C875" i="8"/>
  <c r="C228" i="8"/>
  <c r="AY172" i="8"/>
  <c r="BB172" i="8"/>
  <c r="C831" i="8"/>
  <c r="C183" i="8"/>
  <c r="G946" i="8"/>
  <c r="BW178" i="8"/>
  <c r="I826" i="8"/>
  <c r="I852" i="8"/>
  <c r="J839" i="8"/>
  <c r="CI191" i="8"/>
  <c r="CI215" i="8"/>
  <c r="AM210" i="8"/>
  <c r="AM739" i="8"/>
  <c r="F946" i="8"/>
  <c r="BW221" i="8"/>
  <c r="BW197" i="8"/>
  <c r="I845" i="8"/>
  <c r="H861" i="8"/>
  <c r="H835" i="8"/>
  <c r="DG188" i="8"/>
  <c r="L836" i="8"/>
  <c r="L862" i="8"/>
  <c r="BW217" i="8"/>
  <c r="BW193" i="8"/>
  <c r="I841" i="8"/>
  <c r="CU172" i="8"/>
  <c r="CX172" i="8"/>
  <c r="J832" i="8"/>
  <c r="CI184" i="8"/>
  <c r="C845" i="8"/>
  <c r="C197" i="8"/>
  <c r="C221" i="8"/>
  <c r="K875" i="8"/>
  <c r="CU228" i="8"/>
  <c r="D846" i="8"/>
  <c r="S174" i="8"/>
  <c r="R173" i="8"/>
  <c r="O173" i="8"/>
  <c r="O198" i="8"/>
  <c r="O222" i="8"/>
  <c r="J831" i="8"/>
  <c r="CI183" i="8"/>
  <c r="CU218" i="8"/>
  <c r="CU194" i="8"/>
  <c r="K842" i="8"/>
  <c r="O210" i="8"/>
  <c r="O739" i="8"/>
  <c r="D946" i="8"/>
  <c r="H854" i="8"/>
  <c r="H828" i="8"/>
  <c r="BK180" i="8"/>
  <c r="CU219" i="8"/>
  <c r="CU195" i="8"/>
  <c r="K843" i="8"/>
  <c r="CI214" i="8"/>
  <c r="CI216" i="8"/>
  <c r="CI192" i="8"/>
  <c r="J840" i="8"/>
  <c r="D893" i="8"/>
  <c r="O356" i="8"/>
  <c r="J902" i="8"/>
  <c r="CI420" i="8"/>
  <c r="BK190" i="8"/>
  <c r="BK214" i="8"/>
  <c r="C210" i="8"/>
  <c r="C739" i="8"/>
  <c r="C946" i="8"/>
  <c r="J929" i="8"/>
  <c r="CI612" i="8"/>
  <c r="L840" i="8"/>
  <c r="DG192" i="8"/>
  <c r="DG216" i="8"/>
  <c r="AY222" i="8"/>
  <c r="BC174" i="8"/>
  <c r="BB173" i="8"/>
  <c r="AY173" i="8"/>
  <c r="AY198" i="8"/>
  <c r="G846" i="8"/>
  <c r="O213" i="8"/>
  <c r="E847" i="8"/>
  <c r="E825" i="8"/>
  <c r="E851" i="8"/>
  <c r="BO156" i="8"/>
  <c r="BN156" i="8"/>
  <c r="BK133" i="8"/>
  <c r="L846" i="8"/>
  <c r="DK174" i="8"/>
  <c r="DJ173" i="8"/>
  <c r="DG173" i="8"/>
  <c r="DG198" i="8"/>
  <c r="DG222" i="8"/>
  <c r="D920" i="8"/>
  <c r="O548" i="8"/>
  <c r="C847" i="8"/>
  <c r="C825" i="8"/>
  <c r="C851" i="8"/>
  <c r="I847" i="8"/>
  <c r="I825" i="8"/>
  <c r="I851" i="8"/>
  <c r="L844" i="8"/>
  <c r="DG196" i="8"/>
  <c r="DG220" i="8"/>
  <c r="G851" i="8"/>
  <c r="G825" i="8"/>
  <c r="G847" i="8"/>
  <c r="H839" i="8"/>
  <c r="BK191" i="8"/>
  <c r="BK215" i="8"/>
  <c r="CU216" i="8"/>
  <c r="CU192" i="8"/>
  <c r="K840" i="8"/>
  <c r="J842" i="8"/>
  <c r="CI194" i="8"/>
  <c r="CI218" i="8"/>
  <c r="G833" i="8"/>
  <c r="AY185" i="8"/>
  <c r="K845" i="8"/>
  <c r="CU197" i="8"/>
  <c r="CU221" i="8"/>
  <c r="DG180" i="8"/>
  <c r="L828" i="8"/>
  <c r="L854" i="8"/>
  <c r="C854" i="8"/>
  <c r="C828" i="8"/>
  <c r="C180" i="8"/>
  <c r="I862" i="8"/>
  <c r="I836" i="8"/>
  <c r="H846" i="8"/>
  <c r="BO174" i="8"/>
  <c r="BN173" i="8"/>
  <c r="BK173" i="8"/>
  <c r="BK198" i="8"/>
  <c r="BK222" i="8"/>
  <c r="I929" i="8"/>
  <c r="BW612" i="8"/>
  <c r="K839" i="8"/>
  <c r="CU191" i="8"/>
  <c r="CU215" i="8"/>
  <c r="J844" i="8"/>
  <c r="CI196" i="8"/>
  <c r="CI220" i="8"/>
  <c r="CI190" i="8"/>
  <c r="J838" i="8"/>
  <c r="J864" i="8"/>
  <c r="K862" i="8"/>
  <c r="K836" i="8"/>
  <c r="AM217" i="8"/>
  <c r="AM193" i="8"/>
  <c r="F841" i="8"/>
  <c r="G842" i="8"/>
  <c r="AY194" i="8"/>
  <c r="AY218" i="8"/>
  <c r="CI219" i="8"/>
  <c r="CI195" i="8"/>
  <c r="J843" i="8"/>
  <c r="E831" i="8"/>
  <c r="AA183" i="8"/>
  <c r="BK216" i="8"/>
  <c r="BK192" i="8"/>
  <c r="H840" i="8"/>
  <c r="D884" i="8"/>
  <c r="O292" i="8"/>
  <c r="H830" i="8"/>
  <c r="BK182" i="8"/>
  <c r="F830" i="8"/>
  <c r="AM182" i="8"/>
  <c r="L884" i="8"/>
  <c r="DG292" i="8"/>
  <c r="CU189" i="8"/>
  <c r="K837" i="8"/>
  <c r="K863" i="8"/>
  <c r="H845" i="8"/>
  <c r="BK197" i="8"/>
  <c r="BK221" i="8"/>
  <c r="H831" i="8"/>
  <c r="BK183" i="8"/>
  <c r="D833" i="8"/>
  <c r="O185" i="8"/>
  <c r="G893" i="8"/>
  <c r="AY356" i="8"/>
  <c r="J847" i="8"/>
  <c r="J825" i="8"/>
  <c r="J851" i="8"/>
  <c r="D843" i="8"/>
  <c r="O195" i="8"/>
  <c r="O219" i="8"/>
  <c r="O215" i="8"/>
  <c r="O191" i="8"/>
  <c r="D839" i="8"/>
  <c r="CI189" i="8"/>
  <c r="CI213" i="8"/>
  <c r="G862" i="8"/>
  <c r="G836" i="8"/>
  <c r="F920" i="8"/>
  <c r="AM548" i="8"/>
  <c r="BW189" i="8"/>
  <c r="BW213" i="8"/>
  <c r="L841" i="8"/>
  <c r="DG193" i="8"/>
  <c r="DG217" i="8"/>
  <c r="I843" i="8"/>
  <c r="BW195" i="8"/>
  <c r="BW219" i="8"/>
  <c r="O189" i="8"/>
  <c r="D837" i="8"/>
  <c r="D863" i="8"/>
  <c r="BK210" i="8"/>
  <c r="BK739" i="8"/>
  <c r="H946" i="8"/>
  <c r="F842" i="8"/>
  <c r="AM194" i="8"/>
  <c r="AM218" i="8"/>
  <c r="CI210" i="8"/>
  <c r="CI739" i="8"/>
  <c r="CI751" i="8"/>
  <c r="CI766" i="8"/>
  <c r="CI781" i="8"/>
  <c r="CI796" i="8"/>
  <c r="AM190" i="8"/>
  <c r="AM214" i="8"/>
  <c r="BK217" i="8"/>
  <c r="BK193" i="8"/>
  <c r="H841" i="8"/>
  <c r="BW188" i="8"/>
  <c r="BW212" i="8"/>
  <c r="E920" i="8"/>
  <c r="AA548" i="8"/>
  <c r="CU188" i="8"/>
  <c r="CU212" i="8"/>
  <c r="AY188" i="8"/>
  <c r="AY212" i="8"/>
  <c r="DG189" i="8"/>
  <c r="L837" i="8"/>
  <c r="L863" i="8"/>
  <c r="C190" i="8"/>
  <c r="C838" i="8"/>
  <c r="C864" i="8"/>
  <c r="H832" i="8"/>
  <c r="BK184" i="8"/>
  <c r="C893" i="8"/>
  <c r="C356" i="8"/>
  <c r="D834" i="8"/>
  <c r="O186" i="8"/>
  <c r="AM215" i="8"/>
  <c r="AM191" i="8"/>
  <c r="F839" i="8"/>
  <c r="C839" i="8"/>
  <c r="C191" i="8"/>
  <c r="C215" i="8"/>
  <c r="H843" i="8"/>
  <c r="BK195" i="8"/>
  <c r="BK219" i="8"/>
  <c r="BK189" i="8"/>
  <c r="BK213" i="8"/>
  <c r="F843" i="8"/>
  <c r="AM195" i="8"/>
  <c r="AM219" i="8"/>
  <c r="L875" i="8"/>
  <c r="DG228" i="8"/>
  <c r="H842" i="8"/>
  <c r="BK194" i="8"/>
  <c r="BK218" i="8"/>
  <c r="AY210" i="8"/>
  <c r="AY739" i="8"/>
  <c r="AY751" i="8"/>
  <c r="AY766" i="8"/>
  <c r="AY781" i="8"/>
  <c r="AY796" i="8"/>
  <c r="S156" i="8"/>
  <c r="R156" i="8"/>
  <c r="O133" i="8"/>
  <c r="C830" i="8"/>
  <c r="C182" i="8"/>
  <c r="K841" i="8"/>
  <c r="CU193" i="8"/>
  <c r="CU217" i="8"/>
  <c r="F851" i="8"/>
  <c r="F825" i="8"/>
  <c r="F847" i="8"/>
  <c r="CU220" i="8"/>
  <c r="CU196" i="8"/>
  <c r="K844" i="8"/>
  <c r="BW199" i="8"/>
  <c r="AA218" i="8"/>
  <c r="AA194" i="8"/>
  <c r="E842" i="8"/>
  <c r="C220" i="8"/>
  <c r="C196" i="8"/>
  <c r="C844" i="8"/>
  <c r="BK187" i="8"/>
  <c r="BK211" i="8"/>
  <c r="E839" i="8"/>
  <c r="AA191" i="8"/>
  <c r="AA215" i="8"/>
  <c r="D902" i="8"/>
  <c r="O420" i="8"/>
  <c r="BK178" i="8"/>
  <c r="H826" i="8"/>
  <c r="H852" i="8"/>
  <c r="L842" i="8"/>
  <c r="DG194" i="8"/>
  <c r="DG218" i="8"/>
  <c r="AA210" i="8"/>
  <c r="AA739" i="8"/>
  <c r="AA751" i="8"/>
  <c r="AA766" i="8"/>
  <c r="AA781" i="8"/>
  <c r="AA796" i="8"/>
  <c r="AA190" i="8"/>
  <c r="AA214" i="8"/>
  <c r="AY216" i="8"/>
  <c r="AY192" i="8"/>
  <c r="G840" i="8"/>
  <c r="DG219" i="8"/>
  <c r="DG195" i="8"/>
  <c r="L843" i="8"/>
  <c r="CI188" i="8"/>
  <c r="CI212" i="8"/>
  <c r="C218" i="8"/>
  <c r="C194" i="8"/>
  <c r="C842" i="8"/>
  <c r="E884" i="8"/>
  <c r="AA292" i="8"/>
  <c r="O188" i="8"/>
  <c r="O212" i="8"/>
  <c r="AA222" i="8"/>
  <c r="AE174" i="8"/>
  <c r="AD173" i="8"/>
  <c r="AA173" i="8"/>
  <c r="AA198" i="8"/>
  <c r="E846" i="8"/>
  <c r="AA188" i="8"/>
  <c r="AA212" i="8"/>
  <c r="F902" i="8"/>
  <c r="AM420" i="8"/>
  <c r="G911" i="8"/>
  <c r="AY484" i="8"/>
  <c r="D832" i="8"/>
  <c r="O184" i="8"/>
  <c r="AA179" i="8"/>
  <c r="E827" i="8"/>
  <c r="E853" i="8"/>
  <c r="I921" i="8"/>
  <c r="BW560" i="8"/>
  <c r="G829" i="8"/>
  <c r="AY181" i="8"/>
  <c r="BK199" i="8"/>
  <c r="E929" i="8"/>
  <c r="AA612" i="8"/>
  <c r="C861" i="8"/>
  <c r="C835" i="8"/>
  <c r="O214" i="8"/>
  <c r="DG796" i="8"/>
  <c r="DG781" i="8"/>
  <c r="DG766" i="8"/>
  <c r="DG751" i="8"/>
  <c r="DG211" i="8"/>
  <c r="J911" i="8"/>
  <c r="CI484" i="8"/>
  <c r="O199" i="8"/>
  <c r="D851" i="8"/>
  <c r="D825" i="8"/>
  <c r="D847" i="8"/>
  <c r="BK186" i="8"/>
  <c r="H834" i="8"/>
  <c r="AY213" i="8"/>
  <c r="K911" i="8"/>
  <c r="CU484" i="8"/>
  <c r="AY189" i="8"/>
  <c r="G837" i="8"/>
  <c r="G863" i="8"/>
  <c r="C833" i="8"/>
  <c r="C185" i="8"/>
  <c r="C920" i="8"/>
  <c r="C548" i="8"/>
  <c r="C187" i="8"/>
  <c r="C211" i="8"/>
  <c r="CY156" i="8"/>
  <c r="CX156" i="8"/>
  <c r="CU133" i="8"/>
  <c r="G884" i="8"/>
  <c r="AY292" i="8"/>
  <c r="H862" i="8"/>
  <c r="H836" i="8"/>
  <c r="J875" i="8"/>
  <c r="CI228" i="8"/>
  <c r="CI199" i="8"/>
  <c r="O190" i="8"/>
  <c r="D838" i="8"/>
  <c r="D864" i="8"/>
  <c r="L929" i="8"/>
  <c r="DG612" i="8"/>
  <c r="DG187" i="8"/>
  <c r="L835" i="8"/>
  <c r="L861" i="8"/>
  <c r="L832" i="8"/>
  <c r="DG184" i="8"/>
  <c r="DG199" i="8"/>
  <c r="CI178" i="8"/>
  <c r="J826" i="8"/>
  <c r="J852" i="8"/>
  <c r="I919" i="8"/>
  <c r="I840" i="8"/>
  <c r="BW192" i="8"/>
  <c r="BW216" i="8"/>
  <c r="C834" i="8"/>
  <c r="C186" i="8"/>
  <c r="BW181" i="8"/>
  <c r="I829" i="8"/>
  <c r="E902" i="8"/>
  <c r="AA420" i="8"/>
  <c r="AY179" i="8"/>
  <c r="G827" i="8"/>
  <c r="G853" i="8"/>
  <c r="C199" i="8"/>
  <c r="DG210" i="8"/>
  <c r="DG739" i="8"/>
  <c r="L946" i="8"/>
  <c r="DG214" i="8"/>
  <c r="F833" i="8"/>
  <c r="AM185" i="8"/>
  <c r="DG190" i="8"/>
  <c r="L838" i="8"/>
  <c r="L864" i="8"/>
  <c r="BK188" i="8"/>
  <c r="BK212" i="8"/>
  <c r="R172" i="8"/>
  <c r="O172" i="8"/>
  <c r="E875" i="8"/>
  <c r="AA228" i="8"/>
  <c r="F852" i="8"/>
  <c r="F826" i="8"/>
  <c r="AM178" i="8"/>
  <c r="G834" i="8"/>
  <c r="AY186" i="8"/>
  <c r="AA181" i="8"/>
  <c r="E829" i="8"/>
  <c r="AY199" i="8"/>
  <c r="AM216" i="8"/>
  <c r="AM192" i="8"/>
  <c r="F840" i="8"/>
  <c r="F834" i="8"/>
  <c r="AM186" i="8"/>
  <c r="G875" i="8"/>
  <c r="AY228" i="8"/>
  <c r="F172" i="8"/>
  <c r="C172" i="8"/>
  <c r="DG182" i="8"/>
  <c r="L830" i="8"/>
  <c r="AA199" i="8"/>
  <c r="CU199" i="8"/>
  <c r="H893" i="8"/>
  <c r="BK356" i="8"/>
  <c r="C921" i="8"/>
  <c r="C560" i="8"/>
  <c r="C919" i="8"/>
  <c r="F893" i="8"/>
  <c r="AM356" i="8"/>
  <c r="AM199" i="8"/>
  <c r="F930" i="8"/>
  <c r="AM624" i="8"/>
  <c r="F928" i="8"/>
  <c r="L930" i="8"/>
  <c r="DG624" i="8"/>
  <c r="L928" i="8"/>
  <c r="J921" i="8"/>
  <c r="CI560" i="8"/>
  <c r="J919" i="8"/>
  <c r="H921" i="8"/>
  <c r="BK560" i="8"/>
  <c r="H919" i="8"/>
  <c r="F921" i="8"/>
  <c r="AM560" i="8"/>
  <c r="F919" i="8"/>
  <c r="G921" i="8"/>
  <c r="AY560" i="8"/>
  <c r="G919" i="8"/>
  <c r="E930" i="8"/>
  <c r="AA624" i="8"/>
  <c r="E928" i="8"/>
  <c r="E921" i="8"/>
  <c r="AA560" i="8"/>
  <c r="E919" i="8"/>
  <c r="K930" i="8"/>
  <c r="CU624" i="8"/>
  <c r="K928" i="8"/>
  <c r="K921" i="8"/>
  <c r="CU560" i="8"/>
  <c r="C930" i="8"/>
  <c r="C624" i="8"/>
  <c r="K919" i="8"/>
  <c r="D921" i="8"/>
  <c r="O560" i="8"/>
  <c r="C928" i="8"/>
  <c r="D919" i="8"/>
  <c r="I930" i="8"/>
  <c r="BW624" i="8"/>
  <c r="D930" i="8"/>
  <c r="O624" i="8"/>
  <c r="I928" i="8"/>
  <c r="L921" i="8"/>
  <c r="DG560" i="8"/>
  <c r="D928" i="8"/>
  <c r="G930" i="8"/>
  <c r="AY624" i="8"/>
  <c r="H930" i="8"/>
  <c r="BK624" i="8"/>
  <c r="L919" i="8"/>
  <c r="G928" i="8"/>
  <c r="J930" i="8"/>
  <c r="CI624" i="8"/>
  <c r="H928" i="8"/>
  <c r="J928" i="8"/>
  <c r="D876" i="8"/>
  <c r="O240" i="8"/>
  <c r="J876" i="8"/>
  <c r="CI240" i="8"/>
  <c r="D874" i="8"/>
  <c r="E876" i="8"/>
  <c r="AA240" i="8"/>
  <c r="J874" i="8"/>
  <c r="E874" i="8"/>
  <c r="K876" i="8"/>
  <c r="CU240" i="8"/>
  <c r="K874" i="8"/>
  <c r="H876" i="8"/>
  <c r="BK240" i="8"/>
  <c r="H874" i="8"/>
  <c r="C885" i="8"/>
  <c r="C304" i="8"/>
  <c r="H894" i="8"/>
  <c r="BK368" i="8"/>
  <c r="C883" i="8"/>
  <c r="H892" i="8"/>
  <c r="C903" i="8"/>
  <c r="C432" i="8"/>
  <c r="I903" i="8"/>
  <c r="BW432" i="8"/>
  <c r="C901" i="8"/>
  <c r="I901" i="8"/>
  <c r="I885" i="8"/>
  <c r="BW304" i="8"/>
  <c r="I883" i="8"/>
  <c r="J885" i="8"/>
  <c r="CI304" i="8"/>
  <c r="J883" i="8"/>
  <c r="E894" i="8"/>
  <c r="AA368" i="8"/>
  <c r="L876" i="8"/>
  <c r="DG240" i="8"/>
  <c r="E892" i="8"/>
  <c r="L894" i="8"/>
  <c r="DG368" i="8"/>
  <c r="L874" i="8"/>
  <c r="L892" i="8"/>
  <c r="H912" i="8"/>
  <c r="BK496" i="8"/>
  <c r="K903" i="8"/>
  <c r="CU432" i="8"/>
  <c r="H910" i="8"/>
  <c r="G876" i="8"/>
  <c r="AY240" i="8"/>
  <c r="K901" i="8"/>
  <c r="G874" i="8"/>
  <c r="H885" i="8"/>
  <c r="BK304" i="8"/>
  <c r="H883" i="8"/>
  <c r="F894" i="8"/>
  <c r="AM368" i="8"/>
  <c r="D903" i="8"/>
  <c r="O432" i="8"/>
  <c r="F912" i="8"/>
  <c r="AM496" i="8"/>
  <c r="F892" i="8"/>
  <c r="D901" i="8"/>
  <c r="I876" i="8"/>
  <c r="BW240" i="8"/>
  <c r="F910" i="8"/>
  <c r="L903" i="8"/>
  <c r="DG432" i="8"/>
  <c r="I874" i="8"/>
  <c r="K894" i="8"/>
  <c r="CU368" i="8"/>
  <c r="L901" i="8"/>
  <c r="K892" i="8"/>
  <c r="J903" i="8"/>
  <c r="CI432" i="8"/>
  <c r="J901" i="8"/>
  <c r="E885" i="8"/>
  <c r="AA304" i="8"/>
  <c r="G912" i="8"/>
  <c r="AY496" i="8"/>
  <c r="E883" i="8"/>
  <c r="G910" i="8"/>
  <c r="I894" i="8"/>
  <c r="BW368" i="8"/>
  <c r="I892" i="8"/>
  <c r="H903" i="8"/>
  <c r="BK432" i="8"/>
  <c r="D912" i="8"/>
  <c r="O496" i="8"/>
  <c r="H901" i="8"/>
  <c r="L912" i="8"/>
  <c r="DG496" i="8"/>
  <c r="D910" i="8"/>
  <c r="L910" i="8"/>
  <c r="F885" i="8"/>
  <c r="AM304" i="8"/>
  <c r="E912" i="8"/>
  <c r="AA496" i="8"/>
  <c r="K885" i="8"/>
  <c r="CU304" i="8"/>
  <c r="F883" i="8"/>
  <c r="E910" i="8"/>
  <c r="K883" i="8"/>
  <c r="J894" i="8"/>
  <c r="CI368" i="8"/>
  <c r="L885" i="8"/>
  <c r="DG304" i="8"/>
  <c r="J892" i="8"/>
  <c r="K912" i="8"/>
  <c r="CU496" i="8"/>
  <c r="F903" i="8"/>
  <c r="AM432" i="8"/>
  <c r="L883" i="8"/>
  <c r="K910" i="8"/>
  <c r="F901" i="8"/>
  <c r="E903" i="8"/>
  <c r="AA432" i="8"/>
  <c r="E901" i="8"/>
  <c r="C912" i="8"/>
  <c r="C496" i="8"/>
  <c r="C910" i="8"/>
  <c r="C876" i="8"/>
  <c r="C240" i="8"/>
  <c r="C874" i="8"/>
  <c r="D894" i="8"/>
  <c r="O368" i="8"/>
  <c r="G903" i="8"/>
  <c r="AY432" i="8"/>
  <c r="D892" i="8"/>
  <c r="G901" i="8"/>
  <c r="I912" i="8"/>
  <c r="BW496" i="8"/>
  <c r="I910" i="8"/>
  <c r="C894" i="8"/>
  <c r="C368" i="8"/>
  <c r="J912" i="8"/>
  <c r="CI496" i="8"/>
  <c r="C892" i="8"/>
  <c r="F876" i="8"/>
  <c r="AM240" i="8"/>
  <c r="J910" i="8"/>
  <c r="G894" i="8"/>
  <c r="AY368" i="8"/>
  <c r="F874" i="8"/>
  <c r="D885" i="8"/>
  <c r="O304" i="8"/>
  <c r="G892" i="8"/>
  <c r="D883" i="8"/>
  <c r="G885" i="8"/>
  <c r="AY304" i="8"/>
  <c r="G886" i="8"/>
  <c r="AY319" i="8"/>
  <c r="G883" i="8"/>
  <c r="D886" i="8"/>
  <c r="O319" i="8"/>
  <c r="G895" i="8"/>
  <c r="AY383" i="8"/>
  <c r="F877" i="8"/>
  <c r="AM255" i="8"/>
  <c r="J913" i="8"/>
  <c r="CI511" i="8"/>
  <c r="C895" i="8"/>
  <c r="C383" i="8"/>
  <c r="I913" i="8"/>
  <c r="BW511" i="8"/>
  <c r="G904" i="8"/>
  <c r="AY447" i="8"/>
  <c r="D895" i="8"/>
  <c r="O383" i="8"/>
  <c r="C877" i="8"/>
  <c r="C255" i="8"/>
  <c r="C913" i="8"/>
  <c r="C511" i="8"/>
  <c r="E904" i="8"/>
  <c r="AA447" i="8"/>
  <c r="F904" i="8"/>
  <c r="AM447" i="8"/>
  <c r="K913" i="8"/>
  <c r="CU511" i="8"/>
  <c r="L886" i="8"/>
  <c r="DG319" i="8"/>
  <c r="J895" i="8"/>
  <c r="CI383" i="8"/>
  <c r="K886" i="8"/>
  <c r="CU319" i="8"/>
  <c r="E913" i="8"/>
  <c r="AA511" i="8"/>
  <c r="F886" i="8"/>
  <c r="AM319" i="8"/>
  <c r="L913" i="8"/>
  <c r="DG511" i="8"/>
  <c r="D913" i="8"/>
  <c r="O511" i="8"/>
  <c r="H904" i="8"/>
  <c r="BK447" i="8"/>
  <c r="I895" i="8"/>
  <c r="BW383" i="8"/>
  <c r="G913" i="8"/>
  <c r="AY511" i="8"/>
  <c r="E886" i="8"/>
  <c r="AA319" i="8"/>
  <c r="J904" i="8"/>
  <c r="CI447" i="8"/>
  <c r="K895" i="8"/>
  <c r="CU383" i="8"/>
  <c r="L904" i="8"/>
  <c r="DG447" i="8"/>
  <c r="I877" i="8"/>
  <c r="BW255" i="8"/>
  <c r="F913" i="8"/>
  <c r="AM511" i="8"/>
  <c r="D904" i="8"/>
  <c r="O447" i="8"/>
  <c r="F895" i="8"/>
  <c r="AM383" i="8"/>
  <c r="H886" i="8"/>
  <c r="BK319" i="8"/>
  <c r="G877" i="8"/>
  <c r="AY255" i="8"/>
  <c r="K904" i="8"/>
  <c r="CU447" i="8"/>
  <c r="H913" i="8"/>
  <c r="BK511" i="8"/>
  <c r="L895" i="8"/>
  <c r="DG383" i="8"/>
  <c r="L877" i="8"/>
  <c r="DG255" i="8"/>
  <c r="E895" i="8"/>
  <c r="AA383" i="8"/>
  <c r="J886" i="8"/>
  <c r="CI319" i="8"/>
  <c r="I886" i="8"/>
  <c r="BW319" i="8"/>
  <c r="I904" i="8"/>
  <c r="BW447" i="8"/>
  <c r="C904" i="8"/>
  <c r="C447" i="8"/>
  <c r="H895" i="8"/>
  <c r="BK383" i="8"/>
  <c r="C886" i="8"/>
  <c r="C319" i="8"/>
  <c r="H877" i="8"/>
  <c r="BK255" i="8"/>
  <c r="K877" i="8"/>
  <c r="CU255" i="8"/>
  <c r="E877" i="8"/>
  <c r="AA255" i="8"/>
  <c r="J877" i="8"/>
  <c r="CI255" i="8"/>
  <c r="D877" i="8"/>
  <c r="O255" i="8"/>
  <c r="J931" i="8"/>
  <c r="CI639" i="8"/>
  <c r="H931" i="8"/>
  <c r="BK639" i="8"/>
  <c r="G931" i="8"/>
  <c r="AY639" i="8"/>
  <c r="L922" i="8"/>
  <c r="DG575" i="8"/>
  <c r="D931" i="8"/>
  <c r="O639" i="8"/>
  <c r="I931" i="8"/>
  <c r="BW639" i="8"/>
  <c r="D922" i="8"/>
  <c r="O575" i="8"/>
  <c r="C931" i="8"/>
  <c r="C639" i="8"/>
  <c r="K922" i="8"/>
  <c r="CU575" i="8"/>
  <c r="K931" i="8"/>
  <c r="CU639" i="8"/>
  <c r="E922" i="8"/>
  <c r="AA575" i="8"/>
  <c r="E931" i="8"/>
  <c r="AA639" i="8"/>
  <c r="G922" i="8"/>
  <c r="AY575" i="8"/>
  <c r="F922" i="8"/>
  <c r="AM575" i="8"/>
  <c r="H922" i="8"/>
  <c r="BK575" i="8"/>
  <c r="J922" i="8"/>
  <c r="CI575" i="8"/>
  <c r="L931" i="8"/>
  <c r="DG639" i="8"/>
  <c r="F931" i="8"/>
  <c r="AM639" i="8"/>
  <c r="C922" i="8"/>
  <c r="C575" i="8"/>
  <c r="I922" i="8"/>
  <c r="BW575" i="8"/>
  <c r="I923" i="8"/>
  <c r="BW590" i="8"/>
  <c r="C923" i="8"/>
  <c r="C590" i="8"/>
  <c r="F932" i="8"/>
  <c r="AM654" i="8"/>
  <c r="L932" i="8"/>
  <c r="DG654" i="8"/>
  <c r="J923" i="8"/>
  <c r="CI590" i="8"/>
  <c r="H923" i="8"/>
  <c r="BK590" i="8"/>
  <c r="F923" i="8"/>
  <c r="AM590" i="8"/>
  <c r="G923" i="8"/>
  <c r="AY590" i="8"/>
  <c r="E932" i="8"/>
  <c r="AA654" i="8"/>
  <c r="E923" i="8"/>
  <c r="AA590" i="8"/>
  <c r="K932" i="8"/>
  <c r="CU654" i="8"/>
  <c r="K923" i="8"/>
  <c r="CU590" i="8"/>
  <c r="C932" i="8"/>
  <c r="C654" i="8"/>
  <c r="D923" i="8"/>
  <c r="O590" i="8"/>
  <c r="I932" i="8"/>
  <c r="BW654" i="8"/>
  <c r="D932" i="8"/>
  <c r="O654" i="8"/>
  <c r="L923" i="8"/>
  <c r="DG590" i="8"/>
  <c r="G932" i="8"/>
  <c r="AY654" i="8"/>
  <c r="H932" i="8"/>
  <c r="BK654" i="8"/>
  <c r="J932" i="8"/>
  <c r="CI654" i="8"/>
  <c r="D878" i="8"/>
  <c r="O270" i="8"/>
  <c r="J878" i="8"/>
  <c r="CI270" i="8"/>
  <c r="E878" i="8"/>
  <c r="AA270" i="8"/>
  <c r="K878" i="8"/>
  <c r="CU270" i="8"/>
  <c r="H878" i="8"/>
  <c r="BK270" i="8"/>
  <c r="C887" i="8"/>
  <c r="C334" i="8"/>
  <c r="H896" i="8"/>
  <c r="BK398" i="8"/>
  <c r="C905" i="8"/>
  <c r="C462" i="8"/>
  <c r="I905" i="8"/>
  <c r="BW462" i="8"/>
  <c r="I887" i="8"/>
  <c r="BW334" i="8"/>
  <c r="J887" i="8"/>
  <c r="CI334" i="8"/>
  <c r="E896" i="8"/>
  <c r="AA398" i="8"/>
  <c r="L878" i="8"/>
  <c r="DG270" i="8"/>
  <c r="L896" i="8"/>
  <c r="DG398" i="8"/>
  <c r="H914" i="8"/>
  <c r="BK526" i="8"/>
  <c r="K905" i="8"/>
  <c r="CU462" i="8"/>
  <c r="G878" i="8"/>
  <c r="AY270" i="8"/>
  <c r="H887" i="8"/>
  <c r="BK334" i="8"/>
  <c r="F896" i="8"/>
  <c r="AM398" i="8"/>
  <c r="D905" i="8"/>
  <c r="O462" i="8"/>
  <c r="F914" i="8"/>
  <c r="AM526" i="8"/>
  <c r="I878" i="8"/>
  <c r="BW270" i="8"/>
  <c r="L905" i="8"/>
  <c r="DG462" i="8"/>
  <c r="K896" i="8"/>
  <c r="CU398" i="8"/>
  <c r="J905" i="8"/>
  <c r="CI462" i="8"/>
  <c r="E887" i="8"/>
  <c r="AA334" i="8"/>
  <c r="G914" i="8"/>
  <c r="AY526" i="8"/>
  <c r="I896" i="8"/>
  <c r="BW398" i="8"/>
  <c r="H905" i="8"/>
  <c r="BK462" i="8"/>
  <c r="D914" i="8"/>
  <c r="O526" i="8"/>
  <c r="L914" i="8"/>
  <c r="DG526" i="8"/>
  <c r="F887" i="8"/>
  <c r="AM334" i="8"/>
  <c r="E914" i="8"/>
  <c r="AA526" i="8"/>
  <c r="K887" i="8"/>
  <c r="CU334" i="8"/>
  <c r="J896" i="8"/>
  <c r="CI398" i="8"/>
  <c r="L887" i="8"/>
  <c r="DG334" i="8"/>
  <c r="K914" i="8"/>
  <c r="CU526" i="8"/>
  <c r="F905" i="8"/>
  <c r="AM462" i="8"/>
  <c r="E905" i="8"/>
  <c r="AA462" i="8"/>
  <c r="C914" i="8"/>
  <c r="C526" i="8"/>
  <c r="C878" i="8"/>
  <c r="C270" i="8"/>
  <c r="D896" i="8"/>
  <c r="O398" i="8"/>
  <c r="G905" i="8"/>
  <c r="AY462" i="8"/>
  <c r="I914" i="8"/>
  <c r="BW526" i="8"/>
  <c r="C896" i="8"/>
  <c r="C398" i="8"/>
  <c r="J914" i="8"/>
  <c r="CI526" i="8"/>
  <c r="F878" i="8"/>
  <c r="AM270" i="8"/>
  <c r="G896" i="8"/>
  <c r="AY398" i="8"/>
  <c r="D887" i="8"/>
  <c r="O334" i="8"/>
  <c r="G887" i="8"/>
  <c r="AY334" i="8"/>
  <c r="DG206" i="8"/>
  <c r="DG483" i="8"/>
  <c r="DG495" i="8"/>
  <c r="DG510" i="8"/>
  <c r="DG525" i="8"/>
  <c r="DG540" i="8"/>
  <c r="DG541" i="8"/>
  <c r="L915" i="8"/>
  <c r="AM204" i="8"/>
  <c r="AM355" i="8"/>
  <c r="AM367" i="8"/>
  <c r="AM382" i="8"/>
  <c r="AM397" i="8"/>
  <c r="AM412" i="8"/>
  <c r="AM413" i="8"/>
  <c r="F897" i="8"/>
  <c r="BK204" i="8"/>
  <c r="BK355" i="8"/>
  <c r="BK367" i="8"/>
  <c r="BK382" i="8"/>
  <c r="BK397" i="8"/>
  <c r="BK412" i="8"/>
  <c r="BK413" i="8"/>
  <c r="H897" i="8"/>
  <c r="O207" i="8"/>
  <c r="O547" i="8"/>
  <c r="O559" i="8"/>
  <c r="O574" i="8"/>
  <c r="O589" i="8"/>
  <c r="O604" i="8"/>
  <c r="O605" i="8"/>
  <c r="D924" i="8"/>
  <c r="AM208" i="8"/>
  <c r="AM611" i="8"/>
  <c r="AM623" i="8"/>
  <c r="AM638" i="8"/>
  <c r="AM653" i="8"/>
  <c r="AM668" i="8"/>
  <c r="AM669" i="8"/>
  <c r="F933" i="8"/>
  <c r="AY203" i="8"/>
  <c r="AY291" i="8"/>
  <c r="AY303" i="8"/>
  <c r="AY318" i="8"/>
  <c r="AY333" i="8"/>
  <c r="AY348" i="8"/>
  <c r="AY349" i="8"/>
  <c r="G888" i="8"/>
  <c r="O206" i="8"/>
  <c r="O483" i="8"/>
  <c r="O495" i="8"/>
  <c r="O510" i="8"/>
  <c r="O525" i="8"/>
  <c r="O540" i="8"/>
  <c r="O541" i="8"/>
  <c r="D915" i="8"/>
  <c r="BK203" i="8"/>
  <c r="BK291" i="8"/>
  <c r="BK303" i="8"/>
  <c r="BK318" i="8"/>
  <c r="BK333" i="8"/>
  <c r="BK348" i="8"/>
  <c r="BK349" i="8"/>
  <c r="H888" i="8"/>
  <c r="C203" i="8"/>
  <c r="C291" i="8"/>
  <c r="C303" i="8"/>
  <c r="C318" i="8"/>
  <c r="C333" i="8"/>
  <c r="C348" i="8"/>
  <c r="C349" i="8"/>
  <c r="C888" i="8"/>
  <c r="C208" i="8"/>
  <c r="C611" i="8"/>
  <c r="C623" i="8"/>
  <c r="C638" i="8"/>
  <c r="C653" i="8"/>
  <c r="C668" i="8"/>
  <c r="C669" i="8"/>
  <c r="C933" i="8"/>
  <c r="C207" i="8"/>
  <c r="C547" i="8"/>
  <c r="C559" i="8"/>
  <c r="C574" i="8"/>
  <c r="C589" i="8"/>
  <c r="C604" i="8"/>
  <c r="C605" i="8"/>
  <c r="C924" i="8"/>
  <c r="AM205" i="8"/>
  <c r="AM419" i="8"/>
  <c r="AM431" i="8"/>
  <c r="AM446" i="8"/>
  <c r="AM461" i="8"/>
  <c r="AM476" i="8"/>
  <c r="AM477" i="8"/>
  <c r="F906" i="8"/>
  <c r="AA203" i="8"/>
  <c r="AA291" i="8"/>
  <c r="AA303" i="8"/>
  <c r="AA318" i="8"/>
  <c r="AA333" i="8"/>
  <c r="AA348" i="8"/>
  <c r="AA349" i="8"/>
  <c r="E888" i="8"/>
  <c r="DG204" i="8"/>
  <c r="DG355" i="8"/>
  <c r="DG367" i="8"/>
  <c r="DG382" i="8"/>
  <c r="DG397" i="8"/>
  <c r="DG412" i="8"/>
  <c r="DG413" i="8"/>
  <c r="L897" i="8"/>
  <c r="CI202" i="8"/>
  <c r="CI227" i="8"/>
  <c r="CI239" i="8"/>
  <c r="CI254" i="8"/>
  <c r="CI269" i="8"/>
  <c r="CI284" i="8"/>
  <c r="CI285" i="8"/>
  <c r="J879" i="8"/>
  <c r="CI208" i="8"/>
  <c r="CI611" i="8"/>
  <c r="CI623" i="8"/>
  <c r="CI638" i="8"/>
  <c r="CI653" i="8"/>
  <c r="CI668" i="8"/>
  <c r="CI669" i="8"/>
  <c r="J933" i="8"/>
  <c r="CU204" i="8"/>
  <c r="CU355" i="8"/>
  <c r="CU367" i="8"/>
  <c r="CU382" i="8"/>
  <c r="CU397" i="8"/>
  <c r="CU412" i="8"/>
  <c r="CU413" i="8"/>
  <c r="K897" i="8"/>
  <c r="O203" i="8"/>
  <c r="O291" i="8"/>
  <c r="O303" i="8"/>
  <c r="O318" i="8"/>
  <c r="O333" i="8"/>
  <c r="O348" i="8"/>
  <c r="O349" i="8"/>
  <c r="D888" i="8"/>
  <c r="BK205" i="8"/>
  <c r="BK419" i="8"/>
  <c r="BK431" i="8"/>
  <c r="BK446" i="8"/>
  <c r="BK461" i="8"/>
  <c r="BK476" i="8"/>
  <c r="BK477" i="8"/>
  <c r="H906" i="8"/>
  <c r="AY202" i="8"/>
  <c r="AY227" i="8"/>
  <c r="AY239" i="8"/>
  <c r="AY254" i="8"/>
  <c r="AY269" i="8"/>
  <c r="AY284" i="8"/>
  <c r="AY285" i="8"/>
  <c r="G879" i="8"/>
  <c r="BK202" i="8"/>
  <c r="BK227" i="8"/>
  <c r="BK239" i="8"/>
  <c r="BK254" i="8"/>
  <c r="BK269" i="8"/>
  <c r="BK284" i="8"/>
  <c r="BK285" i="8"/>
  <c r="H879" i="8"/>
  <c r="CU207" i="8"/>
  <c r="CU547" i="8"/>
  <c r="CU559" i="8"/>
  <c r="CU574" i="8"/>
  <c r="CU589" i="8"/>
  <c r="CU604" i="8"/>
  <c r="CU605" i="8"/>
  <c r="K924" i="8"/>
  <c r="BW207" i="8"/>
  <c r="BW547" i="8"/>
  <c r="BW559" i="8"/>
  <c r="BW574" i="8"/>
  <c r="BW589" i="8"/>
  <c r="BW604" i="8"/>
  <c r="BW605" i="8"/>
  <c r="I924" i="8"/>
  <c r="CU206" i="8"/>
  <c r="CU483" i="8"/>
  <c r="CU495" i="8"/>
  <c r="CU510" i="8"/>
  <c r="CU525" i="8"/>
  <c r="CU540" i="8"/>
  <c r="CU541" i="8"/>
  <c r="K915" i="8"/>
  <c r="AA204" i="8"/>
  <c r="AA355" i="8"/>
  <c r="AA367" i="8"/>
  <c r="AA382" i="8"/>
  <c r="AA397" i="8"/>
  <c r="AA412" i="8"/>
  <c r="AA413" i="8"/>
  <c r="E897" i="8"/>
  <c r="AY204" i="8"/>
  <c r="AY355" i="8"/>
  <c r="AY367" i="8"/>
  <c r="AY382" i="8"/>
  <c r="AY397" i="8"/>
  <c r="AY412" i="8"/>
  <c r="AY413" i="8"/>
  <c r="G897" i="8"/>
  <c r="C206" i="8"/>
  <c r="C483" i="8"/>
  <c r="C495" i="8"/>
  <c r="C510" i="8"/>
  <c r="C525" i="8"/>
  <c r="C540" i="8"/>
  <c r="C541" i="8"/>
  <c r="C915" i="8"/>
  <c r="BW204" i="8"/>
  <c r="BW355" i="8"/>
  <c r="BW367" i="8"/>
  <c r="BW382" i="8"/>
  <c r="BW397" i="8"/>
  <c r="BW412" i="8"/>
  <c r="BW413" i="8"/>
  <c r="I897" i="8"/>
  <c r="CU205" i="8"/>
  <c r="CU419" i="8"/>
  <c r="CU431" i="8"/>
  <c r="CU446" i="8"/>
  <c r="CU461" i="8"/>
  <c r="CU476" i="8"/>
  <c r="CU477" i="8"/>
  <c r="K906" i="8"/>
  <c r="CU202" i="8"/>
  <c r="CU227" i="8"/>
  <c r="CU239" i="8"/>
  <c r="CU254" i="8"/>
  <c r="CU269" i="8"/>
  <c r="CU284" i="8"/>
  <c r="CU285" i="8"/>
  <c r="K879" i="8"/>
  <c r="CU208" i="8"/>
  <c r="CU611" i="8"/>
  <c r="CU623" i="8"/>
  <c r="CU638" i="8"/>
  <c r="CU653" i="8"/>
  <c r="CU668" i="8"/>
  <c r="CU669" i="8"/>
  <c r="K933" i="8"/>
  <c r="AA207" i="8"/>
  <c r="AA547" i="8"/>
  <c r="AA559" i="8"/>
  <c r="AA574" i="8"/>
  <c r="AA589" i="8"/>
  <c r="AA604" i="8"/>
  <c r="AA605" i="8"/>
  <c r="E924" i="8"/>
  <c r="C204" i="8"/>
  <c r="C355" i="8"/>
  <c r="C367" i="8"/>
  <c r="C382" i="8"/>
  <c r="C397" i="8"/>
  <c r="C412" i="8"/>
  <c r="C413" i="8"/>
  <c r="C897" i="8"/>
  <c r="CI205" i="8"/>
  <c r="CI419" i="8"/>
  <c r="CI431" i="8"/>
  <c r="CI446" i="8"/>
  <c r="CI461" i="8"/>
  <c r="CI476" i="8"/>
  <c r="CI477" i="8"/>
  <c r="J906" i="8"/>
  <c r="DG202" i="8"/>
  <c r="DG227" i="8"/>
  <c r="DG239" i="8"/>
  <c r="DG254" i="8"/>
  <c r="DG269" i="8"/>
  <c r="DG284" i="8"/>
  <c r="DG285" i="8"/>
  <c r="L879" i="8"/>
  <c r="O202" i="8"/>
  <c r="O227" i="8"/>
  <c r="O239" i="8"/>
  <c r="O254" i="8"/>
  <c r="O269" i="8"/>
  <c r="O284" i="8"/>
  <c r="O285" i="8"/>
  <c r="D879" i="8"/>
  <c r="AA208" i="8"/>
  <c r="AA611" i="8"/>
  <c r="AA623" i="8"/>
  <c r="AA638" i="8"/>
  <c r="AA653" i="8"/>
  <c r="AA668" i="8"/>
  <c r="AA669" i="8"/>
  <c r="E933" i="8"/>
  <c r="DG203" i="8"/>
  <c r="DG291" i="8"/>
  <c r="DG303" i="8"/>
  <c r="DG318" i="8"/>
  <c r="DG333" i="8"/>
  <c r="DG348" i="8"/>
  <c r="DG349" i="8"/>
  <c r="L888" i="8"/>
  <c r="BK208" i="8"/>
  <c r="BK611" i="8"/>
  <c r="BK623" i="8"/>
  <c r="BK638" i="8"/>
  <c r="BK653" i="8"/>
  <c r="BK668" i="8"/>
  <c r="BK669" i="8"/>
  <c r="H933" i="8"/>
  <c r="AY207" i="8"/>
  <c r="AY547" i="8"/>
  <c r="AY559" i="8"/>
  <c r="AY574" i="8"/>
  <c r="AY589" i="8"/>
  <c r="AY604" i="8"/>
  <c r="AY605" i="8"/>
  <c r="G924" i="8"/>
  <c r="AM202" i="8"/>
  <c r="AM227" i="8"/>
  <c r="AM239" i="8"/>
  <c r="AM254" i="8"/>
  <c r="AM269" i="8"/>
  <c r="AM284" i="8"/>
  <c r="AM285" i="8"/>
  <c r="F879" i="8"/>
  <c r="AA205" i="8"/>
  <c r="AA419" i="8"/>
  <c r="AA431" i="8"/>
  <c r="AA446" i="8"/>
  <c r="AA461" i="8"/>
  <c r="AA476" i="8"/>
  <c r="AA477" i="8"/>
  <c r="E906" i="8"/>
  <c r="AY206" i="8"/>
  <c r="AY483" i="8"/>
  <c r="AY495" i="8"/>
  <c r="AY510" i="8"/>
  <c r="AY525" i="8"/>
  <c r="AY540" i="8"/>
  <c r="AY541" i="8"/>
  <c r="G915" i="8"/>
  <c r="BK206" i="8"/>
  <c r="BK483" i="8"/>
  <c r="BK495" i="8"/>
  <c r="BK510" i="8"/>
  <c r="BK525" i="8"/>
  <c r="BK540" i="8"/>
  <c r="BK541" i="8"/>
  <c r="H915" i="8"/>
  <c r="AA202" i="8"/>
  <c r="AA227" i="8"/>
  <c r="AA239" i="8"/>
  <c r="AA254" i="8"/>
  <c r="AA269" i="8"/>
  <c r="AA284" i="8"/>
  <c r="AA285" i="8"/>
  <c r="E879" i="8"/>
  <c r="CI206" i="8"/>
  <c r="CI483" i="8"/>
  <c r="CI495" i="8"/>
  <c r="CI510" i="8"/>
  <c r="CI525" i="8"/>
  <c r="CI540" i="8"/>
  <c r="CI541" i="8"/>
  <c r="J915" i="8"/>
  <c r="BW206" i="8"/>
  <c r="BW483" i="8"/>
  <c r="BW495" i="8"/>
  <c r="BW510" i="8"/>
  <c r="BW525" i="8"/>
  <c r="BW540" i="8"/>
  <c r="BW541" i="8"/>
  <c r="I915" i="8"/>
  <c r="CI204" i="8"/>
  <c r="CI355" i="8"/>
  <c r="CI367" i="8"/>
  <c r="CI382" i="8"/>
  <c r="CI397" i="8"/>
  <c r="CI412" i="8"/>
  <c r="CI413" i="8"/>
  <c r="J897" i="8"/>
  <c r="DG205" i="8"/>
  <c r="DG419" i="8"/>
  <c r="DG431" i="8"/>
  <c r="DG446" i="8"/>
  <c r="DG461" i="8"/>
  <c r="DG476" i="8"/>
  <c r="DG477" i="8"/>
  <c r="L906" i="8"/>
  <c r="CI203" i="8"/>
  <c r="CI291" i="8"/>
  <c r="CI303" i="8"/>
  <c r="CI318" i="8"/>
  <c r="CI333" i="8"/>
  <c r="CI348" i="8"/>
  <c r="CI349" i="8"/>
  <c r="J888" i="8"/>
  <c r="AY208" i="8"/>
  <c r="AY611" i="8"/>
  <c r="AY623" i="8"/>
  <c r="AY638" i="8"/>
  <c r="AY653" i="8"/>
  <c r="AY668" i="8"/>
  <c r="AY669" i="8"/>
  <c r="G933" i="8"/>
  <c r="AM207" i="8"/>
  <c r="AM547" i="8"/>
  <c r="AM559" i="8"/>
  <c r="AM574" i="8"/>
  <c r="AM589" i="8"/>
  <c r="AM604" i="8"/>
  <c r="AM605" i="8"/>
  <c r="F924" i="8"/>
  <c r="BC172" i="8"/>
  <c r="AY177" i="8"/>
  <c r="AY205" i="8"/>
  <c r="AY419" i="8"/>
  <c r="AY431" i="8"/>
  <c r="AY446" i="8"/>
  <c r="AY461" i="8"/>
  <c r="AY476" i="8"/>
  <c r="AY477" i="8"/>
  <c r="G906" i="8"/>
  <c r="CY172" i="8"/>
  <c r="CU177" i="8"/>
  <c r="CU203" i="8"/>
  <c r="CU291" i="8"/>
  <c r="CU303" i="8"/>
  <c r="CU318" i="8"/>
  <c r="CU333" i="8"/>
  <c r="CU348" i="8"/>
  <c r="CU349" i="8"/>
  <c r="K888" i="8"/>
  <c r="BW202" i="8"/>
  <c r="BW227" i="8"/>
  <c r="BW239" i="8"/>
  <c r="BW254" i="8"/>
  <c r="BW269" i="8"/>
  <c r="BW284" i="8"/>
  <c r="BW285" i="8"/>
  <c r="I879" i="8"/>
  <c r="BW203" i="8"/>
  <c r="BW291" i="8"/>
  <c r="BW303" i="8"/>
  <c r="BW318" i="8"/>
  <c r="BW333" i="8"/>
  <c r="BW348" i="8"/>
  <c r="BW349" i="8"/>
  <c r="I888" i="8"/>
  <c r="DG207" i="8"/>
  <c r="DG547" i="8"/>
  <c r="DG559" i="8"/>
  <c r="DG574" i="8"/>
  <c r="DG589" i="8"/>
  <c r="DG604" i="8"/>
  <c r="DG605" i="8"/>
  <c r="L924" i="8"/>
  <c r="BO172" i="8"/>
  <c r="BK177" i="8"/>
  <c r="BK207" i="8"/>
  <c r="BK547" i="8"/>
  <c r="BK559" i="8"/>
  <c r="BK574" i="8"/>
  <c r="BK589" i="8"/>
  <c r="BK604" i="8"/>
  <c r="BK605" i="8"/>
  <c r="H924" i="8"/>
  <c r="O204" i="8"/>
  <c r="O355" i="8"/>
  <c r="O367" i="8"/>
  <c r="O382" i="8"/>
  <c r="O397" i="8"/>
  <c r="O412" i="8"/>
  <c r="O413" i="8"/>
  <c r="D897" i="8"/>
  <c r="AE172" i="8"/>
  <c r="AA177" i="8"/>
  <c r="AA206" i="8"/>
  <c r="AA483" i="8"/>
  <c r="AA495" i="8"/>
  <c r="AA510" i="8"/>
  <c r="AA525" i="8"/>
  <c r="AA540" i="8"/>
  <c r="AA541" i="8"/>
  <c r="E915" i="8"/>
  <c r="AM206" i="8"/>
  <c r="AM483" i="8"/>
  <c r="AM495" i="8"/>
  <c r="AM510" i="8"/>
  <c r="AM525" i="8"/>
  <c r="AM540" i="8"/>
  <c r="AM541" i="8"/>
  <c r="F915" i="8"/>
  <c r="BW205" i="8"/>
  <c r="BW419" i="8"/>
  <c r="BW431" i="8"/>
  <c r="BW446" i="8"/>
  <c r="BW461" i="8"/>
  <c r="BW476" i="8"/>
  <c r="BW477" i="8"/>
  <c r="I906" i="8"/>
  <c r="O208" i="8"/>
  <c r="O611" i="8"/>
  <c r="O623" i="8"/>
  <c r="O638" i="8"/>
  <c r="O653" i="8"/>
  <c r="O668" i="8"/>
  <c r="O669" i="8"/>
  <c r="D933" i="8"/>
  <c r="CM172" i="8"/>
  <c r="CI177" i="8"/>
  <c r="CI207" i="8"/>
  <c r="CI547" i="8"/>
  <c r="CI559" i="8"/>
  <c r="CI574" i="8"/>
  <c r="CI589" i="8"/>
  <c r="CI604" i="8"/>
  <c r="CI605" i="8"/>
  <c r="J924" i="8"/>
  <c r="C202" i="8"/>
  <c r="C227" i="8"/>
  <c r="C239" i="8"/>
  <c r="C254" i="8"/>
  <c r="C269" i="8"/>
  <c r="C284" i="8"/>
  <c r="C285" i="8"/>
  <c r="C879" i="8"/>
  <c r="AQ172" i="8"/>
  <c r="AM177" i="8"/>
  <c r="AM203" i="8"/>
  <c r="AM291" i="8"/>
  <c r="AM303" i="8"/>
  <c r="AM318" i="8"/>
  <c r="AM333" i="8"/>
  <c r="AM348" i="8"/>
  <c r="AM349" i="8"/>
  <c r="F888" i="8"/>
  <c r="S172" i="8"/>
  <c r="O177" i="8"/>
  <c r="O205" i="8"/>
  <c r="O419" i="8"/>
  <c r="O431" i="8"/>
  <c r="O446" i="8"/>
  <c r="O461" i="8"/>
  <c r="O476" i="8"/>
  <c r="O477" i="8"/>
  <c r="D906" i="8"/>
  <c r="AM144" i="8"/>
  <c r="AP167" i="8"/>
  <c r="AQ167" i="8"/>
  <c r="AA145" i="8"/>
  <c r="AD168" i="8"/>
  <c r="AE168" i="8"/>
  <c r="AY138" i="8"/>
  <c r="BB161" i="8"/>
  <c r="BC161" i="8"/>
  <c r="BW130" i="8"/>
  <c r="BZ153" i="8"/>
  <c r="CA153" i="8"/>
  <c r="AQ168" i="8"/>
  <c r="AP168" i="8"/>
  <c r="AM145" i="8"/>
  <c r="C137" i="8"/>
  <c r="F160" i="8"/>
  <c r="G160" i="8"/>
  <c r="C131" i="8"/>
  <c r="F154" i="8"/>
  <c r="G154" i="8"/>
  <c r="BZ174" i="8"/>
  <c r="BC154" i="8"/>
  <c r="BB154" i="8"/>
  <c r="AY131" i="8"/>
  <c r="CY160" i="8"/>
  <c r="CX160" i="8"/>
  <c r="CU137" i="8"/>
  <c r="AM143" i="8"/>
  <c r="AP166" i="8"/>
  <c r="AQ166" i="8"/>
  <c r="CU147" i="8"/>
  <c r="CX170" i="8"/>
  <c r="CY170" i="8"/>
  <c r="G167" i="8"/>
  <c r="F167" i="8"/>
  <c r="C144" i="8"/>
  <c r="AM148" i="8"/>
  <c r="AP171" i="8"/>
  <c r="AQ171" i="8"/>
  <c r="AY132" i="8"/>
  <c r="BB155" i="8"/>
  <c r="BC155" i="8"/>
  <c r="BW132" i="8"/>
  <c r="BZ155" i="8"/>
  <c r="CA155" i="8"/>
  <c r="AM139" i="8"/>
  <c r="AP162" i="8"/>
  <c r="AQ162" i="8"/>
  <c r="C142" i="8"/>
  <c r="F165" i="8"/>
  <c r="G165" i="8"/>
  <c r="CU141" i="8"/>
  <c r="CX164" i="8"/>
  <c r="CY164" i="8"/>
  <c r="C147" i="8"/>
  <c r="F170" i="8"/>
  <c r="G170" i="8"/>
  <c r="BW148" i="8"/>
  <c r="BZ171" i="8"/>
  <c r="CA171" i="8"/>
  <c r="CX174" i="8"/>
  <c r="S158" i="8"/>
  <c r="R158" i="8"/>
  <c r="O135" i="8"/>
  <c r="AY148" i="8"/>
  <c r="BB171" i="8"/>
  <c r="BC171" i="8"/>
  <c r="BW142" i="8"/>
  <c r="BZ165" i="8"/>
  <c r="CA165" i="8"/>
  <c r="CA170" i="8"/>
  <c r="BZ170" i="8"/>
  <c r="BW147" i="8"/>
  <c r="CU136" i="8"/>
  <c r="CX159" i="8"/>
  <c r="CY159" i="8"/>
  <c r="R174" i="8"/>
  <c r="C143" i="8"/>
  <c r="F166" i="8"/>
  <c r="G166" i="8"/>
  <c r="BW139" i="8"/>
  <c r="BZ162" i="8"/>
  <c r="CA162" i="8"/>
  <c r="BO170" i="8"/>
  <c r="BN170" i="8"/>
  <c r="BK147" i="8"/>
  <c r="AQ154" i="8"/>
  <c r="AP154" i="8"/>
  <c r="AM131" i="8"/>
  <c r="BW140" i="8"/>
  <c r="BZ163" i="8"/>
  <c r="CA163" i="8"/>
  <c r="CU140" i="8"/>
  <c r="CX163" i="8"/>
  <c r="CY163" i="8"/>
  <c r="BO158" i="8"/>
  <c r="BN158" i="8"/>
  <c r="BK135" i="8"/>
  <c r="O148" i="8"/>
  <c r="R171" i="8"/>
  <c r="S171" i="8"/>
  <c r="AA142" i="8"/>
  <c r="AD165" i="8"/>
  <c r="AE165" i="8"/>
  <c r="S162" i="8"/>
  <c r="R162" i="8"/>
  <c r="O139" i="8"/>
  <c r="DG147" i="8"/>
  <c r="DJ170" i="8"/>
  <c r="DK170" i="8"/>
  <c r="CA167" i="8"/>
  <c r="BZ167" i="8"/>
  <c r="BW144" i="8"/>
  <c r="CU130" i="8"/>
  <c r="CX153" i="8"/>
  <c r="CY153" i="8"/>
  <c r="DK158" i="8"/>
  <c r="DJ158" i="8"/>
  <c r="DG135" i="8"/>
  <c r="CL174" i="8"/>
  <c r="O143" i="8"/>
  <c r="R166" i="8"/>
  <c r="S166" i="8"/>
  <c r="DG140" i="8"/>
  <c r="DJ163" i="8"/>
  <c r="DK163" i="8"/>
  <c r="CI138" i="8"/>
  <c r="CL161" i="8"/>
  <c r="CM161" i="8"/>
  <c r="AQ159" i="8"/>
  <c r="AP159" i="8"/>
  <c r="AM136" i="8"/>
  <c r="BC166" i="8"/>
  <c r="BB166" i="8"/>
  <c r="AY143" i="8"/>
  <c r="AY134" i="8"/>
  <c r="BB157" i="8"/>
  <c r="BC157" i="8"/>
  <c r="DG130" i="8"/>
  <c r="DJ153" i="8"/>
  <c r="DK153" i="8"/>
  <c r="AM132" i="8"/>
  <c r="AP155" i="8"/>
  <c r="AQ155" i="8"/>
  <c r="BK141" i="8"/>
  <c r="BN164" i="8"/>
  <c r="BO164" i="8"/>
  <c r="CM160" i="8"/>
  <c r="CL160" i="8"/>
  <c r="CI137" i="8"/>
  <c r="CM157" i="8"/>
  <c r="CL157" i="8"/>
  <c r="CI134" i="8"/>
  <c r="CM171" i="8"/>
  <c r="CL171" i="8"/>
  <c r="CI148" i="8"/>
  <c r="DK171" i="8"/>
  <c r="DJ171" i="8"/>
  <c r="DG148" i="8"/>
  <c r="CM153" i="8"/>
  <c r="CL153" i="8"/>
  <c r="CI130" i="8"/>
  <c r="AE163" i="8"/>
  <c r="AD163" i="8"/>
  <c r="AA140" i="8"/>
  <c r="AY139" i="8"/>
  <c r="BB162" i="8"/>
  <c r="BC162" i="8"/>
  <c r="AQ158" i="8"/>
  <c r="AP158" i="8"/>
  <c r="AM135" i="8"/>
  <c r="C132" i="8"/>
  <c r="F155" i="8"/>
  <c r="G155" i="8"/>
  <c r="AE161" i="8"/>
  <c r="AD161" i="8"/>
  <c r="AA138" i="8"/>
  <c r="CM168" i="8"/>
  <c r="CL168" i="8"/>
  <c r="CI145" i="8"/>
  <c r="G172" i="8"/>
  <c r="C177" i="8"/>
  <c r="C205" i="8"/>
  <c r="C419" i="8"/>
  <c r="C431" i="8"/>
  <c r="C446" i="8"/>
  <c r="C461" i="8"/>
  <c r="C476" i="8"/>
  <c r="C477" i="8"/>
  <c r="C906" i="8"/>
  <c r="CA154" i="8"/>
  <c r="BZ154" i="8"/>
  <c r="BW131" i="8"/>
  <c r="AY136" i="8"/>
  <c r="BB159" i="8"/>
  <c r="BC159" i="8"/>
  <c r="O136" i="8"/>
  <c r="R159" i="8"/>
  <c r="S159" i="8"/>
  <c r="O144" i="8"/>
  <c r="R167" i="8"/>
  <c r="S167" i="8"/>
  <c r="BO169" i="8"/>
  <c r="BN169" i="8"/>
  <c r="BK146" i="8"/>
  <c r="AM134" i="8"/>
  <c r="AP157" i="8"/>
  <c r="AQ157" i="8"/>
  <c r="CI140" i="8"/>
  <c r="CL163" i="8"/>
  <c r="CM163" i="8"/>
  <c r="CI132" i="8"/>
  <c r="CL155" i="8"/>
  <c r="CM155" i="8"/>
  <c r="BW141" i="8"/>
  <c r="BZ164" i="8"/>
  <c r="CA164" i="8"/>
  <c r="AE155" i="8"/>
  <c r="AD155" i="8"/>
  <c r="AA132" i="8"/>
  <c r="BW138" i="8"/>
  <c r="BZ161" i="8"/>
  <c r="CA161" i="8"/>
  <c r="BK136" i="8"/>
  <c r="BN159" i="8"/>
  <c r="BO159" i="8"/>
  <c r="O137" i="8"/>
  <c r="R160" i="8"/>
  <c r="S160" i="8"/>
  <c r="S161" i="8"/>
  <c r="R161" i="8"/>
  <c r="O138" i="8"/>
  <c r="BO154" i="8"/>
  <c r="BN154" i="8"/>
  <c r="BK131" i="8"/>
  <c r="BK138" i="8"/>
  <c r="BN161" i="8"/>
  <c r="BO161" i="8"/>
  <c r="C135" i="8"/>
  <c r="F158" i="8"/>
  <c r="G158" i="8"/>
  <c r="CI146" i="8"/>
  <c r="CL169" i="8"/>
  <c r="CM169" i="8"/>
  <c r="CY168" i="8"/>
  <c r="CX168" i="8"/>
  <c r="CU145" i="8"/>
  <c r="O132" i="8"/>
  <c r="R155" i="8"/>
  <c r="S155" i="8"/>
  <c r="DK154" i="8"/>
  <c r="DJ154" i="8"/>
  <c r="DG131" i="8"/>
  <c r="CA166" i="8"/>
  <c r="BZ166" i="8"/>
  <c r="BW143" i="8"/>
  <c r="BC165" i="8"/>
  <c r="BB165" i="8"/>
  <c r="AY142" i="8"/>
  <c r="BO162" i="8"/>
  <c r="BN162" i="8"/>
  <c r="BK139" i="8"/>
  <c r="BC163" i="8"/>
  <c r="BB163" i="8"/>
  <c r="AY140" i="8"/>
  <c r="CA157" i="8"/>
  <c r="BZ157" i="8"/>
  <c r="BW134" i="8"/>
  <c r="DK165" i="8"/>
  <c r="DJ165" i="8"/>
  <c r="DG142" i="8"/>
  <c r="DK162" i="8"/>
  <c r="DJ162" i="8"/>
  <c r="DG139" i="8"/>
  <c r="DJ174" i="8"/>
  <c r="DG146" i="8"/>
  <c r="DJ169" i="8"/>
  <c r="DK169" i="8"/>
  <c r="CM154" i="8"/>
  <c r="CL154" i="8"/>
  <c r="CI131" i="8"/>
  <c r="BC158" i="8"/>
  <c r="BB158" i="8"/>
  <c r="AY135" i="8"/>
  <c r="CU132" i="8"/>
  <c r="CX155" i="8"/>
  <c r="CY155" i="8"/>
  <c r="C140" i="8"/>
  <c r="F163" i="8"/>
  <c r="G163" i="8"/>
  <c r="AA130" i="8"/>
  <c r="AD153" i="8"/>
  <c r="AE153" i="8"/>
  <c r="AQ165" i="8"/>
  <c r="AP165" i="8"/>
  <c r="AM142" i="8"/>
  <c r="AY147" i="8"/>
  <c r="BB170" i="8"/>
  <c r="BC170" i="8"/>
  <c r="BN174" i="8"/>
  <c r="F174" i="8"/>
  <c r="AA134" i="8"/>
  <c r="AD157" i="8"/>
  <c r="AE157" i="8"/>
  <c r="BB174" i="8"/>
  <c r="CU146" i="8"/>
  <c r="CX169" i="8"/>
  <c r="CY169" i="8"/>
  <c r="O141" i="8"/>
  <c r="R164" i="8"/>
  <c r="S164" i="8"/>
  <c r="AQ169" i="8"/>
  <c r="AP169" i="8"/>
  <c r="AM146" i="8"/>
  <c r="DG134" i="8"/>
  <c r="DJ157" i="8"/>
  <c r="DK157" i="8"/>
  <c r="AM130" i="8"/>
  <c r="AP153" i="8"/>
  <c r="AQ153" i="8"/>
  <c r="AA135" i="8"/>
  <c r="AD158" i="8"/>
  <c r="AE158" i="8"/>
  <c r="CI139" i="8"/>
  <c r="CL162" i="8"/>
  <c r="CM162" i="8"/>
  <c r="AM138" i="8"/>
  <c r="AP161" i="8"/>
  <c r="AQ161" i="8"/>
  <c r="BW145" i="8"/>
  <c r="BZ168" i="8"/>
  <c r="CA168" i="8"/>
  <c r="AM141" i="8"/>
  <c r="AP164" i="8"/>
  <c r="AQ164" i="8"/>
  <c r="DK155" i="8"/>
  <c r="DJ155" i="8"/>
  <c r="DG132" i="8"/>
  <c r="AA137" i="8"/>
  <c r="AD160" i="8"/>
  <c r="AE160" i="8"/>
  <c r="CA169" i="8"/>
  <c r="BZ169" i="8"/>
  <c r="BW146" i="8"/>
  <c r="AQ160" i="8"/>
  <c r="AP160" i="8"/>
  <c r="AM137" i="8"/>
  <c r="BO157" i="8"/>
  <c r="BN157" i="8"/>
  <c r="BK134" i="8"/>
  <c r="BO166" i="8"/>
  <c r="BN166" i="8"/>
  <c r="BK143" i="8"/>
  <c r="CA172" i="8"/>
  <c r="BW177" i="8"/>
  <c r="BW208" i="8"/>
  <c r="BW611" i="8"/>
  <c r="BW623" i="8"/>
  <c r="BW638" i="8"/>
  <c r="BW653" i="8"/>
  <c r="BW668" i="8"/>
  <c r="BW669" i="8"/>
  <c r="I933" i="8"/>
  <c r="CM164" i="8"/>
  <c r="CL164" i="8"/>
  <c r="CI141" i="8"/>
  <c r="AA147" i="8"/>
  <c r="AD170" i="8"/>
  <c r="AE170" i="8"/>
  <c r="CY158" i="8"/>
  <c r="CX158" i="8"/>
  <c r="CU135" i="8"/>
  <c r="BK130" i="8"/>
  <c r="BN153" i="8"/>
  <c r="BO153" i="8"/>
  <c r="AA141" i="8"/>
  <c r="AD164" i="8"/>
  <c r="AE164" i="8"/>
  <c r="AP174" i="8"/>
  <c r="BO171" i="8"/>
  <c r="BN171" i="8"/>
  <c r="BK148" i="8"/>
  <c r="DK164" i="8"/>
  <c r="DJ164" i="8"/>
  <c r="DG141" i="8"/>
  <c r="G171" i="8"/>
  <c r="F171" i="8"/>
  <c r="C148" i="8"/>
  <c r="BO155" i="8"/>
  <c r="BN155" i="8"/>
  <c r="BK132" i="8"/>
  <c r="BC169" i="8"/>
  <c r="BB169" i="8"/>
  <c r="AY146" i="8"/>
  <c r="AQ170" i="8"/>
  <c r="AP170" i="8"/>
  <c r="AM147" i="8"/>
  <c r="CY154" i="8"/>
  <c r="CX154" i="8"/>
  <c r="CU131" i="8"/>
  <c r="DK160" i="8"/>
  <c r="DJ160" i="8"/>
  <c r="DG137" i="8"/>
  <c r="CM158" i="8"/>
  <c r="CL158" i="8"/>
  <c r="CI135" i="8"/>
  <c r="BO160" i="8"/>
  <c r="BN160" i="8"/>
  <c r="BK137" i="8"/>
  <c r="AM140" i="8"/>
  <c r="AP163" i="8"/>
  <c r="AQ163" i="8"/>
  <c r="AE169" i="8"/>
  <c r="AD169" i="8"/>
  <c r="AA146" i="8"/>
  <c r="CM159" i="8"/>
  <c r="CL159" i="8"/>
  <c r="CI136" i="8"/>
  <c r="DK166" i="8"/>
  <c r="DJ166" i="8"/>
  <c r="DG143" i="8"/>
  <c r="CA158" i="8"/>
  <c r="BZ158" i="8"/>
  <c r="BW135" i="8"/>
  <c r="CY171" i="8"/>
  <c r="CX171" i="8"/>
  <c r="CU148" i="8"/>
  <c r="CM166" i="8"/>
  <c r="CL166" i="8"/>
  <c r="CI143" i="8"/>
  <c r="C146" i="8"/>
  <c r="F169" i="8"/>
  <c r="G169" i="8"/>
  <c r="O130" i="8"/>
  <c r="R153" i="8"/>
  <c r="S153" i="8"/>
  <c r="DG138" i="8"/>
  <c r="DJ161" i="8"/>
  <c r="DK161" i="8"/>
  <c r="AE159" i="8"/>
  <c r="AD159" i="8"/>
  <c r="AA136" i="8"/>
  <c r="AM164" i="8"/>
  <c r="AM162" i="8"/>
  <c r="AM166" i="8"/>
  <c r="AM159" i="8"/>
  <c r="AM155" i="8"/>
  <c r="AM169" i="8"/>
  <c r="AM168" i="8"/>
  <c r="AM157" i="8"/>
  <c r="AM156" i="8"/>
  <c r="AM160" i="8"/>
  <c r="AM167" i="8"/>
  <c r="AM154" i="8"/>
  <c r="AM158" i="8"/>
  <c r="AM165" i="8"/>
  <c r="AM161" i="8"/>
  <c r="AM163" i="8"/>
  <c r="AM170" i="8"/>
  <c r="AM152" i="8"/>
  <c r="AM153" i="8"/>
  <c r="AQ152" i="8"/>
  <c r="AP152" i="8"/>
  <c r="AM129" i="8"/>
  <c r="AM151" i="8"/>
  <c r="AM171" i="8"/>
  <c r="AE167" i="8"/>
  <c r="AD167" i="8"/>
  <c r="AA144" i="8"/>
  <c r="S165" i="8"/>
  <c r="R165" i="8"/>
  <c r="O142" i="8"/>
  <c r="AE171" i="8"/>
  <c r="AD171" i="8"/>
  <c r="AA148" i="8"/>
  <c r="S157" i="8"/>
  <c r="R157" i="8"/>
  <c r="O134" i="8"/>
  <c r="G162" i="8"/>
  <c r="F162" i="8"/>
  <c r="C139" i="8"/>
  <c r="AE162" i="8"/>
  <c r="AD162" i="8"/>
  <c r="AA139" i="8"/>
  <c r="AY141" i="8"/>
  <c r="BB164" i="8"/>
  <c r="BC164" i="8"/>
  <c r="CU144" i="8"/>
  <c r="CX167" i="8"/>
  <c r="CY167" i="8"/>
  <c r="DK172" i="8"/>
  <c r="DG177" i="8"/>
  <c r="DG208" i="8"/>
  <c r="DG611" i="8"/>
  <c r="DG623" i="8"/>
  <c r="DG638" i="8"/>
  <c r="DG653" i="8"/>
  <c r="DG668" i="8"/>
  <c r="DG669" i="8"/>
  <c r="L933" i="8"/>
  <c r="C145" i="8"/>
  <c r="F168" i="8"/>
  <c r="G168" i="8"/>
  <c r="BK144" i="8"/>
  <c r="BN167" i="8"/>
  <c r="BO167" i="8"/>
  <c r="C130" i="8"/>
  <c r="F153" i="8"/>
  <c r="G153" i="8"/>
  <c r="BW137" i="8"/>
  <c r="BZ160" i="8"/>
  <c r="CA160" i="8"/>
  <c r="CI147" i="8"/>
  <c r="CL170" i="8"/>
  <c r="CM170" i="8"/>
  <c r="BK145" i="8"/>
  <c r="BN168" i="8"/>
  <c r="BO168" i="8"/>
  <c r="O140" i="8"/>
  <c r="R163" i="8"/>
  <c r="S163" i="8"/>
  <c r="C138" i="8"/>
  <c r="F161" i="8"/>
  <c r="G161" i="8"/>
  <c r="CU142" i="8"/>
  <c r="CX165" i="8"/>
  <c r="CY165" i="8"/>
  <c r="C136" i="8"/>
  <c r="F159" i="8"/>
  <c r="G159" i="8"/>
  <c r="DK168" i="8"/>
  <c r="DJ168" i="8"/>
  <c r="DG145" i="8"/>
  <c r="CU134" i="8"/>
  <c r="CX157" i="8"/>
  <c r="CY157" i="8"/>
  <c r="BW136" i="8"/>
  <c r="BZ159" i="8"/>
  <c r="CA159" i="8"/>
  <c r="AY130" i="8"/>
  <c r="BB153" i="8"/>
  <c r="BC153" i="8"/>
  <c r="O131" i="8"/>
  <c r="R154" i="8"/>
  <c r="S154" i="8"/>
  <c r="BO165" i="8"/>
  <c r="BN165" i="8"/>
  <c r="BK142" i="8"/>
  <c r="CY161" i="8"/>
  <c r="CX161" i="8"/>
  <c r="CU138" i="8"/>
  <c r="AD174" i="8"/>
  <c r="CM165" i="8"/>
  <c r="CL165" i="8"/>
  <c r="CI142" i="8"/>
  <c r="BC168" i="8"/>
  <c r="BB168" i="8"/>
  <c r="AY145" i="8"/>
  <c r="S168" i="8"/>
  <c r="R168" i="8"/>
  <c r="O145" i="8"/>
  <c r="DK167" i="8"/>
  <c r="DJ167" i="8"/>
  <c r="DG144" i="8"/>
  <c r="O161" i="8"/>
  <c r="O167" i="8"/>
  <c r="O157" i="8"/>
  <c r="O165" i="8"/>
  <c r="O169" i="8"/>
  <c r="O170" i="8"/>
  <c r="O162" i="8"/>
  <c r="O166" i="8"/>
  <c r="O155" i="8"/>
  <c r="O153" i="8"/>
  <c r="O152" i="8"/>
  <c r="O156" i="8"/>
  <c r="O164" i="8"/>
  <c r="O159" i="8"/>
  <c r="O171" i="8"/>
  <c r="O163" i="8"/>
  <c r="O158" i="8"/>
  <c r="O168" i="8"/>
  <c r="O154" i="8"/>
  <c r="O160" i="8"/>
  <c r="CI144" i="8"/>
  <c r="CL167" i="8"/>
  <c r="CM167" i="8"/>
  <c r="BO163" i="8"/>
  <c r="BN163" i="8"/>
  <c r="BK140" i="8"/>
  <c r="DG136" i="8"/>
  <c r="DJ159" i="8"/>
  <c r="DK159" i="8"/>
  <c r="BK156" i="8"/>
  <c r="BK155" i="8"/>
  <c r="BK164" i="8"/>
  <c r="BK152" i="8"/>
  <c r="BK159" i="8"/>
  <c r="BK170" i="8"/>
  <c r="BK166" i="8"/>
  <c r="BK153" i="8"/>
  <c r="BK163" i="8"/>
  <c r="BK158" i="8"/>
  <c r="BK168" i="8"/>
  <c r="BK165" i="8"/>
  <c r="BK171" i="8"/>
  <c r="BK154" i="8"/>
  <c r="BK161" i="8"/>
  <c r="BK157" i="8"/>
  <c r="BK167" i="8"/>
  <c r="BK169" i="8"/>
  <c r="BK162" i="8"/>
  <c r="BO152" i="8"/>
  <c r="BN152" i="8"/>
  <c r="BK129" i="8"/>
  <c r="BK151" i="8"/>
  <c r="BK160" i="8"/>
  <c r="G164" i="8"/>
  <c r="F164" i="8"/>
  <c r="C141" i="8"/>
  <c r="CY162" i="8"/>
  <c r="CX162" i="8"/>
  <c r="CU139" i="8"/>
  <c r="AY144" i="8"/>
  <c r="BB167" i="8"/>
  <c r="BC167" i="8"/>
  <c r="CU143" i="8"/>
  <c r="CX166" i="8"/>
  <c r="CY166" i="8"/>
  <c r="AA143" i="8"/>
  <c r="AD166" i="8"/>
  <c r="AE166" i="8"/>
  <c r="O147" i="8"/>
  <c r="S170" i="8"/>
  <c r="R170" i="8"/>
  <c r="BW163" i="8"/>
  <c r="BW154" i="8"/>
  <c r="BW160" i="8"/>
  <c r="BW156" i="8"/>
  <c r="BW158" i="8"/>
  <c r="BW161" i="8"/>
  <c r="BW171" i="8"/>
  <c r="BW157" i="8"/>
  <c r="BW164" i="8"/>
  <c r="BW162" i="8"/>
  <c r="BW153" i="8"/>
  <c r="BW166" i="8"/>
  <c r="BW159" i="8"/>
  <c r="BW170" i="8"/>
  <c r="BW155" i="8"/>
  <c r="BW169" i="8"/>
  <c r="BW152" i="8"/>
  <c r="BW168" i="8"/>
  <c r="BW165" i="8"/>
  <c r="CA152" i="8"/>
  <c r="BZ152" i="8"/>
  <c r="BW129" i="8"/>
  <c r="BW151" i="8"/>
  <c r="BW167" i="8"/>
  <c r="AY165" i="8"/>
  <c r="AY162" i="8"/>
  <c r="AY161" i="8"/>
  <c r="AY169" i="8"/>
  <c r="AY160" i="8"/>
  <c r="AY164" i="8"/>
  <c r="AY158" i="8"/>
  <c r="AY157" i="8"/>
  <c r="AY156" i="8"/>
  <c r="AY171" i="8"/>
  <c r="AY159" i="8"/>
  <c r="AY155" i="8"/>
  <c r="AY168" i="8"/>
  <c r="AY167" i="8"/>
  <c r="AY170" i="8"/>
  <c r="AY154" i="8"/>
  <c r="AY163" i="8"/>
  <c r="AY166" i="8"/>
  <c r="AY153" i="8"/>
  <c r="AY152" i="8"/>
  <c r="AA171" i="8"/>
  <c r="AA158" i="8"/>
  <c r="AA167" i="8"/>
  <c r="AA166" i="8"/>
  <c r="AA165" i="8"/>
  <c r="AA170" i="8"/>
  <c r="AA162" i="8"/>
  <c r="AA155" i="8"/>
  <c r="AA168" i="8"/>
  <c r="AA169" i="8"/>
  <c r="AA159" i="8"/>
  <c r="AA157" i="8"/>
  <c r="AA152" i="8"/>
  <c r="AA156" i="8"/>
  <c r="AA161" i="8"/>
  <c r="AA154" i="8"/>
  <c r="AA153" i="8"/>
  <c r="AA164" i="8"/>
  <c r="AA163" i="8"/>
  <c r="AA160" i="8"/>
  <c r="G157" i="8"/>
  <c r="F157" i="8"/>
  <c r="C134" i="8"/>
  <c r="AE152" i="8"/>
  <c r="AD152" i="8"/>
  <c r="AA129" i="8"/>
  <c r="AA151" i="8"/>
  <c r="AE154" i="8"/>
  <c r="AD154" i="8"/>
  <c r="AA131" i="8"/>
  <c r="BC152" i="8"/>
  <c r="BB152" i="8"/>
  <c r="AY129" i="8"/>
  <c r="AY151" i="8"/>
  <c r="BC160" i="8"/>
  <c r="BB160" i="8"/>
  <c r="AY137" i="8"/>
  <c r="CI160" i="8"/>
  <c r="CI158" i="8"/>
  <c r="CI156" i="8"/>
  <c r="CI165" i="8"/>
  <c r="CI162" i="8"/>
  <c r="CI167" i="8"/>
  <c r="CI152" i="8"/>
  <c r="CI171" i="8"/>
  <c r="CI169" i="8"/>
  <c r="CI155" i="8"/>
  <c r="CI164" i="8"/>
  <c r="CI153" i="8"/>
  <c r="CI161" i="8"/>
  <c r="CI159" i="8"/>
  <c r="CI163" i="8"/>
  <c r="CI168" i="8"/>
  <c r="CI170" i="8"/>
  <c r="CI154" i="8"/>
  <c r="CI166" i="8"/>
  <c r="CM152" i="8"/>
  <c r="CL152" i="8"/>
  <c r="CI129" i="8"/>
  <c r="CI151" i="8"/>
  <c r="CI157" i="8"/>
  <c r="S152" i="8"/>
  <c r="R152" i="8"/>
  <c r="O129" i="8"/>
  <c r="O151" i="8"/>
  <c r="S169" i="8"/>
  <c r="R169" i="8"/>
  <c r="O146" i="8"/>
  <c r="C170" i="8"/>
  <c r="C158" i="8"/>
  <c r="C167" i="8"/>
  <c r="C152" i="8"/>
  <c r="C155" i="8"/>
  <c r="C166" i="8"/>
  <c r="C171" i="8"/>
  <c r="C154" i="8"/>
  <c r="C168" i="8"/>
  <c r="C153" i="8"/>
  <c r="C163" i="8"/>
  <c r="C169" i="8"/>
  <c r="C165" i="8"/>
  <c r="C161" i="8"/>
  <c r="C160" i="8"/>
  <c r="C162" i="8"/>
  <c r="C159" i="8"/>
  <c r="C157" i="8"/>
  <c r="C156" i="8"/>
  <c r="G152" i="8"/>
  <c r="F152" i="8"/>
  <c r="C129" i="8"/>
  <c r="C151" i="8"/>
  <c r="C164" i="8"/>
  <c r="DG165" i="8"/>
  <c r="DG164" i="8"/>
  <c r="DG153" i="8"/>
  <c r="DG167" i="8"/>
  <c r="DG155" i="8"/>
  <c r="DG156" i="8"/>
  <c r="DG152" i="8"/>
  <c r="DG169" i="8"/>
  <c r="DG166" i="8"/>
  <c r="DG158" i="8"/>
  <c r="DG168" i="8"/>
  <c r="DG163" i="8"/>
  <c r="DG154" i="8"/>
  <c r="DG157" i="8"/>
  <c r="DG171" i="8"/>
  <c r="DG160" i="8"/>
  <c r="DG161" i="8"/>
  <c r="DG159" i="8"/>
  <c r="DG162" i="8"/>
  <c r="DK152" i="8"/>
  <c r="DJ152" i="8"/>
  <c r="DG129" i="8"/>
  <c r="DG151" i="8"/>
  <c r="DG170" i="8"/>
  <c r="CU156" i="8"/>
  <c r="CU159" i="8"/>
  <c r="CU167" i="8"/>
  <c r="CU158" i="8"/>
  <c r="CU170" i="8"/>
  <c r="CU166" i="8"/>
  <c r="CU162" i="8"/>
  <c r="CU165" i="8"/>
  <c r="CU163" i="8"/>
  <c r="CU164" i="8"/>
  <c r="CU161" i="8"/>
  <c r="CU160" i="8"/>
  <c r="CU155" i="8"/>
  <c r="CU169" i="8"/>
  <c r="CU154" i="8"/>
  <c r="CU171" i="8"/>
  <c r="CU157" i="8"/>
  <c r="CU153" i="8"/>
  <c r="CU152" i="8"/>
  <c r="CY152" i="8"/>
  <c r="CX152" i="8"/>
  <c r="CU129" i="8"/>
  <c r="CU151" i="8"/>
  <c r="CU16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9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A price per share must be entered or the post money valuation will refer to an incorrect round.</t>
        </r>
      </text>
    </comment>
    <comment ref="K22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A price per share must be entered or the # of shares in the Cap Table will show up as zero (0).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23" authorId="0" shapeId="0" xr:uid="{00000000-0006-0000-0000-000003000000}">
      <text>
        <r>
          <rPr>
            <b/>
            <sz val="10"/>
            <color indexed="81"/>
            <rFont val="Tahoma"/>
            <family val="2"/>
          </rPr>
          <t>A price per share must be entered or the # of shares in the Cap Table will show up as zero (0).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<sst xmlns="http://schemas.openxmlformats.org/spreadsheetml/2006/main" count="750" uniqueCount="149">
  <si>
    <t>Common</t>
  </si>
  <si>
    <t>Options</t>
  </si>
  <si>
    <t>Total</t>
  </si>
  <si>
    <t>Warrants</t>
  </si>
  <si>
    <t>Preferred</t>
  </si>
  <si>
    <t>Ownership</t>
  </si>
  <si>
    <t>Invested</t>
  </si>
  <si>
    <t>Management</t>
  </si>
  <si>
    <t>Total Shares</t>
  </si>
  <si>
    <t>Total Dollars</t>
  </si>
  <si>
    <t>Hercules Technology Growth Capital</t>
  </si>
  <si>
    <t>Company Name:</t>
  </si>
  <si>
    <t>Shares</t>
  </si>
  <si>
    <t>Of All</t>
  </si>
  <si>
    <t xml:space="preserve">Total # </t>
  </si>
  <si>
    <t>Shares Held</t>
  </si>
  <si>
    <t>Percent (%)</t>
  </si>
  <si>
    <t xml:space="preserve"> Dollars ($)</t>
  </si>
  <si>
    <t>Price Per Share</t>
  </si>
  <si>
    <t>Date Round Closed</t>
  </si>
  <si>
    <t>Name of Round Closed</t>
  </si>
  <si>
    <t>Cap Table Date:</t>
  </si>
  <si>
    <t>Common Shares Issued</t>
  </si>
  <si>
    <t>Shares Issued</t>
  </si>
  <si>
    <t xml:space="preserve">Total Raised </t>
  </si>
  <si>
    <t>TOTALS</t>
  </si>
  <si>
    <t>&amp; Options</t>
  </si>
  <si>
    <t>Stock</t>
  </si>
  <si>
    <t>TOTAL</t>
  </si>
  <si>
    <t>Investor/Series</t>
  </si>
  <si>
    <t>Subtotal Of All Common + Options</t>
  </si>
  <si>
    <t>Other Investors</t>
  </si>
  <si>
    <t>Based on</t>
  </si>
  <si>
    <t>Post-Money Valuation of</t>
  </si>
  <si>
    <t>per share price.</t>
  </si>
  <si>
    <t>Subtotal Investors</t>
  </si>
  <si>
    <t>Subtotal Managers</t>
  </si>
  <si>
    <t>(User Inputs Blue Text &amp; Numbers)</t>
  </si>
  <si>
    <t>Capitalization Of Company Since Inception</t>
  </si>
  <si>
    <t>Inputs For Capitalization Table</t>
  </si>
  <si>
    <t xml:space="preserve">Subtotal Of All Preferred </t>
  </si>
  <si>
    <t>Pro Forma Capitalization Table</t>
  </si>
  <si>
    <t>Coverage Partner</t>
  </si>
  <si>
    <t>Post-Money</t>
  </si>
  <si>
    <t>Preference Multiple</t>
  </si>
  <si>
    <t>Cap</t>
  </si>
  <si>
    <t>Footnotes</t>
  </si>
  <si>
    <t>*</t>
  </si>
  <si>
    <t>**</t>
  </si>
  <si>
    <t>***</t>
  </si>
  <si>
    <t>****</t>
  </si>
  <si>
    <t>Seniority Rank</t>
  </si>
  <si>
    <t>Warrants Issued</t>
  </si>
  <si>
    <t>Participating Preferred</t>
  </si>
  <si>
    <t>Warrants By Series</t>
  </si>
  <si>
    <t>in %</t>
  </si>
  <si>
    <t>Round CSE</t>
  </si>
  <si>
    <t>Conv. Ratio</t>
  </si>
  <si>
    <t>Conversion Ratio</t>
  </si>
  <si>
    <t>Investor (Partner)</t>
  </si>
  <si>
    <t xml:space="preserve">Total </t>
  </si>
  <si>
    <t>Liq. Pref. Multiple</t>
  </si>
  <si>
    <t>Seniority (1 = highest)</t>
  </si>
  <si>
    <r>
      <t xml:space="preserve">&lt;------------------------------------------------------------------------------------------------------------------- </t>
    </r>
    <r>
      <rPr>
        <b/>
        <sz val="9"/>
        <rFont val="Arial"/>
        <family val="2"/>
      </rPr>
      <t># of Shares</t>
    </r>
    <r>
      <rPr>
        <sz val="10"/>
        <rFont val="Arial"/>
        <family val="2"/>
      </rPr>
      <t xml:space="preserve"> -------------------------------------------------------------------------------------------------------------------&gt;</t>
    </r>
  </si>
  <si>
    <r>
      <t xml:space="preserve">&lt;--------------------------------------------------------------------------------------------------------------- </t>
    </r>
    <r>
      <rPr>
        <b/>
        <sz val="9"/>
        <rFont val="Arial"/>
        <family val="2"/>
      </rPr>
      <t>Amount Invested</t>
    </r>
    <r>
      <rPr>
        <sz val="10"/>
        <rFont val="Arial"/>
        <family val="2"/>
      </rPr>
      <t xml:space="preserve"> ---------------------------------------------------------------------------------------------------------------&gt;</t>
    </r>
  </si>
  <si>
    <t>Current Investors - # of Shares Per Round</t>
  </si>
  <si>
    <t>Total Liquidation Preference</t>
  </si>
  <si>
    <t>Total Ful. Dil</t>
  </si>
  <si>
    <t xml:space="preserve">Ful. Dil. as Conv. </t>
  </si>
  <si>
    <t>Total #</t>
  </si>
  <si>
    <t>ful. dil. post-money valuation of</t>
  </si>
  <si>
    <t>Company Name</t>
  </si>
  <si>
    <t>Cap table - HTGC V1.0 Feb 2010</t>
  </si>
  <si>
    <t>Footnotes (must be manually asterisked in row D10:D19 and D31:D38)</t>
  </si>
  <si>
    <t>Strike Price</t>
  </si>
  <si>
    <t>Inv B</t>
  </si>
  <si>
    <t>Inv C</t>
  </si>
  <si>
    <t>Liquidation Preference Payout</t>
  </si>
  <si>
    <t>Equity Value</t>
  </si>
  <si>
    <t xml:space="preserve">   Seniority 1</t>
  </si>
  <si>
    <t xml:space="preserve">   Seniority 1 - warrants</t>
  </si>
  <si>
    <t>Strike price</t>
  </si>
  <si>
    <t>Pref Liq pref</t>
  </si>
  <si>
    <t>War Liq pref</t>
  </si>
  <si>
    <t xml:space="preserve">   Seniority 2</t>
  </si>
  <si>
    <t xml:space="preserve">   Seniority 2 - warrants</t>
  </si>
  <si>
    <t xml:space="preserve">   Seniority 3</t>
  </si>
  <si>
    <t xml:space="preserve">   Seniority 3 - warrants</t>
  </si>
  <si>
    <t xml:space="preserve">   Seniority 4</t>
  </si>
  <si>
    <t xml:space="preserve">   Seniority 4 - warrants</t>
  </si>
  <si>
    <t xml:space="preserve">   Seniority 5</t>
  </si>
  <si>
    <t xml:space="preserve">   Seniority 5 - warrants</t>
  </si>
  <si>
    <t xml:space="preserve">   Seniority 6</t>
  </si>
  <si>
    <t xml:space="preserve">   Seniority 6 - warrants</t>
  </si>
  <si>
    <t xml:space="preserve">   Seniority 7</t>
  </si>
  <si>
    <t xml:space="preserve">   Seniority 7 - warrants</t>
  </si>
  <si>
    <t xml:space="preserve">   Seniority 8</t>
  </si>
  <si>
    <t xml:space="preserve">   Seniority 8 - warrants</t>
  </si>
  <si>
    <t xml:space="preserve">   Seniority 9</t>
  </si>
  <si>
    <t xml:space="preserve">   Seniority 9 - warrants</t>
  </si>
  <si>
    <t xml:space="preserve">   Seniority 10</t>
  </si>
  <si>
    <t xml:space="preserve">   Seniority 10 - warrants</t>
  </si>
  <si>
    <t>Remaining proceed for part. shareholder</t>
  </si>
  <si>
    <t>Equity</t>
  </si>
  <si>
    <t>Capped</t>
  </si>
  <si>
    <t>Original ownership as converted</t>
  </si>
  <si>
    <t>Adjusted ownership as converted</t>
  </si>
  <si>
    <t>Adj. Remain. proceed for part. shareholder</t>
  </si>
  <si>
    <t>Series A</t>
  </si>
  <si>
    <t>Series B</t>
  </si>
  <si>
    <t>Series C</t>
  </si>
  <si>
    <t>Options holders</t>
  </si>
  <si>
    <t>Gross Return Analysis</t>
  </si>
  <si>
    <t>Gross Return Multiple Analysis</t>
  </si>
  <si>
    <t>Gross Return</t>
  </si>
  <si>
    <t>Gross Return Multiple</t>
  </si>
  <si>
    <t>Expected Exit Time</t>
  </si>
  <si>
    <t>Incremental (in days)</t>
  </si>
  <si>
    <t>Series D</t>
  </si>
  <si>
    <t>Inv D</t>
  </si>
  <si>
    <t>Inv E</t>
  </si>
  <si>
    <t>Inv F</t>
  </si>
  <si>
    <t>Inv G</t>
  </si>
  <si>
    <t>Inv H</t>
  </si>
  <si>
    <t>M&amp;A Analysis</t>
  </si>
  <si>
    <t>IPO Analysis</t>
  </si>
  <si>
    <t>Amount IPO Raised</t>
  </si>
  <si>
    <t>Pre IPO ownership</t>
  </si>
  <si>
    <t>Post IPO ownership</t>
  </si>
  <si>
    <t>Price per share</t>
  </si>
  <si>
    <t>Number of shares raised at IPO</t>
  </si>
  <si>
    <t>Total number of shares</t>
  </si>
  <si>
    <t>Expected Exit Value:</t>
  </si>
  <si>
    <t>IPO Proceed</t>
  </si>
  <si>
    <t>Common Shares Eqv Ownership</t>
  </si>
  <si>
    <r>
      <t xml:space="preserve">&lt;------------------------------------------------------------------------------------------------------------------- </t>
    </r>
    <r>
      <rPr>
        <b/>
        <sz val="11"/>
        <rFont val="Garamond"/>
        <family val="1"/>
      </rPr>
      <t># of Shares</t>
    </r>
    <r>
      <rPr>
        <sz val="11"/>
        <rFont val="Garamond"/>
        <family val="1"/>
      </rPr>
      <t xml:space="preserve"> -------------------------------------------------------------------------------------------------------------------&gt;</t>
    </r>
  </si>
  <si>
    <r>
      <t xml:space="preserve">&lt;--------------------------------------------------------------------------------------------------------------- </t>
    </r>
    <r>
      <rPr>
        <b/>
        <sz val="11"/>
        <rFont val="Garamond"/>
        <family val="1"/>
      </rPr>
      <t>Amount Invested</t>
    </r>
    <r>
      <rPr>
        <sz val="11"/>
        <rFont val="Garamond"/>
        <family val="1"/>
      </rPr>
      <t xml:space="preserve"> ---------------------------------------------------------------------------------------------------------------&gt;</t>
    </r>
  </si>
  <si>
    <t>Common Shares Eqv Ownership (%)</t>
  </si>
  <si>
    <t>Post IPO Money Valuation</t>
  </si>
  <si>
    <t>Pre IPO Money Valuation</t>
  </si>
  <si>
    <t>Total:</t>
  </si>
  <si>
    <t>Post IPO Common Shares Eqv Ownership (%)</t>
  </si>
  <si>
    <t>IPO</t>
  </si>
  <si>
    <t>-</t>
  </si>
  <si>
    <t xml:space="preserve">Options (Vested + Authorized) </t>
  </si>
  <si>
    <t>Enterprise Value</t>
  </si>
  <si>
    <t>Adjustment 1</t>
  </si>
  <si>
    <t>Adjustment 2</t>
  </si>
  <si>
    <t>HTGC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</si>
</sst>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_-* #,##0.00_-;\-* #,##0.00_-;_-* &quot;-&quot;??_-;_-@_-"/>
    <numFmt numFmtId="166" formatCode="_-&quot;$&quot;* #,##0_-;\-&quot;$&quot;* #,##0_-;_-&quot;$&quot;* &quot;-&quot;??_-;_-@_-"/>
    <numFmt numFmtId="167" formatCode="_-&quot;$&quot;* #,##0.00_-;\-&quot;$&quot;* #,##0.00_-;_-&quot;$&quot;* &quot;-&quot;??_-;_-@_-"/>
    <numFmt numFmtId="168" formatCode="m/d/yyyy;@"/>
    <numFmt numFmtId="169" formatCode="&quot;$&quot;#,##0"/>
    <numFmt numFmtId="170" formatCode="&quot;$&quot;#,##0.000"/>
    <numFmt numFmtId="171" formatCode="#&quot;X&quot;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.0&quot;X&quot;"/>
    <numFmt numFmtId="176" formatCode="#\:&quot;1&quot;"/>
    <numFmt numFmtId="177" formatCode="&quot;As of&quot;\ m/d/yyyy"/>
    <numFmt numFmtId="178" formatCode="0.0&quot;X&quot;"/>
    <numFmt numFmtId="179" formatCode="#.00\:&quot;1&quot;"/>
    <numFmt numFmtId="180" formatCode="#.00\:&quot;1.00&quot;"/>
    <numFmt numFmtId="181" formatCode="_(&quot;$&quot;* #,##0.0_);_(&quot;$&quot;* \(#,##0.0\);_(&quot;$&quot;* &quot;-&quot;?_);_(@_)"/>
    <numFmt numFmtId="182" formatCode="_(&quot;$&quot;* #,##0_);_(&quot;$&quot;* \(#,##0\);_(&quot;$&quot;* &quot;-&quot;?_);_(@_)"/>
    <numFmt numFmtId="183" formatCode="0.00\x"/>
    <numFmt numFmtId="184" formatCode="[$-409]mmm\-yy;@"/>
  </numFmts>
  <fonts count="4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i/>
      <sz val="14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0"/>
      <color indexed="81"/>
      <name val="Tahoma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b/>
      <i/>
      <sz val="12"/>
      <color indexed="12"/>
      <name val="Arial"/>
      <family val="2"/>
    </font>
    <font>
      <sz val="10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2"/>
      <color rgb="FF0070C0"/>
      <name val="Arial"/>
      <family val="2"/>
    </font>
    <font>
      <sz val="10"/>
      <color theme="0" tint="-4.9989318521683403E-2"/>
      <name val="Arial"/>
      <family val="2"/>
    </font>
    <font>
      <sz val="10"/>
      <color rgb="FF0070C0"/>
      <name val="Arial"/>
      <family val="2"/>
    </font>
    <font>
      <b/>
      <i/>
      <sz val="12"/>
      <color rgb="FF0070C0"/>
      <name val="Arial"/>
      <family val="2"/>
    </font>
    <font>
      <b/>
      <sz val="11"/>
      <color rgb="FFFA7D00"/>
      <name val="Calibri"/>
      <family val="2"/>
      <scheme val="minor"/>
    </font>
    <font>
      <sz val="8"/>
      <color theme="0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sz val="12"/>
      <color indexed="12"/>
      <name val="Garamond"/>
      <family val="1"/>
    </font>
    <font>
      <b/>
      <sz val="12"/>
      <name val="Garamond"/>
      <family val="1"/>
    </font>
    <font>
      <b/>
      <u/>
      <sz val="11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b/>
      <i/>
      <sz val="11"/>
      <name val="Garamond"/>
      <family val="1"/>
    </font>
    <font>
      <sz val="11"/>
      <color indexed="12"/>
      <name val="Garamond"/>
      <family val="1"/>
    </font>
    <font>
      <sz val="11"/>
      <color theme="0"/>
      <name val="Garamond"/>
      <family val="1"/>
    </font>
    <font>
      <sz val="11"/>
      <color rgb="FF0000FF"/>
      <name val="Garamond"/>
      <family val="1"/>
    </font>
    <font>
      <u/>
      <sz val="11"/>
      <name val="Garamond"/>
      <family val="1"/>
    </font>
    <font>
      <b/>
      <i/>
      <u/>
      <sz val="20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lightUp">
        <fgColor rgb="FFFFFF00"/>
      </patternFill>
    </fill>
    <fill>
      <patternFill patternType="lightUp">
        <fgColor rgb="FFFFFF00"/>
        <bgColor auto="1"/>
      </patternFill>
    </fill>
    <fill>
      <patternFill patternType="lightUp">
        <fgColor rgb="FFFFFF00"/>
        <bgColor theme="0"/>
      </patternFill>
    </fill>
    <fill>
      <patternFill patternType="solid">
        <fgColor rgb="FFFFFF99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3" fillId="5" borderId="72" applyNumberFormat="0" applyAlignment="0" applyProtection="0"/>
  </cellStyleXfs>
  <cellXfs count="991">
    <xf numFmtId="0" fontId="0" fillId="0" borderId="0" xfId="0"/>
    <xf numFmtId="164" fontId="10" fillId="0" borderId="2" xfId="1" applyNumberFormat="1" applyFont="1" applyBorder="1" applyAlignment="1">
      <alignment horizontal="left"/>
    </xf>
    <xf numFmtId="164" fontId="11" fillId="0" borderId="2" xfId="1" applyNumberFormat="1" applyFont="1" applyBorder="1" applyAlignment="1" applyProtection="1">
      <alignment horizontal="left"/>
      <protection locked="0"/>
    </xf>
    <xf numFmtId="164" fontId="11" fillId="0" borderId="0" xfId="1" applyNumberFormat="1" applyFont="1" applyBorder="1" applyAlignment="1" applyProtection="1">
      <alignment horizontal="right"/>
      <protection locked="0"/>
    </xf>
    <xf numFmtId="164" fontId="9" fillId="0" borderId="3" xfId="1" applyNumberFormat="1" applyFont="1" applyBorder="1" applyAlignment="1">
      <alignment horizontal="right"/>
    </xf>
    <xf numFmtId="164" fontId="9" fillId="0" borderId="4" xfId="1" applyNumberFormat="1" applyFont="1" applyBorder="1" applyAlignment="1">
      <alignment horizontal="left"/>
    </xf>
    <xf numFmtId="164" fontId="9" fillId="0" borderId="1" xfId="1" applyNumberFormat="1" applyFont="1" applyBorder="1" applyAlignment="1">
      <alignment horizontal="right"/>
    </xf>
    <xf numFmtId="164" fontId="10" fillId="0" borderId="0" xfId="1" applyNumberFormat="1" applyFont="1" applyBorder="1" applyAlignment="1">
      <alignment horizontal="right"/>
    </xf>
    <xf numFmtId="164" fontId="10" fillId="0" borderId="8" xfId="1" applyNumberFormat="1" applyFont="1" applyBorder="1" applyAlignment="1">
      <alignment horizontal="right"/>
    </xf>
    <xf numFmtId="169" fontId="9" fillId="0" borderId="9" xfId="2" applyNumberFormat="1" applyFont="1" applyBorder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2" fillId="0" borderId="15" xfId="0" applyFont="1" applyBorder="1" applyAlignment="1">
      <alignment horizontal="center"/>
    </xf>
    <xf numFmtId="0" fontId="14" fillId="0" borderId="15" xfId="0" applyFont="1" applyBorder="1"/>
    <xf numFmtId="164" fontId="6" fillId="0" borderId="3" xfId="1" applyNumberFormat="1" applyFont="1" applyBorder="1" applyAlignment="1">
      <alignment horizontal="right"/>
    </xf>
    <xf numFmtId="0" fontId="14" fillId="0" borderId="9" xfId="0" applyFont="1" applyBorder="1" applyAlignment="1">
      <alignment horizontal="center"/>
    </xf>
    <xf numFmtId="169" fontId="9" fillId="0" borderId="1" xfId="1" applyNumberFormat="1" applyFont="1" applyBorder="1" applyAlignment="1">
      <alignment horizontal="right"/>
    </xf>
    <xf numFmtId="169" fontId="9" fillId="0" borderId="3" xfId="2" applyNumberFormat="1" applyFont="1" applyBorder="1" applyAlignment="1">
      <alignment horizontal="right"/>
    </xf>
    <xf numFmtId="0" fontId="14" fillId="0" borderId="9" xfId="0" applyFont="1" applyBorder="1"/>
    <xf numFmtId="164" fontId="9" fillId="0" borderId="10" xfId="1" applyNumberFormat="1" applyFont="1" applyFill="1" applyBorder="1" applyAlignment="1">
      <alignment horizontal="left"/>
    </xf>
    <xf numFmtId="164" fontId="9" fillId="0" borderId="15" xfId="1" applyNumberFormat="1" applyFont="1" applyFill="1" applyBorder="1" applyAlignment="1">
      <alignment horizontal="right"/>
    </xf>
    <xf numFmtId="10" fontId="9" fillId="0" borderId="15" xfId="3" applyNumberFormat="1" applyFont="1" applyFill="1" applyBorder="1" applyAlignment="1">
      <alignment horizontal="center"/>
    </xf>
    <xf numFmtId="169" fontId="9" fillId="0" borderId="15" xfId="2" applyNumberFormat="1" applyFont="1" applyFill="1" applyBorder="1" applyAlignment="1">
      <alignment horizontal="right"/>
    </xf>
    <xf numFmtId="164" fontId="9" fillId="0" borderId="4" xfId="1" applyNumberFormat="1" applyFont="1" applyBorder="1" applyAlignment="1"/>
    <xf numFmtId="164" fontId="10" fillId="0" borderId="2" xfId="1" applyNumberFormat="1" applyFont="1" applyBorder="1" applyAlignment="1" applyProtection="1">
      <alignment horizontal="left"/>
      <protection locked="0"/>
    </xf>
    <xf numFmtId="0" fontId="18" fillId="0" borderId="10" xfId="0" applyFont="1" applyBorder="1"/>
    <xf numFmtId="0" fontId="17" fillId="2" borderId="0" xfId="0" applyFont="1" applyFill="1" applyAlignment="1">
      <alignment horizontal="center"/>
    </xf>
    <xf numFmtId="0" fontId="0" fillId="2" borderId="0" xfId="0" applyFill="1"/>
    <xf numFmtId="0" fontId="17" fillId="2" borderId="0" xfId="0" applyFont="1" applyFill="1"/>
    <xf numFmtId="0" fontId="14" fillId="2" borderId="0" xfId="0" applyFont="1" applyFill="1" applyAlignment="1">
      <alignment horizontal="center" wrapText="1"/>
    </xf>
    <xf numFmtId="164" fontId="2" fillId="2" borderId="0" xfId="1" applyNumberFormat="1" applyFont="1" applyFill="1"/>
    <xf numFmtId="164" fontId="3" fillId="2" borderId="0" xfId="1" applyNumberFormat="1" applyFont="1" applyFill="1"/>
    <xf numFmtId="164" fontId="25" fillId="2" borderId="0" xfId="1" applyNumberFormat="1" applyFont="1" applyFill="1" applyAlignment="1" applyProtection="1">
      <alignment horizontal="right"/>
      <protection locked="0"/>
    </xf>
    <xf numFmtId="168" fontId="25" fillId="2" borderId="0" xfId="1" applyNumberFormat="1" applyFont="1" applyFill="1" applyAlignment="1"/>
    <xf numFmtId="10" fontId="3" fillId="2" borderId="0" xfId="3" applyNumberFormat="1" applyFont="1" applyFill="1" applyAlignment="1">
      <alignment horizontal="center"/>
    </xf>
    <xf numFmtId="166" fontId="1" fillId="2" borderId="0" xfId="2" applyNumberFormat="1" applyFill="1"/>
    <xf numFmtId="164" fontId="4" fillId="2" borderId="0" xfId="1" applyNumberFormat="1" applyFont="1" applyFill="1"/>
    <xf numFmtId="164" fontId="1" fillId="2" borderId="0" xfId="1" applyNumberFormat="1" applyFill="1"/>
    <xf numFmtId="164" fontId="6" fillId="2" borderId="0" xfId="1" applyNumberFormat="1" applyFont="1" applyFill="1" applyAlignment="1">
      <alignment horizontal="left"/>
    </xf>
    <xf numFmtId="164" fontId="6" fillId="2" borderId="0" xfId="1" applyNumberFormat="1" applyFont="1" applyFill="1"/>
    <xf numFmtId="10" fontId="4" fillId="2" borderId="0" xfId="3" applyNumberFormat="1" applyFont="1" applyFill="1" applyAlignment="1">
      <alignment horizontal="center"/>
    </xf>
    <xf numFmtId="164" fontId="7" fillId="2" borderId="0" xfId="1" applyNumberFormat="1" applyFont="1" applyFill="1"/>
    <xf numFmtId="10" fontId="7" fillId="2" borderId="0" xfId="3" applyNumberFormat="1" applyFont="1" applyFill="1" applyAlignment="1">
      <alignment horizontal="center"/>
    </xf>
    <xf numFmtId="164" fontId="11" fillId="2" borderId="0" xfId="1" applyNumberFormat="1" applyFont="1" applyFill="1" applyBorder="1" applyAlignment="1" applyProtection="1">
      <alignment horizontal="right"/>
      <protection locked="0"/>
    </xf>
    <xf numFmtId="164" fontId="11" fillId="2" borderId="0" xfId="1" applyNumberFormat="1" applyFont="1" applyFill="1" applyBorder="1" applyAlignment="1" applyProtection="1">
      <alignment horizontal="left"/>
      <protection locked="0"/>
    </xf>
    <xf numFmtId="0" fontId="26" fillId="2" borderId="0" xfId="0" applyFont="1" applyFill="1"/>
    <xf numFmtId="0" fontId="14" fillId="0" borderId="10" xfId="0" applyFont="1" applyBorder="1"/>
    <xf numFmtId="3" fontId="14" fillId="0" borderId="10" xfId="0" applyNumberFormat="1" applyFont="1" applyBorder="1"/>
    <xf numFmtId="0" fontId="0" fillId="2" borderId="8" xfId="0" applyFill="1" applyBorder="1"/>
    <xf numFmtId="3" fontId="14" fillId="0" borderId="15" xfId="0" applyNumberFormat="1" applyFont="1" applyBorder="1"/>
    <xf numFmtId="3" fontId="14" fillId="0" borderId="11" xfId="0" applyNumberFormat="1" applyFont="1" applyBorder="1"/>
    <xf numFmtId="0" fontId="14" fillId="0" borderId="15" xfId="0" applyFont="1" applyBorder="1" applyAlignment="1">
      <alignment horizontal="center" wrapText="1"/>
    </xf>
    <xf numFmtId="0" fontId="0" fillId="2" borderId="0" xfId="0" applyFill="1" applyAlignment="1">
      <alignment wrapText="1"/>
    </xf>
    <xf numFmtId="0" fontId="10" fillId="2" borderId="16" xfId="0" applyFont="1" applyFill="1" applyBorder="1"/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left"/>
    </xf>
    <xf numFmtId="0" fontId="10" fillId="2" borderId="20" xfId="0" applyFont="1" applyFill="1" applyBorder="1" applyAlignment="1">
      <alignment horizontal="left"/>
    </xf>
    <xf numFmtId="0" fontId="10" fillId="2" borderId="21" xfId="0" applyFont="1" applyFill="1" applyBorder="1" applyAlignment="1">
      <alignment horizontal="left"/>
    </xf>
    <xf numFmtId="0" fontId="10" fillId="2" borderId="22" xfId="0" applyFont="1" applyFill="1" applyBorder="1" applyAlignment="1">
      <alignment horizontal="left"/>
    </xf>
    <xf numFmtId="0" fontId="10" fillId="2" borderId="23" xfId="0" applyFont="1" applyFill="1" applyBorder="1" applyAlignment="1">
      <alignment horizontal="left"/>
    </xf>
    <xf numFmtId="0" fontId="10" fillId="2" borderId="24" xfId="0" applyFont="1" applyFill="1" applyBorder="1" applyAlignment="1">
      <alignment horizontal="left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1" fillId="4" borderId="5" xfId="0" applyFont="1" applyFill="1" applyBorder="1" applyAlignment="1">
      <alignment vertical="center"/>
    </xf>
    <xf numFmtId="0" fontId="22" fillId="4" borderId="5" xfId="0" applyFont="1" applyFill="1" applyBorder="1" applyAlignment="1">
      <alignment vertical="center" wrapText="1"/>
    </xf>
    <xf numFmtId="0" fontId="0" fillId="4" borderId="1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21" fillId="4" borderId="6" xfId="0" applyFont="1" applyFill="1" applyBorder="1" applyAlignment="1">
      <alignment vertical="center"/>
    </xf>
    <xf numFmtId="14" fontId="22" fillId="4" borderId="6" xfId="0" applyNumberFormat="1" applyFont="1" applyFill="1" applyBorder="1" applyAlignment="1">
      <alignment vertical="center"/>
    </xf>
    <xf numFmtId="0" fontId="18" fillId="3" borderId="10" xfId="0" applyFont="1" applyFill="1" applyBorder="1"/>
    <xf numFmtId="0" fontId="0" fillId="3" borderId="11" xfId="0" applyFill="1" applyBorder="1"/>
    <xf numFmtId="169" fontId="14" fillId="3" borderId="11" xfId="0" applyNumberFormat="1" applyFont="1" applyFill="1" applyBorder="1" applyAlignment="1">
      <alignment horizontal="center"/>
    </xf>
    <xf numFmtId="3" fontId="14" fillId="3" borderId="11" xfId="0" applyNumberFormat="1" applyFont="1" applyFill="1" applyBorder="1" applyAlignment="1">
      <alignment horizontal="center"/>
    </xf>
    <xf numFmtId="0" fontId="15" fillId="3" borderId="10" xfId="0" applyFont="1" applyFill="1" applyBorder="1" applyAlignment="1">
      <alignment vertical="center"/>
    </xf>
    <xf numFmtId="0" fontId="15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0" fillId="3" borderId="12" xfId="0" applyFill="1" applyBorder="1"/>
    <xf numFmtId="0" fontId="0" fillId="4" borderId="14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3" fontId="14" fillId="0" borderId="31" xfId="3" applyNumberFormat="1" applyFont="1" applyBorder="1" applyAlignment="1">
      <alignment horizontal="center"/>
    </xf>
    <xf numFmtId="3" fontId="14" fillId="0" borderId="34" xfId="3" applyNumberFormat="1" applyFont="1" applyBorder="1" applyAlignment="1">
      <alignment horizontal="center"/>
    </xf>
    <xf numFmtId="0" fontId="14" fillId="0" borderId="45" xfId="0" applyFont="1" applyBorder="1"/>
    <xf numFmtId="170" fontId="13" fillId="0" borderId="45" xfId="0" applyNumberFormat="1" applyFont="1" applyBorder="1" applyAlignment="1">
      <alignment horizontal="center"/>
    </xf>
    <xf numFmtId="169" fontId="14" fillId="0" borderId="45" xfId="0" applyNumberFormat="1" applyFont="1" applyBorder="1" applyAlignment="1">
      <alignment horizontal="center"/>
    </xf>
    <xf numFmtId="3" fontId="14" fillId="0" borderId="45" xfId="0" applyNumberFormat="1" applyFont="1" applyBorder="1" applyAlignment="1">
      <alignment horizontal="center"/>
    </xf>
    <xf numFmtId="0" fontId="14" fillId="0" borderId="47" xfId="0" applyFont="1" applyBorder="1"/>
    <xf numFmtId="3" fontId="14" fillId="0" borderId="49" xfId="0" applyNumberFormat="1" applyFont="1" applyBorder="1"/>
    <xf numFmtId="3" fontId="14" fillId="0" borderId="50" xfId="0" applyNumberFormat="1" applyFont="1" applyBorder="1"/>
    <xf numFmtId="0" fontId="14" fillId="0" borderId="51" xfId="0" applyFont="1" applyBorder="1"/>
    <xf numFmtId="0" fontId="17" fillId="0" borderId="0" xfId="0" applyFont="1" applyAlignment="1">
      <alignment horizontal="center"/>
    </xf>
    <xf numFmtId="0" fontId="21" fillId="0" borderId="0" xfId="0" applyFont="1"/>
    <xf numFmtId="0" fontId="18" fillId="0" borderId="0" xfId="0" applyFont="1"/>
    <xf numFmtId="168" fontId="13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0" fontId="12" fillId="0" borderId="0" xfId="0" applyFont="1" applyAlignment="1">
      <alignment horizontal="center"/>
    </xf>
    <xf numFmtId="170" fontId="13" fillId="0" borderId="0" xfId="0" applyNumberFormat="1" applyFont="1" applyAlignment="1">
      <alignment horizontal="center"/>
    </xf>
    <xf numFmtId="10" fontId="13" fillId="0" borderId="0" xfId="3" applyNumberFormat="1" applyFont="1" applyFill="1" applyBorder="1" applyAlignment="1">
      <alignment horizontal="center"/>
    </xf>
    <xf numFmtId="0" fontId="0" fillId="0" borderId="2" xfId="0" applyBorder="1"/>
    <xf numFmtId="0" fontId="26" fillId="0" borderId="0" xfId="0" applyFont="1"/>
    <xf numFmtId="0" fontId="14" fillId="0" borderId="0" xfId="0" applyFont="1" applyAlignment="1">
      <alignment horizontal="center"/>
    </xf>
    <xf numFmtId="3" fontId="14" fillId="0" borderId="0" xfId="0" applyNumberFormat="1" applyFont="1" applyAlignment="1">
      <alignment horizontal="center"/>
    </xf>
    <xf numFmtId="164" fontId="8" fillId="3" borderId="1" xfId="1" applyNumberFormat="1" applyFont="1" applyFill="1" applyBorder="1" applyAlignment="1">
      <alignment horizontal="center"/>
    </xf>
    <xf numFmtId="170" fontId="6" fillId="3" borderId="8" xfId="2" applyNumberFormat="1" applyFont="1" applyFill="1" applyBorder="1" applyAlignment="1" applyProtection="1">
      <alignment horizontal="center"/>
      <protection locked="0"/>
    </xf>
    <xf numFmtId="170" fontId="6" fillId="3" borderId="3" xfId="2" applyNumberFormat="1" applyFont="1" applyFill="1" applyBorder="1" applyAlignment="1" applyProtection="1">
      <alignment horizontal="center"/>
      <protection locked="0"/>
    </xf>
    <xf numFmtId="164" fontId="6" fillId="3" borderId="9" xfId="1" applyNumberFormat="1" applyFont="1" applyFill="1" applyBorder="1" applyAlignment="1">
      <alignment horizontal="center"/>
    </xf>
    <xf numFmtId="164" fontId="6" fillId="3" borderId="14" xfId="1" applyNumberFormat="1" applyFont="1" applyFill="1" applyBorder="1" applyAlignment="1">
      <alignment horizontal="center"/>
    </xf>
    <xf numFmtId="170" fontId="6" fillId="3" borderId="9" xfId="2" applyNumberFormat="1" applyFont="1" applyFill="1" applyBorder="1" applyAlignment="1" applyProtection="1">
      <alignment horizontal="center"/>
      <protection locked="0"/>
    </xf>
    <xf numFmtId="17" fontId="6" fillId="3" borderId="15" xfId="1" applyNumberFormat="1" applyFont="1" applyFill="1" applyBorder="1" applyAlignment="1" applyProtection="1">
      <alignment horizontal="center"/>
      <protection locked="0"/>
    </xf>
    <xf numFmtId="164" fontId="12" fillId="4" borderId="4" xfId="0" applyNumberFormat="1" applyFont="1" applyFill="1" applyBorder="1" applyAlignment="1">
      <alignment horizontal="right"/>
    </xf>
    <xf numFmtId="166" fontId="12" fillId="4" borderId="5" xfId="2" applyNumberFormat="1" applyFont="1" applyFill="1" applyBorder="1" applyAlignment="1" applyProtection="1">
      <protection locked="0"/>
    </xf>
    <xf numFmtId="0" fontId="12" fillId="4" borderId="13" xfId="0" applyFont="1" applyFill="1" applyBorder="1" applyAlignment="1">
      <alignment horizontal="right"/>
    </xf>
    <xf numFmtId="0" fontId="12" fillId="4" borderId="6" xfId="0" applyFont="1" applyFill="1" applyBorder="1" applyAlignment="1">
      <alignment horizontal="left"/>
    </xf>
    <xf numFmtId="170" fontId="6" fillId="4" borderId="14" xfId="0" applyNumberFormat="1" applyFont="1" applyFill="1" applyBorder="1" applyAlignment="1">
      <alignment horizontal="center"/>
    </xf>
    <xf numFmtId="164" fontId="9" fillId="0" borderId="39" xfId="1" applyNumberFormat="1" applyFont="1" applyBorder="1" applyAlignment="1">
      <alignment horizontal="right"/>
    </xf>
    <xf numFmtId="164" fontId="9" fillId="0" borderId="40" xfId="1" applyNumberFormat="1" applyFont="1" applyBorder="1" applyAlignment="1">
      <alignment horizontal="right"/>
    </xf>
    <xf numFmtId="164" fontId="9" fillId="0" borderId="41" xfId="1" applyNumberFormat="1" applyFont="1" applyBorder="1" applyAlignment="1">
      <alignment horizontal="right"/>
    </xf>
    <xf numFmtId="164" fontId="9" fillId="0" borderId="44" xfId="1" applyNumberFormat="1" applyFont="1" applyFill="1" applyBorder="1" applyAlignment="1">
      <alignment horizontal="right"/>
    </xf>
    <xf numFmtId="164" fontId="9" fillId="0" borderId="45" xfId="1" applyNumberFormat="1" applyFont="1" applyFill="1" applyBorder="1" applyAlignment="1">
      <alignment horizontal="right"/>
    </xf>
    <xf numFmtId="164" fontId="9" fillId="0" borderId="46" xfId="1" applyNumberFormat="1" applyFont="1" applyFill="1" applyBorder="1" applyAlignment="1">
      <alignment horizontal="right"/>
    </xf>
    <xf numFmtId="169" fontId="9" fillId="0" borderId="44" xfId="1" applyNumberFormat="1" applyFont="1" applyFill="1" applyBorder="1" applyAlignment="1">
      <alignment horizontal="right"/>
    </xf>
    <xf numFmtId="169" fontId="9" fillId="0" borderId="45" xfId="2" applyNumberFormat="1" applyFont="1" applyFill="1" applyBorder="1" applyAlignment="1">
      <alignment horizontal="right"/>
    </xf>
    <xf numFmtId="169" fontId="9" fillId="0" borderId="46" xfId="2" applyNumberFormat="1" applyFont="1" applyFill="1" applyBorder="1" applyAlignment="1">
      <alignment horizontal="right"/>
    </xf>
    <xf numFmtId="169" fontId="9" fillId="0" borderId="45" xfId="1" applyNumberFormat="1" applyFont="1" applyFill="1" applyBorder="1" applyAlignment="1">
      <alignment horizontal="right"/>
    </xf>
    <xf numFmtId="164" fontId="6" fillId="3" borderId="10" xfId="1" applyNumberFormat="1" applyFont="1" applyFill="1" applyBorder="1" applyAlignment="1">
      <alignment horizontal="center"/>
    </xf>
    <xf numFmtId="164" fontId="6" fillId="3" borderId="11" xfId="1" applyNumberFormat="1" applyFont="1" applyFill="1" applyBorder="1" applyAlignment="1">
      <alignment horizontal="center"/>
    </xf>
    <xf numFmtId="164" fontId="6" fillId="3" borderId="12" xfId="1" applyNumberFormat="1" applyFont="1" applyFill="1" applyBorder="1" applyAlignment="1">
      <alignment horizontal="center"/>
    </xf>
    <xf numFmtId="169" fontId="9" fillId="0" borderId="46" xfId="1" applyNumberFormat="1" applyFont="1" applyFill="1" applyBorder="1" applyAlignment="1">
      <alignment horizontal="right"/>
    </xf>
    <xf numFmtId="164" fontId="10" fillId="0" borderId="30" xfId="1" applyNumberFormat="1" applyFont="1" applyBorder="1" applyAlignment="1" applyProtection="1">
      <alignment horizontal="right"/>
      <protection locked="0"/>
    </xf>
    <xf numFmtId="164" fontId="10" fillId="0" borderId="31" xfId="1" applyNumberFormat="1" applyFont="1" applyBorder="1" applyAlignment="1" applyProtection="1">
      <alignment horizontal="right"/>
      <protection locked="0"/>
    </xf>
    <xf numFmtId="164" fontId="10" fillId="0" borderId="32" xfId="1" applyNumberFormat="1" applyFont="1" applyBorder="1" applyAlignment="1" applyProtection="1">
      <alignment horizontal="right"/>
      <protection locked="0"/>
    </xf>
    <xf numFmtId="164" fontId="10" fillId="0" borderId="33" xfId="1" applyNumberFormat="1" applyFont="1" applyBorder="1" applyAlignment="1" applyProtection="1">
      <alignment horizontal="right"/>
      <protection locked="0"/>
    </xf>
    <xf numFmtId="164" fontId="10" fillId="0" borderId="34" xfId="1" applyNumberFormat="1" applyFont="1" applyBorder="1" applyAlignment="1" applyProtection="1">
      <alignment horizontal="right"/>
      <protection locked="0"/>
    </xf>
    <xf numFmtId="164" fontId="10" fillId="0" borderId="35" xfId="1" applyNumberFormat="1" applyFont="1" applyBorder="1" applyAlignment="1" applyProtection="1">
      <alignment horizontal="right"/>
      <protection locked="0"/>
    </xf>
    <xf numFmtId="164" fontId="9" fillId="0" borderId="49" xfId="1" applyNumberFormat="1" applyFont="1" applyBorder="1" applyAlignment="1">
      <alignment horizontal="right"/>
    </xf>
    <xf numFmtId="164" fontId="9" fillId="0" borderId="50" xfId="1" applyNumberFormat="1" applyFont="1" applyBorder="1" applyAlignment="1">
      <alignment horizontal="right"/>
    </xf>
    <xf numFmtId="164" fontId="11" fillId="0" borderId="57" xfId="1" applyNumberFormat="1" applyFont="1" applyBorder="1" applyAlignment="1" applyProtection="1">
      <alignment horizontal="right"/>
      <protection locked="0"/>
    </xf>
    <xf numFmtId="164" fontId="5" fillId="0" borderId="32" xfId="1" applyNumberFormat="1" applyFont="1" applyBorder="1" applyProtection="1">
      <protection locked="0"/>
    </xf>
    <xf numFmtId="164" fontId="11" fillId="0" borderId="58" xfId="1" applyNumberFormat="1" applyFont="1" applyBorder="1" applyAlignment="1" applyProtection="1">
      <alignment horizontal="right"/>
      <protection locked="0"/>
    </xf>
    <xf numFmtId="164" fontId="5" fillId="0" borderId="35" xfId="1" applyNumberFormat="1" applyFont="1" applyBorder="1" applyProtection="1">
      <protection locked="0"/>
    </xf>
    <xf numFmtId="164" fontId="9" fillId="0" borderId="48" xfId="1" applyNumberFormat="1" applyFont="1" applyBorder="1" applyAlignment="1">
      <alignment horizontal="right"/>
    </xf>
    <xf numFmtId="164" fontId="9" fillId="0" borderId="47" xfId="1" applyNumberFormat="1" applyFont="1" applyFill="1" applyBorder="1" applyAlignment="1">
      <alignment horizontal="right"/>
    </xf>
    <xf numFmtId="169" fontId="9" fillId="0" borderId="47" xfId="2" applyNumberFormat="1" applyFont="1" applyFill="1" applyBorder="1" applyAlignment="1">
      <alignment horizontal="right"/>
    </xf>
    <xf numFmtId="164" fontId="10" fillId="0" borderId="6" xfId="1" applyNumberFormat="1" applyFont="1" applyBorder="1" applyAlignment="1">
      <alignment horizontal="right"/>
    </xf>
    <xf numFmtId="164" fontId="10" fillId="0" borderId="14" xfId="1" applyNumberFormat="1" applyFont="1" applyBorder="1" applyAlignment="1">
      <alignment horizontal="right"/>
    </xf>
    <xf numFmtId="164" fontId="11" fillId="0" borderId="60" xfId="1" applyNumberFormat="1" applyFont="1" applyBorder="1" applyAlignment="1" applyProtection="1">
      <alignment horizontal="right"/>
      <protection locked="0"/>
    </xf>
    <xf numFmtId="164" fontId="5" fillId="0" borderId="61" xfId="1" applyNumberFormat="1" applyFont="1" applyBorder="1" applyProtection="1">
      <protection locked="0"/>
    </xf>
    <xf numFmtId="164" fontId="9" fillId="0" borderId="62" xfId="1" applyNumberFormat="1" applyFont="1" applyBorder="1" applyAlignment="1">
      <alignment horizontal="right"/>
    </xf>
    <xf numFmtId="164" fontId="10" fillId="0" borderId="63" xfId="1" applyNumberFormat="1" applyFont="1" applyBorder="1" applyAlignment="1" applyProtection="1">
      <alignment horizontal="right"/>
      <protection locked="0"/>
    </xf>
    <xf numFmtId="164" fontId="10" fillId="0" borderId="64" xfId="1" applyNumberFormat="1" applyFont="1" applyBorder="1" applyAlignment="1" applyProtection="1">
      <alignment horizontal="right"/>
      <protection locked="0"/>
    </xf>
    <xf numFmtId="164" fontId="10" fillId="0" borderId="61" xfId="1" applyNumberFormat="1" applyFont="1" applyBorder="1" applyAlignment="1" applyProtection="1">
      <alignment horizontal="right"/>
      <protection locked="0"/>
    </xf>
    <xf numFmtId="165" fontId="6" fillId="2" borderId="22" xfId="1" applyFont="1" applyFill="1" applyBorder="1" applyAlignment="1">
      <alignment horizontal="left"/>
    </xf>
    <xf numFmtId="164" fontId="11" fillId="0" borderId="65" xfId="1" applyNumberFormat="1" applyFont="1" applyBorder="1" applyAlignment="1" applyProtection="1">
      <alignment horizontal="right"/>
      <protection locked="0"/>
    </xf>
    <xf numFmtId="164" fontId="5" fillId="0" borderId="66" xfId="1" applyNumberFormat="1" applyFont="1" applyBorder="1" applyProtection="1">
      <protection locked="0"/>
    </xf>
    <xf numFmtId="164" fontId="9" fillId="0" borderId="59" xfId="1" applyNumberFormat="1" applyFont="1" applyBorder="1" applyAlignment="1">
      <alignment horizontal="right"/>
    </xf>
    <xf numFmtId="164" fontId="10" fillId="0" borderId="67" xfId="1" applyNumberFormat="1" applyFont="1" applyBorder="1" applyAlignment="1" applyProtection="1">
      <alignment horizontal="right"/>
      <protection locked="0"/>
    </xf>
    <xf numFmtId="164" fontId="10" fillId="0" borderId="68" xfId="1" applyNumberFormat="1" applyFont="1" applyBorder="1" applyAlignment="1" applyProtection="1">
      <alignment horizontal="right"/>
      <protection locked="0"/>
    </xf>
    <xf numFmtId="164" fontId="10" fillId="0" borderId="66" xfId="1" applyNumberFormat="1" applyFont="1" applyBorder="1" applyAlignment="1" applyProtection="1">
      <alignment horizontal="right"/>
      <protection locked="0"/>
    </xf>
    <xf numFmtId="164" fontId="10" fillId="0" borderId="69" xfId="1" applyNumberFormat="1" applyFont="1" applyBorder="1" applyAlignment="1" applyProtection="1">
      <alignment horizontal="right"/>
      <protection locked="0"/>
    </xf>
    <xf numFmtId="164" fontId="10" fillId="0" borderId="52" xfId="1" applyNumberFormat="1" applyFont="1" applyBorder="1" applyAlignment="1" applyProtection="1">
      <alignment horizontal="right"/>
      <protection locked="0"/>
    </xf>
    <xf numFmtId="164" fontId="11" fillId="0" borderId="8" xfId="1" applyNumberFormat="1" applyFont="1" applyBorder="1" applyAlignment="1" applyProtection="1">
      <alignment horizontal="right"/>
      <protection locked="0"/>
    </xf>
    <xf numFmtId="164" fontId="11" fillId="0" borderId="6" xfId="1" applyNumberFormat="1" applyFont="1" applyBorder="1" applyAlignment="1" applyProtection="1">
      <alignment horizontal="right"/>
      <protection locked="0"/>
    </xf>
    <xf numFmtId="164" fontId="11" fillId="0" borderId="14" xfId="1" applyNumberFormat="1" applyFont="1" applyBorder="1" applyAlignment="1" applyProtection="1">
      <alignment horizontal="right"/>
      <protection locked="0"/>
    </xf>
    <xf numFmtId="172" fontId="10" fillId="0" borderId="30" xfId="5" applyNumberFormat="1" applyFont="1" applyBorder="1" applyAlignment="1" applyProtection="1">
      <alignment horizontal="right"/>
      <protection locked="0"/>
    </xf>
    <xf numFmtId="172" fontId="10" fillId="0" borderId="31" xfId="5" applyNumberFormat="1" applyFont="1" applyBorder="1" applyAlignment="1" applyProtection="1">
      <alignment horizontal="right"/>
      <protection locked="0"/>
    </xf>
    <xf numFmtId="172" fontId="10" fillId="0" borderId="32" xfId="5" applyNumberFormat="1" applyFont="1" applyBorder="1" applyAlignment="1" applyProtection="1">
      <alignment horizontal="right"/>
      <protection locked="0"/>
    </xf>
    <xf numFmtId="172" fontId="10" fillId="0" borderId="33" xfId="5" applyNumberFormat="1" applyFont="1" applyBorder="1" applyAlignment="1" applyProtection="1">
      <alignment horizontal="right"/>
      <protection locked="0"/>
    </xf>
    <xf numFmtId="172" fontId="10" fillId="0" borderId="34" xfId="5" applyNumberFormat="1" applyFont="1" applyBorder="1" applyAlignment="1" applyProtection="1">
      <alignment horizontal="right"/>
      <protection locked="0"/>
    </xf>
    <xf numFmtId="172" fontId="10" fillId="0" borderId="35" xfId="5" applyNumberFormat="1" applyFont="1" applyBorder="1" applyAlignment="1" applyProtection="1">
      <alignment horizontal="right"/>
      <protection locked="0"/>
    </xf>
    <xf numFmtId="172" fontId="10" fillId="0" borderId="63" xfId="5" applyNumberFormat="1" applyFont="1" applyBorder="1" applyAlignment="1" applyProtection="1">
      <alignment horizontal="right"/>
      <protection locked="0"/>
    </xf>
    <xf numFmtId="172" fontId="10" fillId="0" borderId="64" xfId="5" applyNumberFormat="1" applyFont="1" applyBorder="1" applyAlignment="1" applyProtection="1">
      <alignment horizontal="right"/>
      <protection locked="0"/>
    </xf>
    <xf numFmtId="172" fontId="10" fillId="0" borderId="61" xfId="5" applyNumberFormat="1" applyFont="1" applyBorder="1" applyAlignment="1" applyProtection="1">
      <alignment horizontal="right"/>
      <protection locked="0"/>
    </xf>
    <xf numFmtId="164" fontId="6" fillId="3" borderId="1" xfId="1" applyNumberFormat="1" applyFont="1" applyFill="1" applyBorder="1" applyAlignment="1">
      <alignment horizontal="center"/>
    </xf>
    <xf numFmtId="172" fontId="9" fillId="0" borderId="49" xfId="5" applyNumberFormat="1" applyFont="1" applyBorder="1" applyAlignment="1">
      <alignment horizontal="right"/>
    </xf>
    <xf numFmtId="172" fontId="9" fillId="0" borderId="50" xfId="5" applyNumberFormat="1" applyFont="1" applyBorder="1" applyAlignment="1">
      <alignment horizontal="right"/>
    </xf>
    <xf numFmtId="0" fontId="28" fillId="0" borderId="0" xfId="0" applyFont="1"/>
    <xf numFmtId="171" fontId="10" fillId="0" borderId="30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/>
    </xf>
    <xf numFmtId="171" fontId="10" fillId="0" borderId="31" xfId="1" applyNumberFormat="1" applyFont="1" applyFill="1" applyBorder="1" applyAlignment="1">
      <alignment horizontal="center"/>
    </xf>
    <xf numFmtId="171" fontId="10" fillId="0" borderId="32" xfId="1" applyNumberFormat="1" applyFont="1" applyFill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42" xfId="1" applyNumberFormat="1" applyFont="1" applyFill="1" applyBorder="1" applyAlignment="1">
      <alignment horizontal="center"/>
    </xf>
    <xf numFmtId="0" fontId="10" fillId="0" borderId="52" xfId="1" applyNumberFormat="1" applyFont="1" applyFill="1" applyBorder="1" applyAlignment="1">
      <alignment horizontal="center"/>
    </xf>
    <xf numFmtId="171" fontId="10" fillId="0" borderId="33" xfId="0" applyNumberFormat="1" applyFont="1" applyBorder="1" applyAlignment="1">
      <alignment horizontal="center"/>
    </xf>
    <xf numFmtId="171" fontId="10" fillId="0" borderId="34" xfId="0" applyNumberFormat="1" applyFont="1" applyBorder="1" applyAlignment="1">
      <alignment horizontal="center"/>
    </xf>
    <xf numFmtId="171" fontId="10" fillId="0" borderId="34" xfId="1" applyNumberFormat="1" applyFont="1" applyFill="1" applyBorder="1" applyAlignment="1">
      <alignment horizontal="center"/>
    </xf>
    <xf numFmtId="171" fontId="10" fillId="0" borderId="35" xfId="1" applyNumberFormat="1" applyFont="1" applyFill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7" xfId="1" applyNumberFormat="1" applyFont="1" applyFill="1" applyBorder="1" applyAlignment="1">
      <alignment horizontal="center"/>
    </xf>
    <xf numFmtId="0" fontId="10" fillId="0" borderId="38" xfId="1" applyNumberFormat="1" applyFont="1" applyFill="1" applyBorder="1" applyAlignment="1">
      <alignment horizontal="center"/>
    </xf>
    <xf numFmtId="173" fontId="7" fillId="4" borderId="6" xfId="5" applyNumberFormat="1" applyFont="1" applyFill="1" applyBorder="1" applyAlignment="1">
      <alignment horizontal="center"/>
    </xf>
    <xf numFmtId="169" fontId="12" fillId="4" borderId="5" xfId="2" applyNumberFormat="1" applyFont="1" applyFill="1" applyBorder="1" applyAlignment="1" applyProtection="1">
      <alignment horizontal="center"/>
      <protection locked="0"/>
    </xf>
    <xf numFmtId="0" fontId="0" fillId="4" borderId="7" xfId="0" applyFill="1" applyBorder="1"/>
    <xf numFmtId="0" fontId="0" fillId="4" borderId="5" xfId="0" applyFill="1" applyBorder="1"/>
    <xf numFmtId="0" fontId="0" fillId="4" borderId="6" xfId="0" applyFill="1" applyBorder="1"/>
    <xf numFmtId="164" fontId="10" fillId="0" borderId="2" xfId="1" applyNumberFormat="1" applyFont="1" applyBorder="1" applyAlignment="1">
      <alignment horizontal="right"/>
    </xf>
    <xf numFmtId="164" fontId="10" fillId="0" borderId="42" xfId="1" applyNumberFormat="1" applyFont="1" applyBorder="1" applyAlignment="1" applyProtection="1">
      <alignment horizontal="right"/>
      <protection locked="0"/>
    </xf>
    <xf numFmtId="164" fontId="11" fillId="0" borderId="2" xfId="1" applyNumberFormat="1" applyFont="1" applyBorder="1" applyAlignment="1" applyProtection="1">
      <alignment horizontal="right"/>
      <protection locked="0"/>
    </xf>
    <xf numFmtId="164" fontId="11" fillId="0" borderId="13" xfId="1" applyNumberFormat="1" applyFont="1" applyBorder="1" applyAlignment="1" applyProtection="1">
      <alignment horizontal="right"/>
      <protection locked="0"/>
    </xf>
    <xf numFmtId="164" fontId="10" fillId="0" borderId="13" xfId="1" applyNumberFormat="1" applyFont="1" applyBorder="1" applyAlignment="1">
      <alignment horizontal="right"/>
    </xf>
    <xf numFmtId="164" fontId="9" fillId="3" borderId="10" xfId="1" applyNumberFormat="1" applyFont="1" applyFill="1" applyBorder="1" applyAlignment="1">
      <alignment horizontal="left"/>
    </xf>
    <xf numFmtId="165" fontId="6" fillId="3" borderId="4" xfId="1" applyFont="1" applyFill="1" applyBorder="1" applyAlignment="1">
      <alignment horizontal="left"/>
    </xf>
    <xf numFmtId="165" fontId="6" fillId="3" borderId="7" xfId="1" applyFont="1" applyFill="1" applyBorder="1" applyAlignment="1">
      <alignment horizontal="left"/>
    </xf>
    <xf numFmtId="165" fontId="6" fillId="3" borderId="2" xfId="1" applyFont="1" applyFill="1" applyBorder="1" applyAlignment="1">
      <alignment horizontal="left"/>
    </xf>
    <xf numFmtId="165" fontId="6" fillId="3" borderId="8" xfId="1" applyFont="1" applyFill="1" applyBorder="1" applyAlignment="1">
      <alignment horizontal="left"/>
    </xf>
    <xf numFmtId="165" fontId="6" fillId="3" borderId="13" xfId="1" applyFont="1" applyFill="1" applyBorder="1" applyAlignment="1">
      <alignment horizontal="left"/>
    </xf>
    <xf numFmtId="165" fontId="6" fillId="3" borderId="14" xfId="1" applyFont="1" applyFill="1" applyBorder="1" applyAlignment="1">
      <alignment horizontal="left"/>
    </xf>
    <xf numFmtId="165" fontId="10" fillId="3" borderId="13" xfId="1" applyFont="1" applyFill="1" applyBorder="1" applyAlignment="1">
      <alignment horizontal="left"/>
    </xf>
    <xf numFmtId="164" fontId="28" fillId="0" borderId="0" xfId="0" applyNumberFormat="1" applyFont="1"/>
    <xf numFmtId="169" fontId="6" fillId="0" borderId="11" xfId="1" applyNumberFormat="1" applyFont="1" applyFill="1" applyBorder="1" applyAlignment="1">
      <alignment horizontal="right"/>
    </xf>
    <xf numFmtId="164" fontId="2" fillId="2" borderId="0" xfId="1" applyNumberFormat="1" applyFont="1" applyFill="1" applyAlignment="1">
      <alignment horizontal="center"/>
    </xf>
    <xf numFmtId="164" fontId="3" fillId="2" borderId="0" xfId="1" quotePrefix="1" applyNumberFormat="1" applyFont="1" applyFill="1" applyAlignment="1">
      <alignment horizontal="center"/>
    </xf>
    <xf numFmtId="0" fontId="30" fillId="0" borderId="0" xfId="0" applyFont="1"/>
    <xf numFmtId="3" fontId="30" fillId="0" borderId="0" xfId="0" applyNumberFormat="1" applyFont="1"/>
    <xf numFmtId="0" fontId="31" fillId="2" borderId="0" xfId="0" applyFont="1" applyFill="1"/>
    <xf numFmtId="0" fontId="32" fillId="2" borderId="0" xfId="0" applyFont="1" applyFill="1" applyAlignment="1">
      <alignment horizontal="center"/>
    </xf>
    <xf numFmtId="9" fontId="10" fillId="0" borderId="70" xfId="3" applyFont="1" applyBorder="1" applyAlignment="1">
      <alignment horizontal="center"/>
    </xf>
    <xf numFmtId="9" fontId="10" fillId="0" borderId="71" xfId="3" applyFont="1" applyBorder="1" applyAlignment="1">
      <alignment horizontal="center"/>
    </xf>
    <xf numFmtId="9" fontId="10" fillId="0" borderId="71" xfId="3" applyFont="1" applyFill="1" applyBorder="1" applyAlignment="1">
      <alignment horizontal="center"/>
    </xf>
    <xf numFmtId="9" fontId="10" fillId="0" borderId="43" xfId="3" applyFont="1" applyFill="1" applyBorder="1" applyAlignment="1">
      <alignment horizontal="center"/>
    </xf>
    <xf numFmtId="174" fontId="10" fillId="0" borderId="36" xfId="4" applyNumberFormat="1" applyFont="1" applyBorder="1" applyAlignment="1">
      <alignment horizontal="center"/>
    </xf>
    <xf numFmtId="174" fontId="10" fillId="0" borderId="37" xfId="4" applyNumberFormat="1" applyFont="1" applyBorder="1" applyAlignment="1">
      <alignment horizontal="center"/>
    </xf>
    <xf numFmtId="174" fontId="10" fillId="0" borderId="37" xfId="4" applyNumberFormat="1" applyFont="1" applyFill="1" applyBorder="1" applyAlignment="1">
      <alignment horizontal="center"/>
    </xf>
    <xf numFmtId="174" fontId="10" fillId="0" borderId="38" xfId="4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14" xfId="0" applyFont="1" applyFill="1" applyBorder="1" applyAlignment="1">
      <alignment horizontal="left"/>
    </xf>
    <xf numFmtId="176" fontId="10" fillId="0" borderId="30" xfId="0" applyNumberFormat="1" applyFont="1" applyBorder="1" applyAlignment="1">
      <alignment horizontal="center"/>
    </xf>
    <xf numFmtId="176" fontId="10" fillId="0" borderId="31" xfId="0" applyNumberFormat="1" applyFont="1" applyBorder="1" applyAlignment="1">
      <alignment horizontal="center"/>
    </xf>
    <xf numFmtId="176" fontId="10" fillId="0" borderId="31" xfId="1" applyNumberFormat="1" applyFont="1" applyFill="1" applyBorder="1" applyAlignment="1">
      <alignment horizontal="center"/>
    </xf>
    <xf numFmtId="176" fontId="10" fillId="0" borderId="32" xfId="1" applyNumberFormat="1" applyFont="1" applyFill="1" applyBorder="1" applyAlignment="1">
      <alignment horizontal="center"/>
    </xf>
    <xf numFmtId="169" fontId="9" fillId="3" borderId="12" xfId="2" applyNumberFormat="1" applyFont="1" applyFill="1" applyBorder="1" applyAlignment="1">
      <alignment horizontal="right"/>
    </xf>
    <xf numFmtId="172" fontId="9" fillId="0" borderId="15" xfId="5" applyNumberFormat="1" applyFont="1" applyFill="1" applyBorder="1" applyAlignment="1">
      <alignment horizontal="right"/>
    </xf>
    <xf numFmtId="0" fontId="10" fillId="0" borderId="63" xfId="0" applyFont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10" fillId="0" borderId="64" xfId="1" applyNumberFormat="1" applyFont="1" applyFill="1" applyBorder="1" applyAlignment="1">
      <alignment horizontal="center"/>
    </xf>
    <xf numFmtId="0" fontId="10" fillId="0" borderId="61" xfId="1" applyNumberFormat="1" applyFont="1" applyFill="1" applyBorder="1" applyAlignment="1">
      <alignment horizontal="center"/>
    </xf>
    <xf numFmtId="164" fontId="9" fillId="0" borderId="0" xfId="1" applyNumberFormat="1" applyFont="1" applyFill="1" applyBorder="1" applyAlignment="1">
      <alignment horizontal="left"/>
    </xf>
    <xf numFmtId="169" fontId="9" fillId="0" borderId="0" xfId="2" applyNumberFormat="1" applyFont="1" applyFill="1" applyBorder="1" applyAlignment="1">
      <alignment horizontal="right"/>
    </xf>
    <xf numFmtId="169" fontId="9" fillId="0" borderId="0" xfId="1" applyNumberFormat="1" applyFont="1" applyFill="1" applyBorder="1" applyAlignment="1">
      <alignment horizontal="right"/>
    </xf>
    <xf numFmtId="10" fontId="9" fillId="0" borderId="0" xfId="3" applyNumberFormat="1" applyFont="1" applyFill="1" applyBorder="1" applyAlignment="1">
      <alignment horizontal="center"/>
    </xf>
    <xf numFmtId="174" fontId="10" fillId="0" borderId="70" xfId="4" applyNumberFormat="1" applyFont="1" applyBorder="1" applyAlignment="1">
      <alignment horizontal="center"/>
    </xf>
    <xf numFmtId="174" fontId="10" fillId="0" borderId="71" xfId="4" applyNumberFormat="1" applyFont="1" applyBorder="1" applyAlignment="1">
      <alignment horizontal="center"/>
    </xf>
    <xf numFmtId="174" fontId="10" fillId="0" borderId="71" xfId="4" applyNumberFormat="1" applyFont="1" applyFill="1" applyBorder="1" applyAlignment="1">
      <alignment horizontal="center"/>
    </xf>
    <xf numFmtId="174" fontId="10" fillId="0" borderId="43" xfId="4" applyNumberFormat="1" applyFont="1" applyFill="1" applyBorder="1" applyAlignment="1">
      <alignment horizontal="center"/>
    </xf>
    <xf numFmtId="164" fontId="34" fillId="0" borderId="0" xfId="0" applyNumberFormat="1" applyFont="1"/>
    <xf numFmtId="164" fontId="10" fillId="0" borderId="4" xfId="1" applyNumberFormat="1" applyFont="1" applyBorder="1" applyAlignment="1" applyProtection="1">
      <alignment horizontal="left"/>
      <protection locked="0"/>
    </xf>
    <xf numFmtId="0" fontId="33" fillId="5" borderId="72" xfId="6"/>
    <xf numFmtId="172" fontId="9" fillId="0" borderId="12" xfId="5" applyNumberFormat="1" applyFont="1" applyFill="1" applyBorder="1" applyAlignment="1">
      <alignment horizontal="right"/>
    </xf>
    <xf numFmtId="172" fontId="9" fillId="0" borderId="3" xfId="5" applyNumberFormat="1" applyFont="1" applyBorder="1" applyAlignment="1">
      <alignment horizontal="right"/>
    </xf>
    <xf numFmtId="0" fontId="32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169" fontId="14" fillId="0" borderId="11" xfId="0" applyNumberFormat="1" applyFont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4" fillId="0" borderId="62" xfId="0" applyFont="1" applyBorder="1"/>
    <xf numFmtId="3" fontId="14" fillId="0" borderId="62" xfId="0" applyNumberFormat="1" applyFont="1" applyBorder="1"/>
    <xf numFmtId="0" fontId="27" fillId="0" borderId="2" xfId="0" applyFont="1" applyBorder="1"/>
    <xf numFmtId="3" fontId="14" fillId="0" borderId="36" xfId="0" applyNumberFormat="1" applyFont="1" applyBorder="1"/>
    <xf numFmtId="3" fontId="14" fillId="0" borderId="37" xfId="0" applyNumberFormat="1" applyFont="1" applyBorder="1"/>
    <xf numFmtId="166" fontId="6" fillId="4" borderId="5" xfId="2" applyNumberFormat="1" applyFont="1" applyFill="1" applyBorder="1" applyAlignment="1" applyProtection="1">
      <protection locked="0"/>
    </xf>
    <xf numFmtId="172" fontId="6" fillId="4" borderId="7" xfId="5" applyNumberFormat="1" applyFont="1" applyFill="1" applyBorder="1" applyAlignment="1" applyProtection="1">
      <alignment horizontal="center"/>
      <protection locked="0"/>
    </xf>
    <xf numFmtId="0" fontId="6" fillId="4" borderId="6" xfId="0" applyFont="1" applyFill="1" applyBorder="1" applyAlignment="1">
      <alignment horizontal="left"/>
    </xf>
    <xf numFmtId="0" fontId="6" fillId="4" borderId="14" xfId="0" applyFont="1" applyFill="1" applyBorder="1" applyAlignment="1">
      <alignment horizontal="left"/>
    </xf>
    <xf numFmtId="164" fontId="6" fillId="4" borderId="4" xfId="0" applyNumberFormat="1" applyFont="1" applyFill="1" applyBorder="1" applyAlignment="1">
      <alignment horizontal="left" indent="1"/>
    </xf>
    <xf numFmtId="0" fontId="10" fillId="4" borderId="11" xfId="0" applyFont="1" applyFill="1" applyBorder="1"/>
    <xf numFmtId="164" fontId="6" fillId="4" borderId="13" xfId="0" applyNumberFormat="1" applyFont="1" applyFill="1" applyBorder="1" applyAlignment="1">
      <alignment horizontal="left" indent="1"/>
    </xf>
    <xf numFmtId="173" fontId="6" fillId="4" borderId="6" xfId="5" applyNumberFormat="1" applyFont="1" applyFill="1" applyBorder="1" applyAlignment="1">
      <alignment horizontal="center"/>
    </xf>
    <xf numFmtId="164" fontId="9" fillId="0" borderId="10" xfId="1" applyNumberFormat="1" applyFont="1" applyBorder="1" applyAlignment="1">
      <alignment horizontal="left"/>
    </xf>
    <xf numFmtId="172" fontId="9" fillId="0" borderId="45" xfId="5" applyNumberFormat="1" applyFont="1" applyBorder="1" applyAlignment="1">
      <alignment horizontal="right"/>
    </xf>
    <xf numFmtId="172" fontId="9" fillId="0" borderId="46" xfId="5" applyNumberFormat="1" applyFont="1" applyBorder="1" applyAlignment="1">
      <alignment horizontal="right"/>
    </xf>
    <xf numFmtId="172" fontId="9" fillId="0" borderId="15" xfId="5" applyNumberFormat="1" applyFont="1" applyBorder="1" applyAlignment="1">
      <alignment horizontal="right"/>
    </xf>
    <xf numFmtId="3" fontId="14" fillId="0" borderId="74" xfId="0" applyNumberFormat="1" applyFont="1" applyBorder="1"/>
    <xf numFmtId="0" fontId="14" fillId="0" borderId="13" xfId="0" applyFont="1" applyBorder="1" applyAlignment="1">
      <alignment horizontal="center"/>
    </xf>
    <xf numFmtId="3" fontId="14" fillId="0" borderId="82" xfId="0" applyNumberFormat="1" applyFont="1" applyBorder="1"/>
    <xf numFmtId="0" fontId="14" fillId="0" borderId="83" xfId="0" applyFont="1" applyBorder="1" applyAlignment="1">
      <alignment horizontal="center"/>
    </xf>
    <xf numFmtId="3" fontId="14" fillId="0" borderId="84" xfId="0" applyNumberFormat="1" applyFont="1" applyBorder="1"/>
    <xf numFmtId="3" fontId="14" fillId="0" borderId="81" xfId="0" applyNumberFormat="1" applyFont="1" applyBorder="1"/>
    <xf numFmtId="172" fontId="10" fillId="0" borderId="57" xfId="5" applyNumberFormat="1" applyFont="1" applyBorder="1" applyAlignment="1" applyProtection="1">
      <alignment horizontal="right"/>
      <protection locked="0"/>
    </xf>
    <xf numFmtId="172" fontId="10" fillId="0" borderId="58" xfId="5" applyNumberFormat="1" applyFont="1" applyBorder="1" applyAlignment="1" applyProtection="1">
      <alignment horizontal="right"/>
      <protection locked="0"/>
    </xf>
    <xf numFmtId="172" fontId="10" fillId="0" borderId="60" xfId="5" applyNumberFormat="1" applyFont="1" applyBorder="1" applyAlignment="1" applyProtection="1">
      <alignment horizontal="right"/>
      <protection locked="0"/>
    </xf>
    <xf numFmtId="172" fontId="9" fillId="0" borderId="62" xfId="5" applyNumberFormat="1" applyFont="1" applyBorder="1" applyAlignment="1">
      <alignment horizontal="right"/>
    </xf>
    <xf numFmtId="0" fontId="10" fillId="2" borderId="0" xfId="0" applyFont="1" applyFill="1"/>
    <xf numFmtId="164" fontId="10" fillId="2" borderId="0" xfId="1" applyNumberFormat="1" applyFont="1" applyFill="1"/>
    <xf numFmtId="0" fontId="10" fillId="0" borderId="0" xfId="0" applyFont="1"/>
    <xf numFmtId="10" fontId="6" fillId="2" borderId="0" xfId="3" applyNumberFormat="1" applyFont="1" applyFill="1" applyAlignment="1">
      <alignment horizontal="center"/>
    </xf>
    <xf numFmtId="166" fontId="10" fillId="2" borderId="0" xfId="2" applyNumberFormat="1" applyFont="1" applyFill="1"/>
    <xf numFmtId="164" fontId="6" fillId="3" borderId="7" xfId="1" applyNumberFormat="1" applyFont="1" applyFill="1" applyBorder="1" applyAlignment="1">
      <alignment horizontal="center"/>
    </xf>
    <xf numFmtId="167" fontId="10" fillId="2" borderId="0" xfId="2" applyFont="1" applyFill="1"/>
    <xf numFmtId="167" fontId="6" fillId="3" borderId="3" xfId="2" applyFont="1" applyFill="1" applyBorder="1" applyAlignment="1">
      <alignment horizontal="center"/>
    </xf>
    <xf numFmtId="167" fontId="10" fillId="0" borderId="0" xfId="2" applyFont="1"/>
    <xf numFmtId="178" fontId="10" fillId="0" borderId="30" xfId="0" applyNumberFormat="1" applyFont="1" applyBorder="1" applyAlignment="1">
      <alignment horizontal="center"/>
    </xf>
    <xf numFmtId="178" fontId="10" fillId="0" borderId="31" xfId="0" applyNumberFormat="1" applyFont="1" applyBorder="1" applyAlignment="1">
      <alignment horizontal="center"/>
    </xf>
    <xf numFmtId="178" fontId="10" fillId="0" borderId="31" xfId="1" applyNumberFormat="1" applyFont="1" applyFill="1" applyBorder="1" applyAlignment="1">
      <alignment horizontal="center"/>
    </xf>
    <xf numFmtId="178" fontId="10" fillId="0" borderId="32" xfId="1" applyNumberFormat="1" applyFont="1" applyFill="1" applyBorder="1" applyAlignment="1">
      <alignment horizontal="center"/>
    </xf>
    <xf numFmtId="178" fontId="10" fillId="0" borderId="33" xfId="0" applyNumberFormat="1" applyFont="1" applyBorder="1" applyAlignment="1">
      <alignment horizontal="center"/>
    </xf>
    <xf numFmtId="178" fontId="10" fillId="0" borderId="34" xfId="0" applyNumberFormat="1" applyFont="1" applyBorder="1" applyAlignment="1">
      <alignment horizontal="center"/>
    </xf>
    <xf numFmtId="178" fontId="10" fillId="0" borderId="34" xfId="1" applyNumberFormat="1" applyFont="1" applyFill="1" applyBorder="1" applyAlignment="1">
      <alignment horizontal="center"/>
    </xf>
    <xf numFmtId="178" fontId="10" fillId="0" borderId="35" xfId="1" applyNumberFormat="1" applyFont="1" applyFill="1" applyBorder="1" applyAlignment="1">
      <alignment horizontal="center"/>
    </xf>
    <xf numFmtId="179" fontId="10" fillId="0" borderId="36" xfId="0" applyNumberFormat="1" applyFont="1" applyBorder="1" applyAlignment="1">
      <alignment horizontal="center"/>
    </xf>
    <xf numFmtId="179" fontId="10" fillId="0" borderId="37" xfId="0" applyNumberFormat="1" applyFont="1" applyBorder="1" applyAlignment="1">
      <alignment horizontal="center"/>
    </xf>
    <xf numFmtId="179" fontId="10" fillId="0" borderId="37" xfId="1" applyNumberFormat="1" applyFont="1" applyFill="1" applyBorder="1" applyAlignment="1">
      <alignment horizontal="center"/>
    </xf>
    <xf numFmtId="179" fontId="10" fillId="0" borderId="38" xfId="1" applyNumberFormat="1" applyFont="1" applyFill="1" applyBorder="1" applyAlignment="1">
      <alignment horizontal="center"/>
    </xf>
    <xf numFmtId="173" fontId="10" fillId="2" borderId="0" xfId="0" applyNumberFormat="1" applyFont="1" applyFill="1"/>
    <xf numFmtId="165" fontId="6" fillId="0" borderId="0" xfId="1" applyFont="1" applyFill="1" applyBorder="1" applyAlignment="1">
      <alignment horizontal="left"/>
    </xf>
    <xf numFmtId="10" fontId="9" fillId="0" borderId="8" xfId="3" applyNumberFormat="1" applyFont="1" applyBorder="1" applyAlignment="1">
      <alignment horizontal="center"/>
    </xf>
    <xf numFmtId="10" fontId="6" fillId="0" borderId="29" xfId="3" applyNumberFormat="1" applyFont="1" applyBorder="1" applyAlignment="1">
      <alignment horizontal="center"/>
    </xf>
    <xf numFmtId="10" fontId="9" fillId="0" borderId="29" xfId="3" applyNumberFormat="1" applyFont="1" applyBorder="1" applyAlignment="1">
      <alignment horizontal="center"/>
    </xf>
    <xf numFmtId="10" fontId="9" fillId="0" borderId="56" xfId="3" applyNumberFormat="1" applyFont="1" applyBorder="1" applyAlignment="1">
      <alignment horizontal="center"/>
    </xf>
    <xf numFmtId="10" fontId="9" fillId="0" borderId="7" xfId="3" applyNumberFormat="1" applyFont="1" applyBorder="1" applyAlignment="1">
      <alignment horizontal="center"/>
    </xf>
    <xf numFmtId="10" fontId="9" fillId="0" borderId="12" xfId="3" applyNumberFormat="1" applyFont="1" applyFill="1" applyBorder="1" applyAlignment="1">
      <alignment horizontal="center"/>
    </xf>
    <xf numFmtId="10" fontId="9" fillId="0" borderId="73" xfId="3" applyNumberFormat="1" applyFont="1" applyBorder="1" applyAlignment="1">
      <alignment horizontal="center"/>
    </xf>
    <xf numFmtId="10" fontId="9" fillId="0" borderId="12" xfId="3" applyNumberFormat="1" applyFont="1" applyBorder="1" applyAlignment="1">
      <alignment horizontal="center"/>
    </xf>
    <xf numFmtId="10" fontId="9" fillId="0" borderId="14" xfId="3" applyNumberFormat="1" applyFont="1" applyBorder="1" applyAlignment="1">
      <alignment horizontal="center"/>
    </xf>
    <xf numFmtId="166" fontId="6" fillId="3" borderId="1" xfId="2" applyNumberFormat="1" applyFont="1" applyFill="1" applyBorder="1" applyAlignment="1">
      <alignment horizontal="center"/>
    </xf>
    <xf numFmtId="166" fontId="6" fillId="3" borderId="3" xfId="2" applyNumberFormat="1" applyFont="1" applyFill="1" applyBorder="1" applyAlignment="1">
      <alignment horizontal="center"/>
    </xf>
    <xf numFmtId="166" fontId="6" fillId="3" borderId="9" xfId="2" applyNumberFormat="1" applyFont="1" applyFill="1" applyBorder="1" applyAlignment="1">
      <alignment horizontal="center"/>
    </xf>
    <xf numFmtId="169" fontId="9" fillId="0" borderId="50" xfId="2" applyNumberFormat="1" applyFont="1" applyBorder="1" applyAlignment="1">
      <alignment horizontal="right"/>
    </xf>
    <xf numFmtId="169" fontId="9" fillId="0" borderId="54" xfId="2" applyNumberFormat="1" applyFont="1" applyBorder="1" applyAlignment="1">
      <alignment horizontal="right"/>
    </xf>
    <xf numFmtId="166" fontId="9" fillId="0" borderId="15" xfId="2" applyNumberFormat="1" applyFont="1" applyFill="1" applyBorder="1" applyAlignment="1">
      <alignment horizontal="right"/>
    </xf>
    <xf numFmtId="169" fontId="9" fillId="0" borderId="3" xfId="2" applyNumberFormat="1" applyFont="1" applyFill="1" applyBorder="1" applyAlignment="1">
      <alignment horizontal="right"/>
    </xf>
    <xf numFmtId="0" fontId="0" fillId="0" borderId="3" xfId="0" applyBorder="1"/>
    <xf numFmtId="9" fontId="6" fillId="3" borderId="1" xfId="3" applyFont="1" applyFill="1" applyBorder="1" applyAlignment="1">
      <alignment horizontal="center"/>
    </xf>
    <xf numFmtId="9" fontId="6" fillId="3" borderId="4" xfId="3" applyFont="1" applyFill="1" applyBorder="1" applyAlignment="1">
      <alignment horizontal="center"/>
    </xf>
    <xf numFmtId="9" fontId="6" fillId="3" borderId="3" xfId="3" applyFont="1" applyFill="1" applyBorder="1" applyAlignment="1">
      <alignment horizontal="center"/>
    </xf>
    <xf numFmtId="9" fontId="6" fillId="3" borderId="2" xfId="3" applyFont="1" applyFill="1" applyBorder="1" applyAlignment="1">
      <alignment horizontal="center"/>
    </xf>
    <xf numFmtId="9" fontId="6" fillId="3" borderId="9" xfId="3" applyFont="1" applyFill="1" applyBorder="1" applyAlignment="1">
      <alignment horizontal="center"/>
    </xf>
    <xf numFmtId="9" fontId="6" fillId="3" borderId="13" xfId="3" applyFont="1" applyFill="1" applyBorder="1" applyAlignment="1">
      <alignment horizontal="center"/>
    </xf>
    <xf numFmtId="9" fontId="9" fillId="0" borderId="49" xfId="3" applyFont="1" applyBorder="1" applyAlignment="1">
      <alignment horizontal="right"/>
    </xf>
    <xf numFmtId="9" fontId="9" fillId="0" borderId="25" xfId="3" applyFont="1" applyBorder="1" applyAlignment="1">
      <alignment horizontal="center"/>
    </xf>
    <xf numFmtId="9" fontId="9" fillId="0" borderId="50" xfId="3" applyFont="1" applyBorder="1" applyAlignment="1">
      <alignment horizontal="right"/>
    </xf>
    <xf numFmtId="9" fontId="9" fillId="0" borderId="27" xfId="3" applyFont="1" applyBorder="1" applyAlignment="1">
      <alignment horizontal="center"/>
    </xf>
    <xf numFmtId="9" fontId="9" fillId="0" borderId="54" xfId="3" applyFont="1" applyBorder="1" applyAlignment="1">
      <alignment horizontal="right"/>
    </xf>
    <xf numFmtId="9" fontId="9" fillId="0" borderId="86" xfId="3" applyFont="1" applyBorder="1" applyAlignment="1">
      <alignment horizontal="center"/>
    </xf>
    <xf numFmtId="9" fontId="9" fillId="0" borderId="9" xfId="3" applyFont="1" applyBorder="1" applyAlignment="1">
      <alignment horizontal="right"/>
    </xf>
    <xf numFmtId="9" fontId="9" fillId="0" borderId="1" xfId="3" applyFont="1" applyBorder="1" applyAlignment="1">
      <alignment horizontal="right"/>
    </xf>
    <xf numFmtId="9" fontId="9" fillId="0" borderId="4" xfId="3" applyFont="1" applyBorder="1" applyAlignment="1">
      <alignment horizontal="center"/>
    </xf>
    <xf numFmtId="9" fontId="9" fillId="0" borderId="3" xfId="3" applyFont="1" applyBorder="1" applyAlignment="1">
      <alignment horizontal="right"/>
    </xf>
    <xf numFmtId="9" fontId="9" fillId="0" borderId="2" xfId="3" applyFont="1" applyBorder="1" applyAlignment="1">
      <alignment horizontal="center"/>
    </xf>
    <xf numFmtId="9" fontId="9" fillId="0" borderId="15" xfId="3" applyFont="1" applyFill="1" applyBorder="1" applyAlignment="1">
      <alignment horizontal="right"/>
    </xf>
    <xf numFmtId="9" fontId="9" fillId="0" borderId="10" xfId="3" applyFont="1" applyFill="1" applyBorder="1" applyAlignment="1">
      <alignment horizontal="center"/>
    </xf>
    <xf numFmtId="9" fontId="9" fillId="0" borderId="0" xfId="3" applyFont="1" applyFill="1" applyBorder="1" applyAlignment="1">
      <alignment horizontal="right"/>
    </xf>
    <xf numFmtId="9" fontId="9" fillId="0" borderId="0" xfId="3" applyFont="1" applyFill="1" applyBorder="1" applyAlignment="1">
      <alignment horizontal="center"/>
    </xf>
    <xf numFmtId="9" fontId="0" fillId="0" borderId="0" xfId="3" applyFont="1"/>
    <xf numFmtId="9" fontId="9" fillId="0" borderId="15" xfId="3" applyFont="1" applyBorder="1" applyAlignment="1">
      <alignment horizontal="right"/>
    </xf>
    <xf numFmtId="9" fontId="9" fillId="0" borderId="10" xfId="3" applyFont="1" applyBorder="1" applyAlignment="1">
      <alignment horizontal="center"/>
    </xf>
    <xf numFmtId="9" fontId="0" fillId="0" borderId="11" xfId="3" applyFont="1" applyBorder="1"/>
    <xf numFmtId="9" fontId="9" fillId="0" borderId="13" xfId="3" applyFont="1" applyBorder="1" applyAlignment="1">
      <alignment horizontal="center"/>
    </xf>
    <xf numFmtId="0" fontId="27" fillId="6" borderId="25" xfId="0" applyFont="1" applyFill="1" applyBorder="1" applyProtection="1">
      <protection locked="0"/>
    </xf>
    <xf numFmtId="3" fontId="27" fillId="7" borderId="30" xfId="0" applyNumberFormat="1" applyFont="1" applyFill="1" applyBorder="1" applyProtection="1">
      <protection locked="0"/>
    </xf>
    <xf numFmtId="3" fontId="27" fillId="7" borderId="31" xfId="0" applyNumberFormat="1" applyFont="1" applyFill="1" applyBorder="1" applyProtection="1">
      <protection locked="0"/>
    </xf>
    <xf numFmtId="3" fontId="27" fillId="7" borderId="76" xfId="0" applyNumberFormat="1" applyFont="1" applyFill="1" applyBorder="1" applyProtection="1">
      <protection locked="0"/>
    </xf>
    <xf numFmtId="3" fontId="27" fillId="7" borderId="26" xfId="0" applyNumberFormat="1" applyFont="1" applyFill="1" applyBorder="1" applyProtection="1">
      <protection locked="0"/>
    </xf>
    <xf numFmtId="0" fontId="27" fillId="6" borderId="50" xfId="0" applyFont="1" applyFill="1" applyBorder="1" applyProtection="1">
      <protection locked="0"/>
    </xf>
    <xf numFmtId="0" fontId="27" fillId="6" borderId="27" xfId="0" applyFont="1" applyFill="1" applyBorder="1" applyProtection="1">
      <protection locked="0"/>
    </xf>
    <xf numFmtId="3" fontId="27" fillId="7" borderId="33" xfId="0" applyNumberFormat="1" applyFont="1" applyFill="1" applyBorder="1" applyProtection="1">
      <protection locked="0"/>
    </xf>
    <xf numFmtId="3" fontId="27" fillId="7" borderId="34" xfId="0" applyNumberFormat="1" applyFont="1" applyFill="1" applyBorder="1" applyProtection="1">
      <protection locked="0"/>
    </xf>
    <xf numFmtId="3" fontId="27" fillId="7" borderId="80" xfId="0" applyNumberFormat="1" applyFont="1" applyFill="1" applyBorder="1" applyProtection="1">
      <protection locked="0"/>
    </xf>
    <xf numFmtId="3" fontId="27" fillId="7" borderId="28" xfId="0" applyNumberFormat="1" applyFont="1" applyFill="1" applyBorder="1" applyProtection="1">
      <protection locked="0"/>
    </xf>
    <xf numFmtId="0" fontId="14" fillId="0" borderId="50" xfId="0" applyFont="1" applyBorder="1" applyProtection="1">
      <protection locked="0"/>
    </xf>
    <xf numFmtId="3" fontId="27" fillId="7" borderId="75" xfId="0" applyNumberFormat="1" applyFont="1" applyFill="1" applyBorder="1" applyProtection="1">
      <protection locked="0"/>
    </xf>
    <xf numFmtId="0" fontId="27" fillId="6" borderId="30" xfId="0" applyFont="1" applyFill="1" applyBorder="1" applyAlignment="1" applyProtection="1">
      <alignment horizontal="center"/>
      <protection locked="0"/>
    </xf>
    <xf numFmtId="168" fontId="27" fillId="6" borderId="31" xfId="0" applyNumberFormat="1" applyFont="1" applyFill="1" applyBorder="1" applyAlignment="1" applyProtection="1">
      <alignment horizontal="center"/>
      <protection locked="0"/>
    </xf>
    <xf numFmtId="169" fontId="27" fillId="6" borderId="31" xfId="0" applyNumberFormat="1" applyFont="1" applyFill="1" applyBorder="1" applyAlignment="1" applyProtection="1">
      <alignment horizontal="center"/>
      <protection locked="0"/>
    </xf>
    <xf numFmtId="175" fontId="27" fillId="6" borderId="31" xfId="0" applyNumberFormat="1" applyFont="1" applyFill="1" applyBorder="1" applyAlignment="1" applyProtection="1">
      <alignment horizontal="center"/>
      <protection locked="0"/>
    </xf>
    <xf numFmtId="175" fontId="27" fillId="6" borderId="40" xfId="0" applyNumberFormat="1" applyFont="1" applyFill="1" applyBorder="1" applyAlignment="1" applyProtection="1">
      <alignment horizontal="center"/>
      <protection locked="0"/>
    </xf>
    <xf numFmtId="1" fontId="27" fillId="6" borderId="31" xfId="0" applyNumberFormat="1" applyFont="1" applyFill="1" applyBorder="1" applyAlignment="1" applyProtection="1">
      <alignment horizontal="center"/>
      <protection locked="0"/>
    </xf>
    <xf numFmtId="179" fontId="27" fillId="6" borderId="31" xfId="0" applyNumberFormat="1" applyFont="1" applyFill="1" applyBorder="1" applyAlignment="1" applyProtection="1">
      <alignment horizontal="center"/>
      <protection locked="0"/>
    </xf>
    <xf numFmtId="170" fontId="27" fillId="6" borderId="31" xfId="0" applyNumberFormat="1" applyFont="1" applyFill="1" applyBorder="1" applyAlignment="1" applyProtection="1">
      <alignment horizontal="center"/>
      <protection locked="0"/>
    </xf>
    <xf numFmtId="0" fontId="27" fillId="6" borderId="33" xfId="0" applyFont="1" applyFill="1" applyBorder="1" applyAlignment="1" applyProtection="1">
      <alignment horizontal="center"/>
      <protection locked="0"/>
    </xf>
    <xf numFmtId="168" fontId="27" fillId="6" borderId="34" xfId="0" applyNumberFormat="1" applyFont="1" applyFill="1" applyBorder="1" applyAlignment="1" applyProtection="1">
      <alignment horizontal="center"/>
      <protection locked="0"/>
    </xf>
    <xf numFmtId="169" fontId="27" fillId="6" borderId="34" xfId="0" applyNumberFormat="1" applyFont="1" applyFill="1" applyBorder="1" applyAlignment="1" applyProtection="1">
      <alignment horizontal="center"/>
      <protection locked="0"/>
    </xf>
    <xf numFmtId="175" fontId="27" fillId="6" borderId="34" xfId="0" applyNumberFormat="1" applyFont="1" applyFill="1" applyBorder="1" applyAlignment="1" applyProtection="1">
      <alignment horizontal="center"/>
      <protection locked="0"/>
    </xf>
    <xf numFmtId="1" fontId="27" fillId="6" borderId="34" xfId="0" applyNumberFormat="1" applyFont="1" applyFill="1" applyBorder="1" applyAlignment="1" applyProtection="1">
      <alignment horizontal="center"/>
      <protection locked="0"/>
    </xf>
    <xf numFmtId="179" fontId="27" fillId="6" borderId="34" xfId="0" applyNumberFormat="1" applyFont="1" applyFill="1" applyBorder="1" applyAlignment="1" applyProtection="1">
      <alignment horizontal="center"/>
      <protection locked="0"/>
    </xf>
    <xf numFmtId="170" fontId="27" fillId="6" borderId="34" xfId="0" applyNumberFormat="1" applyFont="1" applyFill="1" applyBorder="1" applyAlignment="1" applyProtection="1">
      <alignment horizontal="center"/>
      <protection locked="0"/>
    </xf>
    <xf numFmtId="14" fontId="29" fillId="4" borderId="6" xfId="0" applyNumberFormat="1" applyFont="1" applyFill="1" applyBorder="1" applyAlignment="1" applyProtection="1">
      <alignment horizontal="left" vertical="center"/>
      <protection locked="0"/>
    </xf>
    <xf numFmtId="164" fontId="4" fillId="2" borderId="0" xfId="1" applyNumberFormat="1" applyFont="1" applyFill="1" applyProtection="1"/>
    <xf numFmtId="164" fontId="1" fillId="2" borderId="0" xfId="1" applyNumberFormat="1" applyFill="1" applyProtection="1"/>
    <xf numFmtId="164" fontId="6" fillId="2" borderId="0" xfId="1" applyNumberFormat="1" applyFont="1" applyFill="1" applyAlignment="1" applyProtection="1">
      <alignment horizontal="left"/>
    </xf>
    <xf numFmtId="164" fontId="6" fillId="2" borderId="0" xfId="1" applyNumberFormat="1" applyFont="1" applyFill="1" applyProtection="1"/>
    <xf numFmtId="10" fontId="4" fillId="2" borderId="0" xfId="3" applyNumberFormat="1" applyFont="1" applyFill="1" applyAlignment="1" applyProtection="1">
      <alignment horizontal="center"/>
    </xf>
    <xf numFmtId="166" fontId="1" fillId="2" borderId="0" xfId="2" applyNumberFormat="1" applyFill="1" applyProtection="1"/>
    <xf numFmtId="164" fontId="10" fillId="2" borderId="0" xfId="1" applyNumberFormat="1" applyFont="1" applyFill="1" applyProtection="1"/>
    <xf numFmtId="17" fontId="6" fillId="3" borderId="15" xfId="1" applyNumberFormat="1" applyFont="1" applyFill="1" applyBorder="1" applyAlignment="1" applyProtection="1">
      <alignment horizontal="center"/>
    </xf>
    <xf numFmtId="10" fontId="6" fillId="2" borderId="0" xfId="3" applyNumberFormat="1" applyFont="1" applyFill="1" applyAlignment="1" applyProtection="1">
      <alignment horizontal="center"/>
    </xf>
    <xf numFmtId="166" fontId="10" fillId="2" borderId="0" xfId="2" applyNumberFormat="1" applyFont="1" applyFill="1" applyProtection="1"/>
    <xf numFmtId="164" fontId="8" fillId="3" borderId="1" xfId="1" applyNumberFormat="1" applyFont="1" applyFill="1" applyBorder="1" applyAlignment="1" applyProtection="1">
      <alignment horizontal="center"/>
    </xf>
    <xf numFmtId="164" fontId="6" fillId="3" borderId="7" xfId="1" applyNumberFormat="1" applyFont="1" applyFill="1" applyBorder="1" applyAlignment="1" applyProtection="1">
      <alignment horizontal="center"/>
    </xf>
    <xf numFmtId="164" fontId="6" fillId="3" borderId="1" xfId="1" applyNumberFormat="1" applyFont="1" applyFill="1" applyBorder="1" applyAlignment="1" applyProtection="1">
      <alignment horizontal="center"/>
    </xf>
    <xf numFmtId="10" fontId="6" fillId="3" borderId="1" xfId="3" applyNumberFormat="1" applyFont="1" applyFill="1" applyBorder="1" applyAlignment="1" applyProtection="1">
      <alignment horizontal="center"/>
    </xf>
    <xf numFmtId="10" fontId="6" fillId="3" borderId="7" xfId="3" applyNumberFormat="1" applyFont="1" applyFill="1" applyBorder="1" applyAlignment="1" applyProtection="1">
      <alignment horizontal="center"/>
    </xf>
    <xf numFmtId="166" fontId="6" fillId="3" borderId="7" xfId="2" applyNumberFormat="1" applyFont="1" applyFill="1" applyBorder="1" applyAlignment="1" applyProtection="1">
      <alignment horizontal="center"/>
    </xf>
    <xf numFmtId="167" fontId="10" fillId="2" borderId="0" xfId="2" applyFont="1" applyFill="1" applyProtection="1"/>
    <xf numFmtId="167" fontId="6" fillId="3" borderId="3" xfId="2" applyFont="1" applyFill="1" applyBorder="1" applyAlignment="1" applyProtection="1">
      <alignment horizontal="center"/>
    </xf>
    <xf numFmtId="170" fontId="6" fillId="3" borderId="8" xfId="2" applyNumberFormat="1" applyFont="1" applyFill="1" applyBorder="1" applyAlignment="1" applyProtection="1">
      <alignment horizontal="center"/>
    </xf>
    <xf numFmtId="170" fontId="6" fillId="3" borderId="3" xfId="2" applyNumberFormat="1" applyFont="1" applyFill="1" applyBorder="1" applyAlignment="1" applyProtection="1">
      <alignment horizontal="center"/>
    </xf>
    <xf numFmtId="167" fontId="6" fillId="3" borderId="8" xfId="2" applyFont="1" applyFill="1" applyBorder="1" applyAlignment="1" applyProtection="1">
      <alignment horizontal="center"/>
    </xf>
    <xf numFmtId="166" fontId="6" fillId="3" borderId="8" xfId="2" applyNumberFormat="1" applyFont="1" applyFill="1" applyBorder="1" applyAlignment="1" applyProtection="1">
      <alignment horizontal="center"/>
    </xf>
    <xf numFmtId="167" fontId="10" fillId="0" borderId="0" xfId="2" applyFont="1" applyProtection="1"/>
    <xf numFmtId="164" fontId="6" fillId="3" borderId="9" xfId="1" applyNumberFormat="1" applyFont="1" applyFill="1" applyBorder="1" applyAlignment="1" applyProtection="1">
      <alignment horizontal="center"/>
    </xf>
    <xf numFmtId="164" fontId="6" fillId="3" borderId="14" xfId="1" applyNumberFormat="1" applyFont="1" applyFill="1" applyBorder="1" applyAlignment="1" applyProtection="1">
      <alignment horizontal="center"/>
    </xf>
    <xf numFmtId="170" fontId="6" fillId="3" borderId="9" xfId="2" applyNumberFormat="1" applyFont="1" applyFill="1" applyBorder="1" applyAlignment="1" applyProtection="1">
      <alignment horizontal="center"/>
    </xf>
    <xf numFmtId="10" fontId="6" fillId="3" borderId="9" xfId="3" applyNumberFormat="1" applyFont="1" applyFill="1" applyBorder="1" applyAlignment="1" applyProtection="1">
      <alignment horizontal="center"/>
    </xf>
    <xf numFmtId="10" fontId="6" fillId="3" borderId="14" xfId="3" applyNumberFormat="1" applyFont="1" applyFill="1" applyBorder="1" applyAlignment="1" applyProtection="1">
      <alignment horizontal="center"/>
    </xf>
    <xf numFmtId="166" fontId="6" fillId="3" borderId="14" xfId="2" applyNumberFormat="1" applyFont="1" applyFill="1" applyBorder="1" applyAlignment="1" applyProtection="1">
      <alignment horizontal="center"/>
    </xf>
    <xf numFmtId="164" fontId="10" fillId="0" borderId="4" xfId="1" applyNumberFormat="1" applyFont="1" applyBorder="1" applyAlignment="1" applyProtection="1">
      <alignment horizontal="left"/>
    </xf>
    <xf numFmtId="164" fontId="10" fillId="0" borderId="57" xfId="1" applyNumberFormat="1" applyFont="1" applyBorder="1" applyAlignment="1" applyProtection="1">
      <alignment horizontal="right"/>
    </xf>
    <xf numFmtId="164" fontId="10" fillId="0" borderId="32" xfId="1" applyNumberFormat="1" applyFont="1" applyBorder="1" applyAlignment="1" applyProtection="1">
      <alignment horizontal="right"/>
    </xf>
    <xf numFmtId="164" fontId="9" fillId="0" borderId="49" xfId="1" applyNumberFormat="1" applyFont="1" applyBorder="1" applyAlignment="1" applyProtection="1">
      <alignment horizontal="right"/>
    </xf>
    <xf numFmtId="164" fontId="10" fillId="0" borderId="30" xfId="1" applyNumberFormat="1" applyFont="1" applyBorder="1" applyAlignment="1" applyProtection="1">
      <alignment horizontal="right"/>
    </xf>
    <xf numFmtId="164" fontId="10" fillId="0" borderId="31" xfId="1" applyNumberFormat="1" applyFont="1" applyBorder="1" applyAlignment="1" applyProtection="1">
      <alignment horizontal="right"/>
    </xf>
    <xf numFmtId="164" fontId="9" fillId="0" borderId="26" xfId="1" applyNumberFormat="1" applyFont="1" applyBorder="1" applyAlignment="1" applyProtection="1">
      <alignment horizontal="right"/>
    </xf>
    <xf numFmtId="10" fontId="9" fillId="0" borderId="49" xfId="3" applyNumberFormat="1" applyFont="1" applyBorder="1" applyAlignment="1" applyProtection="1">
      <alignment horizontal="center"/>
    </xf>
    <xf numFmtId="10" fontId="6" fillId="0" borderId="49" xfId="3" applyNumberFormat="1" applyFont="1" applyBorder="1" applyAlignment="1" applyProtection="1">
      <alignment horizontal="center"/>
    </xf>
    <xf numFmtId="172" fontId="9" fillId="0" borderId="73" xfId="5" applyNumberFormat="1" applyFont="1" applyBorder="1" applyAlignment="1" applyProtection="1">
      <alignment horizontal="right"/>
    </xf>
    <xf numFmtId="164" fontId="11" fillId="2" borderId="0" xfId="1" applyNumberFormat="1" applyFont="1" applyFill="1" applyBorder="1" applyAlignment="1" applyProtection="1">
      <alignment horizontal="right"/>
    </xf>
    <xf numFmtId="164" fontId="10" fillId="0" borderId="2" xfId="1" applyNumberFormat="1" applyFont="1" applyBorder="1" applyAlignment="1" applyProtection="1">
      <alignment horizontal="left"/>
    </xf>
    <xf numFmtId="164" fontId="10" fillId="0" borderId="58" xfId="1" applyNumberFormat="1" applyFont="1" applyBorder="1" applyAlignment="1" applyProtection="1">
      <alignment horizontal="right"/>
    </xf>
    <xf numFmtId="164" fontId="10" fillId="0" borderId="35" xfId="1" applyNumberFormat="1" applyFont="1" applyBorder="1" applyAlignment="1" applyProtection="1">
      <alignment horizontal="right"/>
    </xf>
    <xf numFmtId="164" fontId="9" fillId="0" borderId="50" xfId="1" applyNumberFormat="1" applyFont="1" applyBorder="1" applyAlignment="1" applyProtection="1">
      <alignment horizontal="right"/>
    </xf>
    <xf numFmtId="164" fontId="10" fillId="0" borderId="33" xfId="1" applyNumberFormat="1" applyFont="1" applyBorder="1" applyAlignment="1" applyProtection="1">
      <alignment horizontal="right"/>
    </xf>
    <xf numFmtId="164" fontId="10" fillId="0" borderId="34" xfId="1" applyNumberFormat="1" applyFont="1" applyBorder="1" applyAlignment="1" applyProtection="1">
      <alignment horizontal="right"/>
    </xf>
    <xf numFmtId="164" fontId="9" fillId="0" borderId="28" xfId="1" applyNumberFormat="1" applyFont="1" applyBorder="1" applyAlignment="1" applyProtection="1">
      <alignment horizontal="right"/>
    </xf>
    <xf numFmtId="10" fontId="9" fillId="0" borderId="50" xfId="3" applyNumberFormat="1" applyFont="1" applyBorder="1" applyAlignment="1" applyProtection="1">
      <alignment horizontal="center"/>
    </xf>
    <xf numFmtId="172" fontId="9" fillId="0" borderId="29" xfId="5" applyNumberFormat="1" applyFont="1" applyBorder="1" applyAlignment="1" applyProtection="1">
      <alignment horizontal="right"/>
    </xf>
    <xf numFmtId="164" fontId="11" fillId="2" borderId="0" xfId="1" applyNumberFormat="1" applyFont="1" applyFill="1" applyBorder="1" applyAlignment="1" applyProtection="1">
      <alignment horizontal="left"/>
    </xf>
    <xf numFmtId="164" fontId="10" fillId="0" borderId="85" xfId="1" applyNumberFormat="1" applyFont="1" applyBorder="1" applyAlignment="1" applyProtection="1">
      <alignment horizontal="right"/>
    </xf>
    <xf numFmtId="164" fontId="10" fillId="0" borderId="61" xfId="1" applyNumberFormat="1" applyFont="1" applyBorder="1" applyAlignment="1" applyProtection="1">
      <alignment horizontal="right"/>
    </xf>
    <xf numFmtId="164" fontId="9" fillId="0" borderId="62" xfId="1" applyNumberFormat="1" applyFont="1" applyBorder="1" applyAlignment="1" applyProtection="1">
      <alignment horizontal="right"/>
    </xf>
    <xf numFmtId="164" fontId="10" fillId="0" borderId="63" xfId="1" applyNumberFormat="1" applyFont="1" applyBorder="1" applyAlignment="1" applyProtection="1">
      <alignment horizontal="right"/>
    </xf>
    <xf numFmtId="164" fontId="10" fillId="0" borderId="64" xfId="1" applyNumberFormat="1" applyFont="1" applyBorder="1" applyAlignment="1" applyProtection="1">
      <alignment horizontal="right"/>
    </xf>
    <xf numFmtId="164" fontId="9" fillId="0" borderId="54" xfId="1" applyNumberFormat="1" applyFont="1" applyBorder="1" applyAlignment="1" applyProtection="1">
      <alignment horizontal="right"/>
    </xf>
    <xf numFmtId="164" fontId="9" fillId="0" borderId="55" xfId="1" applyNumberFormat="1" applyFont="1" applyBorder="1" applyAlignment="1" applyProtection="1">
      <alignment horizontal="right"/>
    </xf>
    <xf numFmtId="10" fontId="9" fillId="0" borderId="54" xfId="3" applyNumberFormat="1" applyFont="1" applyBorder="1" applyAlignment="1" applyProtection="1">
      <alignment horizontal="center"/>
    </xf>
    <xf numFmtId="172" fontId="9" fillId="0" borderId="56" xfId="5" applyNumberFormat="1" applyFont="1" applyBorder="1" applyAlignment="1" applyProtection="1">
      <alignment horizontal="right"/>
    </xf>
    <xf numFmtId="165" fontId="6" fillId="2" borderId="22" xfId="1" applyFont="1" applyFill="1" applyBorder="1" applyAlignment="1" applyProtection="1">
      <alignment horizontal="left"/>
    </xf>
    <xf numFmtId="164" fontId="10" fillId="0" borderId="65" xfId="1" applyNumberFormat="1" applyFont="1" applyBorder="1" applyAlignment="1" applyProtection="1">
      <alignment horizontal="right"/>
    </xf>
    <xf numFmtId="164" fontId="10" fillId="0" borderId="66" xfId="1" applyNumberFormat="1" applyFont="1" applyBorder="1" applyAlignment="1" applyProtection="1">
      <alignment horizontal="right"/>
    </xf>
    <xf numFmtId="164" fontId="9" fillId="0" borderId="59" xfId="1" applyNumberFormat="1" applyFont="1" applyBorder="1" applyAlignment="1" applyProtection="1">
      <alignment horizontal="right"/>
    </xf>
    <xf numFmtId="164" fontId="10" fillId="0" borderId="67" xfId="1" applyNumberFormat="1" applyFont="1" applyBorder="1" applyAlignment="1" applyProtection="1">
      <alignment horizontal="right"/>
    </xf>
    <xf numFmtId="164" fontId="10" fillId="0" borderId="68" xfId="1" applyNumberFormat="1" applyFont="1" applyBorder="1" applyAlignment="1" applyProtection="1">
      <alignment horizontal="right"/>
    </xf>
    <xf numFmtId="164" fontId="9" fillId="0" borderId="9" xfId="1" applyNumberFormat="1" applyFont="1" applyBorder="1" applyAlignment="1" applyProtection="1">
      <alignment horizontal="right"/>
    </xf>
    <xf numFmtId="164" fontId="9" fillId="0" borderId="4" xfId="1" applyNumberFormat="1" applyFont="1" applyBorder="1" applyAlignment="1" applyProtection="1">
      <alignment horizontal="left"/>
    </xf>
    <xf numFmtId="164" fontId="9" fillId="0" borderId="48" xfId="1" applyNumberFormat="1" applyFont="1" applyBorder="1" applyAlignment="1" applyProtection="1">
      <alignment horizontal="right"/>
    </xf>
    <xf numFmtId="164" fontId="9" fillId="0" borderId="41" xfId="1" applyNumberFormat="1" applyFont="1" applyBorder="1" applyAlignment="1" applyProtection="1">
      <alignment horizontal="right"/>
    </xf>
    <xf numFmtId="164" fontId="9" fillId="0" borderId="1" xfId="1" applyNumberFormat="1" applyFont="1" applyBorder="1" applyAlignment="1" applyProtection="1">
      <alignment horizontal="right"/>
    </xf>
    <xf numFmtId="164" fontId="9" fillId="0" borderId="39" xfId="1" applyNumberFormat="1" applyFont="1" applyBorder="1" applyAlignment="1" applyProtection="1">
      <alignment horizontal="right"/>
    </xf>
    <xf numFmtId="164" fontId="9" fillId="0" borderId="40" xfId="1" applyNumberFormat="1" applyFont="1" applyBorder="1" applyAlignment="1" applyProtection="1">
      <alignment horizontal="right"/>
    </xf>
    <xf numFmtId="164" fontId="9" fillId="0" borderId="5" xfId="1" applyNumberFormat="1" applyFont="1" applyBorder="1" applyAlignment="1" applyProtection="1">
      <alignment horizontal="right"/>
    </xf>
    <xf numFmtId="10" fontId="9" fillId="0" borderId="1" xfId="3" applyNumberFormat="1" applyFont="1" applyBorder="1" applyAlignment="1" applyProtection="1">
      <alignment horizontal="center"/>
    </xf>
    <xf numFmtId="172" fontId="9" fillId="0" borderId="1" xfId="5" applyNumberFormat="1" applyFont="1" applyBorder="1" applyAlignment="1" applyProtection="1">
      <alignment horizontal="right"/>
    </xf>
    <xf numFmtId="164" fontId="10" fillId="0" borderId="0" xfId="1" applyNumberFormat="1" applyFont="1" applyBorder="1" applyAlignment="1" applyProtection="1">
      <alignment horizontal="right"/>
    </xf>
    <xf numFmtId="164" fontId="10" fillId="0" borderId="8" xfId="1" applyNumberFormat="1" applyFont="1" applyBorder="1" applyAlignment="1" applyProtection="1">
      <alignment horizontal="right"/>
    </xf>
    <xf numFmtId="164" fontId="9" fillId="0" borderId="3" xfId="1" applyNumberFormat="1" applyFont="1" applyBorder="1" applyAlignment="1" applyProtection="1">
      <alignment horizontal="right"/>
    </xf>
    <xf numFmtId="164" fontId="10" fillId="0" borderId="2" xfId="1" applyNumberFormat="1" applyFont="1" applyBorder="1" applyAlignment="1" applyProtection="1">
      <alignment horizontal="right"/>
    </xf>
    <xf numFmtId="164" fontId="9" fillId="0" borderId="0" xfId="1" applyNumberFormat="1" applyFont="1" applyBorder="1" applyAlignment="1" applyProtection="1">
      <alignment horizontal="right"/>
    </xf>
    <xf numFmtId="10" fontId="9" fillId="0" borderId="3" xfId="3" applyNumberFormat="1" applyFont="1" applyBorder="1" applyAlignment="1" applyProtection="1">
      <alignment horizontal="center"/>
    </xf>
    <xf numFmtId="172" fontId="9" fillId="0" borderId="3" xfId="5" applyNumberFormat="1" applyFont="1" applyBorder="1" applyAlignment="1" applyProtection="1">
      <alignment horizontal="right"/>
    </xf>
    <xf numFmtId="164" fontId="10" fillId="0" borderId="69" xfId="1" applyNumberFormat="1" applyFont="1" applyBorder="1" applyAlignment="1" applyProtection="1">
      <alignment horizontal="right"/>
    </xf>
    <xf numFmtId="164" fontId="10" fillId="0" borderId="52" xfId="1" applyNumberFormat="1" applyFont="1" applyBorder="1" applyAlignment="1" applyProtection="1">
      <alignment horizontal="right"/>
    </xf>
    <xf numFmtId="164" fontId="6" fillId="0" borderId="3" xfId="1" applyNumberFormat="1" applyFont="1" applyBorder="1" applyAlignment="1" applyProtection="1">
      <alignment horizontal="right"/>
    </xf>
    <xf numFmtId="164" fontId="10" fillId="0" borderId="42" xfId="1" applyNumberFormat="1" applyFont="1" applyBorder="1" applyAlignment="1" applyProtection="1">
      <alignment horizontal="right"/>
    </xf>
    <xf numFmtId="172" fontId="9" fillId="0" borderId="8" xfId="5" applyNumberFormat="1" applyFont="1" applyBorder="1" applyAlignment="1" applyProtection="1">
      <alignment horizontal="right"/>
    </xf>
    <xf numFmtId="164" fontId="11" fillId="0" borderId="2" xfId="1" applyNumberFormat="1" applyFont="1" applyBorder="1" applyAlignment="1" applyProtection="1">
      <alignment horizontal="left"/>
    </xf>
    <xf numFmtId="164" fontId="11" fillId="0" borderId="6" xfId="1" applyNumberFormat="1" applyFont="1" applyBorder="1" applyAlignment="1" applyProtection="1">
      <alignment horizontal="right"/>
    </xf>
    <xf numFmtId="164" fontId="11" fillId="0" borderId="14" xfId="1" applyNumberFormat="1" applyFont="1" applyBorder="1" applyAlignment="1" applyProtection="1">
      <alignment horizontal="right"/>
    </xf>
    <xf numFmtId="164" fontId="11" fillId="0" borderId="13" xfId="1" applyNumberFormat="1" applyFont="1" applyBorder="1" applyAlignment="1" applyProtection="1">
      <alignment horizontal="right"/>
    </xf>
    <xf numFmtId="164" fontId="9" fillId="0" borderId="6" xfId="1" applyNumberFormat="1" applyFont="1" applyBorder="1" applyAlignment="1" applyProtection="1">
      <alignment horizontal="right"/>
    </xf>
    <xf numFmtId="172" fontId="9" fillId="0" borderId="9" xfId="5" applyNumberFormat="1" applyFont="1" applyBorder="1" applyAlignment="1" applyProtection="1">
      <alignment horizontal="right"/>
    </xf>
    <xf numFmtId="164" fontId="9" fillId="0" borderId="4" xfId="1" applyNumberFormat="1" applyFont="1" applyBorder="1" applyAlignment="1" applyProtection="1"/>
    <xf numFmtId="164" fontId="10" fillId="0" borderId="6" xfId="1" applyNumberFormat="1" applyFont="1" applyBorder="1" applyAlignment="1" applyProtection="1">
      <alignment horizontal="right"/>
    </xf>
    <xf numFmtId="164" fontId="10" fillId="0" borderId="14" xfId="1" applyNumberFormat="1" applyFont="1" applyBorder="1" applyAlignment="1" applyProtection="1">
      <alignment horizontal="right"/>
    </xf>
    <xf numFmtId="164" fontId="10" fillId="0" borderId="13" xfId="1" applyNumberFormat="1" applyFont="1" applyBorder="1" applyAlignment="1" applyProtection="1">
      <alignment horizontal="right"/>
    </xf>
    <xf numFmtId="164" fontId="9" fillId="0" borderId="10" xfId="1" applyNumberFormat="1" applyFont="1" applyFill="1" applyBorder="1" applyAlignment="1" applyProtection="1">
      <alignment horizontal="left"/>
    </xf>
    <xf numFmtId="164" fontId="9" fillId="0" borderId="47" xfId="1" applyNumberFormat="1" applyFont="1" applyFill="1" applyBorder="1" applyAlignment="1" applyProtection="1">
      <alignment horizontal="right"/>
    </xf>
    <xf numFmtId="164" fontId="9" fillId="0" borderId="46" xfId="1" applyNumberFormat="1" applyFont="1" applyFill="1" applyBorder="1" applyAlignment="1" applyProtection="1">
      <alignment horizontal="right"/>
    </xf>
    <xf numFmtId="164" fontId="9" fillId="0" borderId="15" xfId="1" applyNumberFormat="1" applyFont="1" applyFill="1" applyBorder="1" applyAlignment="1" applyProtection="1">
      <alignment horizontal="right"/>
    </xf>
    <xf numFmtId="164" fontId="9" fillId="0" borderId="44" xfId="1" applyNumberFormat="1" applyFont="1" applyFill="1" applyBorder="1" applyAlignment="1" applyProtection="1">
      <alignment horizontal="right"/>
    </xf>
    <xf numFmtId="164" fontId="9" fillId="0" borderId="45" xfId="1" applyNumberFormat="1" applyFont="1" applyFill="1" applyBorder="1" applyAlignment="1" applyProtection="1">
      <alignment horizontal="right"/>
    </xf>
    <xf numFmtId="164" fontId="9" fillId="0" borderId="11" xfId="1" applyNumberFormat="1" applyFont="1" applyFill="1" applyBorder="1" applyAlignment="1" applyProtection="1">
      <alignment horizontal="right"/>
    </xf>
    <xf numFmtId="10" fontId="9" fillId="0" borderId="15" xfId="3" applyNumberFormat="1" applyFont="1" applyFill="1" applyBorder="1" applyAlignment="1" applyProtection="1">
      <alignment horizontal="center"/>
    </xf>
    <xf numFmtId="172" fontId="9" fillId="0" borderId="12" xfId="5" applyNumberFormat="1" applyFont="1" applyFill="1" applyBorder="1" applyAlignment="1" applyProtection="1">
      <alignment horizontal="right"/>
    </xf>
    <xf numFmtId="164" fontId="9" fillId="0" borderId="0" xfId="1" applyNumberFormat="1" applyFont="1" applyFill="1" applyBorder="1" applyAlignment="1" applyProtection="1">
      <alignment horizontal="left"/>
    </xf>
    <xf numFmtId="169" fontId="9" fillId="0" borderId="0" xfId="2" applyNumberFormat="1" applyFont="1" applyFill="1" applyBorder="1" applyAlignment="1" applyProtection="1">
      <alignment horizontal="right"/>
    </xf>
    <xf numFmtId="169" fontId="9" fillId="0" borderId="0" xfId="1" applyNumberFormat="1" applyFont="1" applyFill="1" applyBorder="1" applyAlignment="1" applyProtection="1">
      <alignment horizontal="right"/>
    </xf>
    <xf numFmtId="172" fontId="9" fillId="0" borderId="0" xfId="5" applyNumberFormat="1" applyFont="1" applyFill="1" applyBorder="1" applyAlignment="1" applyProtection="1">
      <alignment horizontal="right"/>
    </xf>
    <xf numFmtId="164" fontId="9" fillId="0" borderId="0" xfId="1" applyNumberFormat="1" applyFont="1" applyFill="1" applyBorder="1" applyAlignment="1" applyProtection="1">
      <alignment horizontal="right"/>
    </xf>
    <xf numFmtId="10" fontId="9" fillId="0" borderId="0" xfId="3" applyNumberFormat="1" applyFont="1" applyFill="1" applyBorder="1" applyAlignment="1" applyProtection="1">
      <alignment horizontal="center"/>
    </xf>
    <xf numFmtId="172" fontId="0" fillId="0" borderId="0" xfId="5" applyNumberFormat="1" applyFont="1" applyProtection="1"/>
    <xf numFmtId="172" fontId="10" fillId="0" borderId="57" xfId="5" applyNumberFormat="1" applyFont="1" applyBorder="1" applyAlignment="1" applyProtection="1">
      <alignment horizontal="right"/>
    </xf>
    <xf numFmtId="172" fontId="9" fillId="0" borderId="49" xfId="5" applyNumberFormat="1" applyFont="1" applyBorder="1" applyAlignment="1" applyProtection="1">
      <alignment horizontal="right"/>
    </xf>
    <xf numFmtId="172" fontId="10" fillId="0" borderId="30" xfId="5" applyNumberFormat="1" applyFont="1" applyBorder="1" applyAlignment="1" applyProtection="1">
      <alignment horizontal="right"/>
    </xf>
    <xf numFmtId="172" fontId="10" fillId="0" borderId="31" xfId="5" applyNumberFormat="1" applyFont="1" applyBorder="1" applyAlignment="1" applyProtection="1">
      <alignment horizontal="right"/>
    </xf>
    <xf numFmtId="172" fontId="10" fillId="0" borderId="32" xfId="5" applyNumberFormat="1" applyFont="1" applyBorder="1" applyAlignment="1" applyProtection="1">
      <alignment horizontal="right"/>
    </xf>
    <xf numFmtId="172" fontId="10" fillId="0" borderId="58" xfId="5" applyNumberFormat="1" applyFont="1" applyBorder="1" applyAlignment="1" applyProtection="1">
      <alignment horizontal="right"/>
    </xf>
    <xf numFmtId="172" fontId="9" fillId="0" borderId="50" xfId="5" applyNumberFormat="1" applyFont="1" applyBorder="1" applyAlignment="1" applyProtection="1">
      <alignment horizontal="right"/>
    </xf>
    <xf numFmtId="172" fontId="10" fillId="0" borderId="33" xfId="5" applyNumberFormat="1" applyFont="1" applyBorder="1" applyAlignment="1" applyProtection="1">
      <alignment horizontal="right"/>
    </xf>
    <xf numFmtId="172" fontId="10" fillId="0" borderId="34" xfId="5" applyNumberFormat="1" applyFont="1" applyBorder="1" applyAlignment="1" applyProtection="1">
      <alignment horizontal="right"/>
    </xf>
    <xf numFmtId="172" fontId="10" fillId="0" borderId="35" xfId="5" applyNumberFormat="1" applyFont="1" applyBorder="1" applyAlignment="1" applyProtection="1">
      <alignment horizontal="right"/>
    </xf>
    <xf numFmtId="172" fontId="10" fillId="0" borderId="60" xfId="5" applyNumberFormat="1" applyFont="1" applyBorder="1" applyAlignment="1" applyProtection="1">
      <alignment horizontal="right"/>
    </xf>
    <xf numFmtId="172" fontId="9" fillId="0" borderId="62" xfId="5" applyNumberFormat="1" applyFont="1" applyBorder="1" applyAlignment="1" applyProtection="1">
      <alignment horizontal="right"/>
    </xf>
    <xf numFmtId="172" fontId="10" fillId="0" borderId="63" xfId="5" applyNumberFormat="1" applyFont="1" applyBorder="1" applyAlignment="1" applyProtection="1">
      <alignment horizontal="right"/>
    </xf>
    <xf numFmtId="172" fontId="10" fillId="0" borderId="64" xfId="5" applyNumberFormat="1" applyFont="1" applyBorder="1" applyAlignment="1" applyProtection="1">
      <alignment horizontal="right"/>
    </xf>
    <xf numFmtId="172" fontId="10" fillId="0" borderId="61" xfId="5" applyNumberFormat="1" applyFont="1" applyBorder="1" applyAlignment="1" applyProtection="1">
      <alignment horizontal="right"/>
    </xf>
    <xf numFmtId="172" fontId="9" fillId="0" borderId="54" xfId="5" applyNumberFormat="1" applyFont="1" applyBorder="1" applyAlignment="1" applyProtection="1">
      <alignment horizontal="right"/>
    </xf>
    <xf numFmtId="172" fontId="9" fillId="0" borderId="74" xfId="5" applyNumberFormat="1" applyFont="1" applyBorder="1" applyAlignment="1" applyProtection="1">
      <alignment horizontal="right"/>
    </xf>
    <xf numFmtId="172" fontId="10" fillId="0" borderId="65" xfId="5" applyNumberFormat="1" applyFont="1" applyBorder="1" applyAlignment="1" applyProtection="1">
      <alignment horizontal="right"/>
    </xf>
    <xf numFmtId="172" fontId="10" fillId="0" borderId="66" xfId="5" applyNumberFormat="1" applyFont="1" applyBorder="1" applyProtection="1"/>
    <xf numFmtId="172" fontId="9" fillId="0" borderId="59" xfId="5" applyNumberFormat="1" applyFont="1" applyBorder="1" applyAlignment="1" applyProtection="1">
      <alignment horizontal="right"/>
    </xf>
    <xf numFmtId="172" fontId="9" fillId="0" borderId="48" xfId="5" applyNumberFormat="1" applyFont="1" applyBorder="1" applyAlignment="1" applyProtection="1">
      <alignment horizontal="right"/>
    </xf>
    <xf numFmtId="172" fontId="9" fillId="0" borderId="41" xfId="5" applyNumberFormat="1" applyFont="1" applyBorder="1" applyAlignment="1" applyProtection="1">
      <alignment horizontal="right"/>
    </xf>
    <xf numFmtId="172" fontId="9" fillId="0" borderId="39" xfId="5" applyNumberFormat="1" applyFont="1" applyBorder="1" applyAlignment="1" applyProtection="1">
      <alignment horizontal="right"/>
    </xf>
    <xf numFmtId="172" fontId="9" fillId="0" borderId="40" xfId="5" applyNumberFormat="1" applyFont="1" applyBorder="1" applyAlignment="1" applyProtection="1">
      <alignment horizontal="right"/>
    </xf>
    <xf numFmtId="172" fontId="10" fillId="0" borderId="0" xfId="5" applyNumberFormat="1" applyFont="1" applyBorder="1" applyAlignment="1" applyProtection="1">
      <alignment horizontal="right"/>
    </xf>
    <xf numFmtId="172" fontId="10" fillId="0" borderId="8" xfId="5" applyNumberFormat="1" applyFont="1" applyBorder="1" applyAlignment="1" applyProtection="1">
      <alignment horizontal="right"/>
    </xf>
    <xf numFmtId="172" fontId="10" fillId="0" borderId="69" xfId="5" applyNumberFormat="1" applyFont="1" applyBorder="1" applyAlignment="1" applyProtection="1">
      <alignment horizontal="right"/>
    </xf>
    <xf numFmtId="172" fontId="10" fillId="0" borderId="52" xfId="5" applyNumberFormat="1" applyFont="1" applyBorder="1" applyAlignment="1" applyProtection="1">
      <alignment horizontal="right"/>
    </xf>
    <xf numFmtId="172" fontId="6" fillId="0" borderId="3" xfId="5" applyNumberFormat="1" applyFont="1" applyBorder="1" applyAlignment="1" applyProtection="1">
      <alignment horizontal="right"/>
    </xf>
    <xf numFmtId="172" fontId="11" fillId="0" borderId="6" xfId="5" applyNumberFormat="1" applyFont="1" applyBorder="1" applyAlignment="1" applyProtection="1">
      <alignment horizontal="right"/>
    </xf>
    <xf numFmtId="172" fontId="11" fillId="0" borderId="14" xfId="5" applyNumberFormat="1" applyFont="1" applyBorder="1" applyAlignment="1" applyProtection="1">
      <alignment horizontal="right"/>
    </xf>
    <xf numFmtId="172" fontId="10" fillId="0" borderId="6" xfId="5" applyNumberFormat="1" applyFont="1" applyBorder="1" applyAlignment="1" applyProtection="1">
      <alignment horizontal="right"/>
    </xf>
    <xf numFmtId="172" fontId="10" fillId="0" borderId="14" xfId="5" applyNumberFormat="1" applyFont="1" applyBorder="1" applyAlignment="1" applyProtection="1">
      <alignment horizontal="right"/>
    </xf>
    <xf numFmtId="172" fontId="9" fillId="0" borderId="47" xfId="5" applyNumberFormat="1" applyFont="1" applyFill="1" applyBorder="1" applyAlignment="1" applyProtection="1">
      <alignment horizontal="right"/>
    </xf>
    <xf numFmtId="172" fontId="9" fillId="0" borderId="46" xfId="5" applyNumberFormat="1" applyFont="1" applyFill="1" applyBorder="1" applyAlignment="1" applyProtection="1">
      <alignment horizontal="right"/>
    </xf>
    <xf numFmtId="172" fontId="9" fillId="0" borderId="15" xfId="5" applyNumberFormat="1" applyFont="1" applyFill="1" applyBorder="1" applyAlignment="1" applyProtection="1">
      <alignment horizontal="right"/>
    </xf>
    <xf numFmtId="172" fontId="6" fillId="0" borderId="11" xfId="5" applyNumberFormat="1" applyFont="1" applyFill="1" applyBorder="1" applyAlignment="1" applyProtection="1">
      <alignment horizontal="right"/>
    </xf>
    <xf numFmtId="172" fontId="9" fillId="0" borderId="45" xfId="5" applyNumberFormat="1" applyFont="1" applyFill="1" applyBorder="1" applyAlignment="1" applyProtection="1">
      <alignment horizontal="right"/>
    </xf>
    <xf numFmtId="172" fontId="9" fillId="0" borderId="11" xfId="5" applyNumberFormat="1" applyFont="1" applyFill="1" applyBorder="1" applyAlignment="1" applyProtection="1">
      <alignment horizontal="right"/>
    </xf>
    <xf numFmtId="164" fontId="9" fillId="3" borderId="10" xfId="1" applyNumberFormat="1" applyFont="1" applyFill="1" applyBorder="1" applyAlignment="1" applyProtection="1">
      <alignment horizontal="left"/>
    </xf>
    <xf numFmtId="169" fontId="9" fillId="3" borderId="12" xfId="2" applyNumberFormat="1" applyFont="1" applyFill="1" applyBorder="1" applyAlignment="1" applyProtection="1">
      <alignment horizontal="right"/>
    </xf>
    <xf numFmtId="172" fontId="9" fillId="0" borderId="44" xfId="5" applyNumberFormat="1" applyFont="1" applyFill="1" applyBorder="1" applyAlignment="1" applyProtection="1">
      <alignment horizontal="right"/>
    </xf>
    <xf numFmtId="164" fontId="6" fillId="4" borderId="4" xfId="0" applyNumberFormat="1" applyFont="1" applyFill="1" applyBorder="1" applyAlignment="1">
      <alignment horizontal="left"/>
    </xf>
    <xf numFmtId="0" fontId="6" fillId="4" borderId="11" xfId="0" applyFont="1" applyFill="1" applyBorder="1"/>
    <xf numFmtId="172" fontId="6" fillId="4" borderId="12" xfId="5" applyNumberFormat="1" applyFont="1" applyFill="1" applyBorder="1" applyProtection="1"/>
    <xf numFmtId="165" fontId="6" fillId="3" borderId="4" xfId="1" applyFont="1" applyFill="1" applyBorder="1" applyAlignment="1" applyProtection="1">
      <alignment horizontal="left"/>
    </xf>
    <xf numFmtId="165" fontId="6" fillId="3" borderId="7" xfId="1" applyFont="1" applyFill="1" applyBorder="1" applyAlignment="1" applyProtection="1">
      <alignment horizontal="left"/>
    </xf>
    <xf numFmtId="178" fontId="10" fillId="0" borderId="31" xfId="1" applyNumberFormat="1" applyFont="1" applyFill="1" applyBorder="1" applyAlignment="1" applyProtection="1">
      <alignment horizontal="center"/>
    </xf>
    <xf numFmtId="178" fontId="10" fillId="0" borderId="32" xfId="1" applyNumberFormat="1" applyFont="1" applyFill="1" applyBorder="1" applyAlignment="1" applyProtection="1">
      <alignment horizontal="center"/>
    </xf>
    <xf numFmtId="0" fontId="6" fillId="4" borderId="5" xfId="2" applyNumberFormat="1" applyFont="1" applyFill="1" applyBorder="1" applyAlignment="1" applyProtection="1"/>
    <xf numFmtId="166" fontId="6" fillId="4" borderId="5" xfId="2" applyNumberFormat="1" applyFont="1" applyFill="1" applyBorder="1" applyAlignment="1" applyProtection="1"/>
    <xf numFmtId="172" fontId="6" fillId="4" borderId="7" xfId="5" applyNumberFormat="1" applyFont="1" applyFill="1" applyBorder="1" applyAlignment="1" applyProtection="1">
      <alignment horizontal="center"/>
    </xf>
    <xf numFmtId="165" fontId="6" fillId="3" borderId="2" xfId="1" applyFont="1" applyFill="1" applyBorder="1" applyAlignment="1" applyProtection="1">
      <alignment horizontal="left"/>
    </xf>
    <xf numFmtId="165" fontId="6" fillId="3" borderId="8" xfId="1" applyFont="1" applyFill="1" applyBorder="1" applyAlignment="1" applyProtection="1">
      <alignment horizontal="left"/>
    </xf>
    <xf numFmtId="178" fontId="10" fillId="0" borderId="34" xfId="1" applyNumberFormat="1" applyFont="1" applyFill="1" applyBorder="1" applyAlignment="1" applyProtection="1">
      <alignment horizontal="center"/>
    </xf>
    <xf numFmtId="178" fontId="10" fillId="0" borderId="35" xfId="1" applyNumberFormat="1" applyFont="1" applyFill="1" applyBorder="1" applyAlignment="1" applyProtection="1">
      <alignment horizontal="center"/>
    </xf>
    <xf numFmtId="164" fontId="6" fillId="4" borderId="13" xfId="0" applyNumberFormat="1" applyFont="1" applyFill="1" applyBorder="1" applyAlignment="1">
      <alignment horizontal="left"/>
    </xf>
    <xf numFmtId="173" fontId="6" fillId="4" borderId="6" xfId="5" applyNumberFormat="1" applyFont="1" applyFill="1" applyBorder="1" applyAlignment="1" applyProtection="1">
      <alignment horizontal="left"/>
    </xf>
    <xf numFmtId="0" fontId="10" fillId="0" borderId="42" xfId="1" applyNumberFormat="1" applyFont="1" applyFill="1" applyBorder="1" applyAlignment="1" applyProtection="1">
      <alignment horizontal="center"/>
    </xf>
    <xf numFmtId="0" fontId="10" fillId="0" borderId="52" xfId="1" applyNumberFormat="1" applyFont="1" applyFill="1" applyBorder="1" applyAlignment="1" applyProtection="1">
      <alignment horizontal="center"/>
    </xf>
    <xf numFmtId="164" fontId="6" fillId="3" borderId="10" xfId="1" applyNumberFormat="1" applyFont="1" applyFill="1" applyBorder="1" applyAlignment="1" applyProtection="1">
      <alignment horizontal="center"/>
    </xf>
    <xf numFmtId="164" fontId="6" fillId="3" borderId="11" xfId="1" applyNumberFormat="1" applyFont="1" applyFill="1" applyBorder="1" applyAlignment="1" applyProtection="1">
      <alignment horizontal="center"/>
    </xf>
    <xf numFmtId="164" fontId="6" fillId="3" borderId="12" xfId="1" applyNumberFormat="1" applyFont="1" applyFill="1" applyBorder="1" applyAlignment="1" applyProtection="1">
      <alignment horizontal="center"/>
    </xf>
    <xf numFmtId="0" fontId="10" fillId="0" borderId="64" xfId="1" applyNumberFormat="1" applyFont="1" applyFill="1" applyBorder="1" applyAlignment="1" applyProtection="1">
      <alignment horizontal="center"/>
    </xf>
    <xf numFmtId="0" fontId="10" fillId="0" borderId="61" xfId="1" applyNumberFormat="1" applyFont="1" applyFill="1" applyBorder="1" applyAlignment="1" applyProtection="1">
      <alignment horizontal="center"/>
    </xf>
    <xf numFmtId="165" fontId="6" fillId="3" borderId="13" xfId="1" applyFont="1" applyFill="1" applyBorder="1" applyAlignment="1" applyProtection="1">
      <alignment horizontal="left"/>
    </xf>
    <xf numFmtId="165" fontId="6" fillId="3" borderId="14" xfId="1" applyFont="1" applyFill="1" applyBorder="1" applyAlignment="1" applyProtection="1">
      <alignment horizontal="left"/>
    </xf>
    <xf numFmtId="180" fontId="10" fillId="0" borderId="36" xfId="0" applyNumberFormat="1" applyFont="1" applyBorder="1" applyAlignment="1">
      <alignment horizontal="center"/>
    </xf>
    <xf numFmtId="180" fontId="10" fillId="0" borderId="37" xfId="0" applyNumberFormat="1" applyFont="1" applyBorder="1" applyAlignment="1">
      <alignment horizontal="center"/>
    </xf>
    <xf numFmtId="180" fontId="10" fillId="0" borderId="37" xfId="1" applyNumberFormat="1" applyFont="1" applyFill="1" applyBorder="1" applyAlignment="1" applyProtection="1">
      <alignment horizontal="center"/>
    </xf>
    <xf numFmtId="180" fontId="10" fillId="0" borderId="38" xfId="1" applyNumberFormat="1" applyFont="1" applyFill="1" applyBorder="1" applyAlignment="1" applyProtection="1">
      <alignment horizontal="center"/>
    </xf>
    <xf numFmtId="174" fontId="10" fillId="0" borderId="70" xfId="4" applyNumberFormat="1" applyFont="1" applyBorder="1" applyAlignment="1" applyProtection="1">
      <alignment horizontal="center"/>
    </xf>
    <xf numFmtId="174" fontId="10" fillId="0" borderId="71" xfId="4" applyNumberFormat="1" applyFont="1" applyBorder="1" applyAlignment="1" applyProtection="1">
      <alignment horizontal="center"/>
    </xf>
    <xf numFmtId="174" fontId="10" fillId="0" borderId="71" xfId="4" applyNumberFormat="1" applyFont="1" applyFill="1" applyBorder="1" applyAlignment="1" applyProtection="1">
      <alignment horizontal="center"/>
    </xf>
    <xf numFmtId="174" fontId="10" fillId="0" borderId="43" xfId="4" applyNumberFormat="1" applyFont="1" applyFill="1" applyBorder="1" applyAlignment="1" applyProtection="1">
      <alignment horizontal="center"/>
    </xf>
    <xf numFmtId="164" fontId="6" fillId="0" borderId="11" xfId="1" applyNumberFormat="1" applyFont="1" applyFill="1" applyBorder="1" applyAlignment="1" applyProtection="1">
      <alignment horizontal="right"/>
    </xf>
    <xf numFmtId="174" fontId="9" fillId="0" borderId="15" xfId="4" applyNumberFormat="1" applyFont="1" applyFill="1" applyBorder="1" applyAlignment="1" applyProtection="1">
      <alignment horizontal="right"/>
    </xf>
    <xf numFmtId="172" fontId="10" fillId="0" borderId="42" xfId="5" applyNumberFormat="1" applyFont="1" applyBorder="1" applyAlignment="1" applyProtection="1">
      <alignment horizontal="right"/>
    </xf>
    <xf numFmtId="172" fontId="11" fillId="0" borderId="13" xfId="5" applyNumberFormat="1" applyFont="1" applyBorder="1" applyAlignment="1" applyProtection="1">
      <alignment horizontal="right"/>
    </xf>
    <xf numFmtId="164" fontId="6" fillId="0" borderId="4" xfId="1" applyNumberFormat="1" applyFont="1" applyBorder="1" applyAlignment="1" applyProtection="1">
      <alignment horizontal="left"/>
      <protection locked="0"/>
    </xf>
    <xf numFmtId="164" fontId="6" fillId="0" borderId="10" xfId="1" applyNumberFormat="1" applyFont="1" applyFill="1" applyBorder="1" applyAlignment="1">
      <alignment horizontal="left"/>
    </xf>
    <xf numFmtId="172" fontId="10" fillId="0" borderId="67" xfId="5" applyNumberFormat="1" applyFont="1" applyBorder="1" applyAlignment="1" applyProtection="1">
      <alignment horizontal="right"/>
      <protection locked="0"/>
    </xf>
    <xf numFmtId="172" fontId="10" fillId="0" borderId="68" xfId="5" applyNumberFormat="1" applyFont="1" applyBorder="1" applyAlignment="1" applyProtection="1">
      <alignment horizontal="right"/>
      <protection locked="0"/>
    </xf>
    <xf numFmtId="172" fontId="10" fillId="0" borderId="66" xfId="5" applyNumberFormat="1" applyFont="1" applyBorder="1" applyAlignment="1" applyProtection="1">
      <alignment horizontal="right"/>
      <protection locked="0"/>
    </xf>
    <xf numFmtId="172" fontId="6" fillId="0" borderId="59" xfId="5" applyNumberFormat="1" applyFont="1" applyBorder="1" applyAlignment="1">
      <alignment horizontal="right"/>
    </xf>
    <xf numFmtId="172" fontId="10" fillId="0" borderId="65" xfId="5" applyNumberFormat="1" applyFont="1" applyBorder="1" applyAlignment="1" applyProtection="1">
      <alignment horizontal="right"/>
      <protection locked="0"/>
    </xf>
    <xf numFmtId="172" fontId="10" fillId="0" borderId="66" xfId="5" applyNumberFormat="1" applyFont="1" applyBorder="1" applyProtection="1">
      <protection locked="0"/>
    </xf>
    <xf numFmtId="172" fontId="6" fillId="0" borderId="1" xfId="5" applyNumberFormat="1" applyFont="1" applyBorder="1" applyAlignment="1">
      <alignment horizontal="right"/>
    </xf>
    <xf numFmtId="172" fontId="9" fillId="0" borderId="47" xfId="5" applyNumberFormat="1" applyFont="1" applyBorder="1" applyAlignment="1">
      <alignment horizontal="right"/>
    </xf>
    <xf numFmtId="172" fontId="6" fillId="0" borderId="48" xfId="5" applyNumberFormat="1" applyFont="1" applyBorder="1" applyAlignment="1" applyProtection="1">
      <alignment horizontal="right"/>
      <protection locked="0"/>
    </xf>
    <xf numFmtId="172" fontId="6" fillId="0" borderId="41" xfId="5" applyNumberFormat="1" applyFont="1" applyBorder="1" applyAlignment="1" applyProtection="1">
      <alignment horizontal="right"/>
      <protection locked="0"/>
    </xf>
    <xf numFmtId="10" fontId="6" fillId="0" borderId="7" xfId="3" applyNumberFormat="1" applyFont="1" applyBorder="1" applyAlignment="1">
      <alignment horizontal="center"/>
    </xf>
    <xf numFmtId="172" fontId="6" fillId="0" borderId="39" xfId="5" applyNumberFormat="1" applyFont="1" applyBorder="1" applyAlignment="1" applyProtection="1">
      <alignment horizontal="right"/>
      <protection locked="0"/>
    </xf>
    <xf numFmtId="172" fontId="6" fillId="0" borderId="40" xfId="5" applyNumberFormat="1" applyFont="1" applyBorder="1" applyAlignment="1" applyProtection="1">
      <alignment horizontal="right"/>
      <protection locked="0"/>
    </xf>
    <xf numFmtId="172" fontId="11" fillId="0" borderId="6" xfId="5" applyNumberFormat="1" applyFont="1" applyBorder="1" applyAlignment="1" applyProtection="1">
      <alignment horizontal="right"/>
      <protection locked="0"/>
    </xf>
    <xf numFmtId="172" fontId="11" fillId="0" borderId="14" xfId="5" applyNumberFormat="1" applyFont="1" applyBorder="1" applyAlignment="1" applyProtection="1">
      <alignment horizontal="right"/>
      <protection locked="0"/>
    </xf>
    <xf numFmtId="172" fontId="11" fillId="0" borderId="53" xfId="5" applyNumberFormat="1" applyFont="1" applyBorder="1" applyAlignment="1" applyProtection="1">
      <alignment horizontal="right"/>
      <protection locked="0"/>
    </xf>
    <xf numFmtId="172" fontId="11" fillId="0" borderId="42" xfId="5" applyNumberFormat="1" applyFont="1" applyBorder="1" applyAlignment="1" applyProtection="1">
      <alignment horizontal="right"/>
      <protection locked="0"/>
    </xf>
    <xf numFmtId="172" fontId="11" fillId="0" borderId="52" xfId="5" applyNumberFormat="1" applyFont="1" applyBorder="1" applyAlignment="1" applyProtection="1">
      <alignment horizontal="right"/>
      <protection locked="0"/>
    </xf>
    <xf numFmtId="172" fontId="9" fillId="0" borderId="47" xfId="5" applyNumberFormat="1" applyFont="1" applyFill="1" applyBorder="1" applyAlignment="1">
      <alignment horizontal="right"/>
    </xf>
    <xf numFmtId="172" fontId="9" fillId="0" borderId="46" xfId="5" applyNumberFormat="1" applyFont="1" applyFill="1" applyBorder="1" applyAlignment="1">
      <alignment horizontal="right"/>
    </xf>
    <xf numFmtId="172" fontId="6" fillId="0" borderId="11" xfId="5" applyNumberFormat="1" applyFont="1" applyFill="1" applyBorder="1" applyAlignment="1">
      <alignment horizontal="right"/>
    </xf>
    <xf numFmtId="172" fontId="9" fillId="0" borderId="45" xfId="5" applyNumberFormat="1" applyFont="1" applyFill="1" applyBorder="1" applyAlignment="1">
      <alignment horizontal="right"/>
    </xf>
    <xf numFmtId="1" fontId="6" fillId="3" borderId="7" xfId="3" applyNumberFormat="1" applyFont="1" applyFill="1" applyBorder="1" applyAlignment="1">
      <alignment horizontal="center"/>
    </xf>
    <xf numFmtId="1" fontId="6" fillId="3" borderId="8" xfId="3" applyNumberFormat="1" applyFont="1" applyFill="1" applyBorder="1" applyAlignment="1">
      <alignment horizontal="center"/>
    </xf>
    <xf numFmtId="1" fontId="6" fillId="3" borderId="14" xfId="3" applyNumberFormat="1" applyFont="1" applyFill="1" applyBorder="1" applyAlignment="1">
      <alignment horizontal="center"/>
    </xf>
    <xf numFmtId="1" fontId="9" fillId="0" borderId="26" xfId="3" applyNumberFormat="1" applyFont="1" applyBorder="1" applyAlignment="1">
      <alignment horizontal="right"/>
    </xf>
    <xf numFmtId="1" fontId="9" fillId="0" borderId="28" xfId="3" applyNumberFormat="1" applyFont="1" applyBorder="1" applyAlignment="1">
      <alignment horizontal="right"/>
    </xf>
    <xf numFmtId="1" fontId="9" fillId="0" borderId="55" xfId="3" applyNumberFormat="1" applyFont="1" applyBorder="1" applyAlignment="1">
      <alignment horizontal="right"/>
    </xf>
    <xf numFmtId="1" fontId="9" fillId="0" borderId="5" xfId="3" applyNumberFormat="1" applyFont="1" applyBorder="1" applyAlignment="1">
      <alignment horizontal="right"/>
    </xf>
    <xf numFmtId="1" fontId="9" fillId="0" borderId="0" xfId="3" applyNumberFormat="1" applyFont="1" applyBorder="1" applyAlignment="1">
      <alignment horizontal="right"/>
    </xf>
    <xf numFmtId="1" fontId="9" fillId="0" borderId="6" xfId="3" applyNumberFormat="1" applyFont="1" applyBorder="1" applyAlignment="1">
      <alignment horizontal="right"/>
    </xf>
    <xf numFmtId="1" fontId="9" fillId="0" borderId="11" xfId="3" applyNumberFormat="1" applyFont="1" applyFill="1" applyBorder="1" applyAlignment="1">
      <alignment horizontal="right"/>
    </xf>
    <xf numFmtId="1" fontId="9" fillId="0" borderId="0" xfId="3" applyNumberFormat="1" applyFont="1" applyFill="1" applyBorder="1" applyAlignment="1">
      <alignment horizontal="right"/>
    </xf>
    <xf numFmtId="1" fontId="0" fillId="0" borderId="0" xfId="3" applyNumberFormat="1" applyFont="1"/>
    <xf numFmtId="1" fontId="9" fillId="0" borderId="11" xfId="3" applyNumberFormat="1" applyFont="1" applyBorder="1" applyAlignment="1">
      <alignment horizontal="right"/>
    </xf>
    <xf numFmtId="1" fontId="0" fillId="0" borderId="11" xfId="3" applyNumberFormat="1" applyFont="1" applyBorder="1"/>
    <xf numFmtId="172" fontId="9" fillId="0" borderId="8" xfId="5" applyNumberFormat="1" applyFont="1" applyBorder="1" applyAlignment="1">
      <alignment horizontal="right"/>
    </xf>
    <xf numFmtId="174" fontId="9" fillId="0" borderId="73" xfId="4" applyNumberFormat="1" applyFont="1" applyBorder="1" applyAlignment="1">
      <alignment horizontal="right"/>
    </xf>
    <xf numFmtId="174" fontId="9" fillId="0" borderId="29" xfId="4" applyNumberFormat="1" applyFont="1" applyBorder="1" applyAlignment="1">
      <alignment horizontal="right"/>
    </xf>
    <xf numFmtId="174" fontId="9" fillId="0" borderId="74" xfId="4" applyNumberFormat="1" applyFont="1" applyBorder="1" applyAlignment="1">
      <alignment horizontal="right"/>
    </xf>
    <xf numFmtId="174" fontId="6" fillId="0" borderId="59" xfId="4" applyNumberFormat="1" applyFont="1" applyBorder="1" applyAlignment="1">
      <alignment horizontal="right"/>
    </xf>
    <xf numFmtId="174" fontId="9" fillId="0" borderId="12" xfId="4" applyNumberFormat="1" applyFont="1" applyBorder="1" applyAlignment="1">
      <alignment horizontal="right"/>
    </xf>
    <xf numFmtId="174" fontId="6" fillId="0" borderId="7" xfId="4" applyNumberFormat="1" applyFont="1" applyBorder="1" applyAlignment="1">
      <alignment horizontal="right"/>
    </xf>
    <xf numFmtId="174" fontId="9" fillId="0" borderId="12" xfId="4" applyNumberFormat="1" applyFont="1" applyFill="1" applyBorder="1" applyAlignment="1">
      <alignment horizontal="right"/>
    </xf>
    <xf numFmtId="172" fontId="10" fillId="0" borderId="67" xfId="5" applyNumberFormat="1" applyFont="1" applyBorder="1" applyAlignment="1" applyProtection="1">
      <alignment horizontal="right"/>
    </xf>
    <xf numFmtId="172" fontId="10" fillId="0" borderId="68" xfId="5" applyNumberFormat="1" applyFont="1" applyBorder="1" applyAlignment="1" applyProtection="1">
      <alignment horizontal="right"/>
    </xf>
    <xf numFmtId="172" fontId="10" fillId="0" borderId="66" xfId="5" applyNumberFormat="1" applyFont="1" applyBorder="1" applyAlignment="1" applyProtection="1">
      <alignment horizontal="right"/>
    </xf>
    <xf numFmtId="0" fontId="29" fillId="4" borderId="5" xfId="0" applyFont="1" applyFill="1" applyBorder="1" applyAlignment="1" applyProtection="1">
      <alignment horizontal="left" vertical="center"/>
      <protection locked="0"/>
    </xf>
    <xf numFmtId="0" fontId="36" fillId="2" borderId="0" xfId="0" applyFont="1" applyFill="1"/>
    <xf numFmtId="3" fontId="27" fillId="6" borderId="77" xfId="3" applyNumberFormat="1" applyFont="1" applyFill="1" applyBorder="1" applyAlignment="1" applyProtection="1">
      <alignment horizontal="center"/>
      <protection locked="0"/>
    </xf>
    <xf numFmtId="3" fontId="27" fillId="6" borderId="78" xfId="3" applyNumberFormat="1" applyFont="1" applyFill="1" applyBorder="1" applyAlignment="1" applyProtection="1">
      <alignment horizontal="center"/>
      <protection locked="0"/>
    </xf>
    <xf numFmtId="3" fontId="14" fillId="0" borderId="94" xfId="0" applyNumberFormat="1" applyFont="1" applyBorder="1" applyAlignment="1">
      <alignment horizontal="center"/>
    </xf>
    <xf numFmtId="169" fontId="27" fillId="6" borderId="32" xfId="0" applyNumberFormat="1" applyFont="1" applyFill="1" applyBorder="1" applyAlignment="1" applyProtection="1">
      <alignment horizontal="center"/>
      <protection locked="0"/>
    </xf>
    <xf numFmtId="169" fontId="27" fillId="6" borderId="35" xfId="0" applyNumberFormat="1" applyFont="1" applyFill="1" applyBorder="1" applyAlignment="1" applyProtection="1">
      <alignment horizontal="center"/>
      <protection locked="0"/>
    </xf>
    <xf numFmtId="169" fontId="14" fillId="0" borderId="74" xfId="0" applyNumberFormat="1" applyFont="1" applyBorder="1" applyAlignment="1" applyProtection="1">
      <alignment horizontal="center"/>
      <protection locked="0"/>
    </xf>
    <xf numFmtId="0" fontId="0" fillId="0" borderId="8" xfId="0" applyBorder="1"/>
    <xf numFmtId="0" fontId="14" fillId="0" borderId="63" xfId="0" applyFont="1" applyBorder="1" applyAlignment="1" applyProtection="1">
      <alignment horizontal="center"/>
      <protection locked="0"/>
    </xf>
    <xf numFmtId="168" fontId="14" fillId="0" borderId="64" xfId="0" applyNumberFormat="1" applyFont="1" applyBorder="1" applyAlignment="1" applyProtection="1">
      <alignment horizontal="center"/>
      <protection locked="0"/>
    </xf>
    <xf numFmtId="169" fontId="14" fillId="0" borderId="64" xfId="0" applyNumberFormat="1" applyFont="1" applyBorder="1" applyAlignment="1" applyProtection="1">
      <alignment horizontal="center"/>
      <protection locked="0"/>
    </xf>
    <xf numFmtId="171" fontId="14" fillId="0" borderId="64" xfId="0" applyNumberFormat="1" applyFont="1" applyBorder="1" applyAlignment="1" applyProtection="1">
      <alignment horizontal="center"/>
      <protection locked="0"/>
    </xf>
    <xf numFmtId="170" fontId="14" fillId="0" borderId="64" xfId="0" applyNumberFormat="1" applyFont="1" applyBorder="1" applyAlignment="1" applyProtection="1">
      <alignment horizontal="center"/>
      <protection locked="0"/>
    </xf>
    <xf numFmtId="3" fontId="14" fillId="0" borderId="64" xfId="3" applyNumberFormat="1" applyFont="1" applyBorder="1" applyAlignment="1">
      <alignment horizontal="center"/>
    </xf>
    <xf numFmtId="3" fontId="27" fillId="0" borderId="79" xfId="3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69" xfId="0" applyFont="1" applyBorder="1" applyAlignment="1">
      <alignment horizontal="left"/>
    </xf>
    <xf numFmtId="0" fontId="14" fillId="0" borderId="95" xfId="0" applyFont="1" applyBorder="1" applyAlignment="1">
      <alignment horizontal="left"/>
    </xf>
    <xf numFmtId="170" fontId="27" fillId="7" borderId="95" xfId="0" applyNumberFormat="1" applyFont="1" applyFill="1" applyBorder="1" applyAlignment="1" applyProtection="1">
      <alignment horizontal="center"/>
      <protection locked="0"/>
    </xf>
    <xf numFmtId="169" fontId="14" fillId="0" borderId="95" xfId="0" applyNumberFormat="1" applyFont="1" applyBorder="1" applyAlignment="1">
      <alignment horizontal="center"/>
    </xf>
    <xf numFmtId="3" fontId="27" fillId="6" borderId="95" xfId="0" applyNumberFormat="1" applyFont="1" applyFill="1" applyBorder="1" applyAlignment="1" applyProtection="1">
      <alignment horizontal="center"/>
      <protection locked="0"/>
    </xf>
    <xf numFmtId="3" fontId="27" fillId="0" borderId="96" xfId="3" applyNumberFormat="1" applyFont="1" applyFill="1" applyBorder="1" applyAlignment="1" applyProtection="1">
      <alignment horizontal="center"/>
      <protection locked="0"/>
    </xf>
    <xf numFmtId="0" fontId="30" fillId="0" borderId="12" xfId="0" applyFont="1" applyBorder="1" applyAlignment="1">
      <alignment vertical="center"/>
    </xf>
    <xf numFmtId="0" fontId="14" fillId="0" borderId="64" xfId="0" applyFont="1" applyBorder="1" applyAlignment="1">
      <alignment horizontal="left"/>
    </xf>
    <xf numFmtId="170" fontId="27" fillId="7" borderId="64" xfId="0" applyNumberFormat="1" applyFont="1" applyFill="1" applyBorder="1" applyAlignment="1" applyProtection="1">
      <alignment horizontal="center"/>
      <protection locked="0"/>
    </xf>
    <xf numFmtId="169" fontId="14" fillId="0" borderId="64" xfId="0" applyNumberFormat="1" applyFont="1" applyBorder="1" applyAlignment="1">
      <alignment horizontal="center"/>
    </xf>
    <xf numFmtId="3" fontId="27" fillId="6" borderId="64" xfId="0" applyNumberFormat="1" applyFont="1" applyFill="1" applyBorder="1" applyAlignment="1" applyProtection="1">
      <alignment horizontal="center"/>
      <protection locked="0"/>
    </xf>
    <xf numFmtId="3" fontId="27" fillId="0" borderId="79" xfId="3" applyNumberFormat="1" applyFont="1" applyFill="1" applyBorder="1" applyAlignment="1" applyProtection="1">
      <alignment horizontal="center"/>
      <protection locked="0"/>
    </xf>
    <xf numFmtId="0" fontId="0" fillId="0" borderId="12" xfId="0" applyBorder="1"/>
    <xf numFmtId="0" fontId="27" fillId="0" borderId="27" xfId="0" applyFont="1" applyBorder="1" applyProtection="1">
      <protection locked="0"/>
    </xf>
    <xf numFmtId="3" fontId="27" fillId="0" borderId="63" xfId="0" applyNumberFormat="1" applyFont="1" applyBorder="1" applyProtection="1">
      <protection locked="0"/>
    </xf>
    <xf numFmtId="3" fontId="27" fillId="0" borderId="64" xfId="0" applyNumberFormat="1" applyFont="1" applyBorder="1" applyProtection="1">
      <protection locked="0"/>
    </xf>
    <xf numFmtId="3" fontId="27" fillId="0" borderId="79" xfId="0" applyNumberFormat="1" applyFont="1" applyBorder="1" applyProtection="1">
      <protection locked="0"/>
    </xf>
    <xf numFmtId="6" fontId="37" fillId="0" borderId="5" xfId="0" applyNumberFormat="1" applyFont="1" applyBorder="1" applyAlignment="1" applyProtection="1">
      <alignment horizontal="center"/>
      <protection locked="0"/>
    </xf>
    <xf numFmtId="0" fontId="38" fillId="0" borderId="2" xfId="0" applyFont="1" applyBorder="1"/>
    <xf numFmtId="0" fontId="39" fillId="0" borderId="2" xfId="0" applyFont="1" applyBorder="1"/>
    <xf numFmtId="6" fontId="40" fillId="0" borderId="0" xfId="0" applyNumberFormat="1" applyFont="1"/>
    <xf numFmtId="0" fontId="40" fillId="0" borderId="0" xfId="0" applyFont="1"/>
    <xf numFmtId="0" fontId="40" fillId="0" borderId="8" xfId="0" applyFont="1" applyBorder="1"/>
    <xf numFmtId="164" fontId="40" fillId="0" borderId="2" xfId="0" applyNumberFormat="1" applyFont="1" applyBorder="1"/>
    <xf numFmtId="6" fontId="40" fillId="0" borderId="0" xfId="0" applyNumberFormat="1" applyFont="1" applyAlignment="1">
      <alignment horizontal="center"/>
    </xf>
    <xf numFmtId="6" fontId="40" fillId="0" borderId="8" xfId="0" applyNumberFormat="1" applyFont="1" applyBorder="1" applyAlignment="1">
      <alignment horizontal="center"/>
    </xf>
    <xf numFmtId="0" fontId="40" fillId="0" borderId="2" xfId="0" applyFont="1" applyBorder="1"/>
    <xf numFmtId="0" fontId="40" fillId="2" borderId="0" xfId="0" applyFont="1" applyFill="1"/>
    <xf numFmtId="164" fontId="41" fillId="2" borderId="0" xfId="1" applyNumberFormat="1" applyFont="1" applyFill="1" applyProtection="1"/>
    <xf numFmtId="164" fontId="40" fillId="2" borderId="0" xfId="1" applyNumberFormat="1" applyFont="1" applyFill="1" applyProtection="1"/>
    <xf numFmtId="164" fontId="41" fillId="2" borderId="0" xfId="1" applyNumberFormat="1" applyFont="1" applyFill="1" applyAlignment="1" applyProtection="1">
      <alignment horizontal="left"/>
    </xf>
    <xf numFmtId="10" fontId="41" fillId="2" borderId="0" xfId="3" applyNumberFormat="1" applyFont="1" applyFill="1" applyAlignment="1" applyProtection="1">
      <alignment horizontal="center"/>
    </xf>
    <xf numFmtId="166" fontId="40" fillId="2" borderId="0" xfId="2" applyNumberFormat="1" applyFont="1" applyFill="1" applyProtection="1"/>
    <xf numFmtId="17" fontId="41" fillId="3" borderId="15" xfId="1" applyNumberFormat="1" applyFont="1" applyFill="1" applyBorder="1" applyAlignment="1" applyProtection="1">
      <alignment horizontal="center"/>
    </xf>
    <xf numFmtId="164" fontId="39" fillId="3" borderId="1" xfId="1" applyNumberFormat="1" applyFont="1" applyFill="1" applyBorder="1" applyAlignment="1" applyProtection="1">
      <alignment horizontal="center"/>
    </xf>
    <xf numFmtId="164" fontId="41" fillId="3" borderId="7" xfId="1" applyNumberFormat="1" applyFont="1" applyFill="1" applyBorder="1" applyAlignment="1" applyProtection="1">
      <alignment horizontal="center"/>
    </xf>
    <xf numFmtId="164" fontId="41" fillId="3" borderId="1" xfId="1" applyNumberFormat="1" applyFont="1" applyFill="1" applyBorder="1" applyAlignment="1" applyProtection="1">
      <alignment horizontal="center"/>
    </xf>
    <xf numFmtId="10" fontId="41" fillId="3" borderId="1" xfId="3" applyNumberFormat="1" applyFont="1" applyFill="1" applyBorder="1" applyAlignment="1" applyProtection="1">
      <alignment horizontal="center"/>
    </xf>
    <xf numFmtId="10" fontId="41" fillId="3" borderId="7" xfId="3" applyNumberFormat="1" applyFont="1" applyFill="1" applyBorder="1" applyAlignment="1" applyProtection="1">
      <alignment horizontal="center"/>
    </xf>
    <xf numFmtId="166" fontId="41" fillId="3" borderId="7" xfId="2" applyNumberFormat="1" applyFont="1" applyFill="1" applyBorder="1" applyAlignment="1" applyProtection="1">
      <alignment horizontal="center"/>
    </xf>
    <xf numFmtId="167" fontId="40" fillId="2" borderId="0" xfId="2" applyFont="1" applyFill="1" applyProtection="1"/>
    <xf numFmtId="167" fontId="41" fillId="3" borderId="3" xfId="2" applyFont="1" applyFill="1" applyBorder="1" applyAlignment="1" applyProtection="1">
      <alignment horizontal="center"/>
    </xf>
    <xf numFmtId="170" fontId="41" fillId="3" borderId="8" xfId="2" applyNumberFormat="1" applyFont="1" applyFill="1" applyBorder="1" applyAlignment="1" applyProtection="1">
      <alignment horizontal="center"/>
    </xf>
    <xf numFmtId="170" fontId="41" fillId="3" borderId="3" xfId="2" applyNumberFormat="1" applyFont="1" applyFill="1" applyBorder="1" applyAlignment="1" applyProtection="1">
      <alignment horizontal="center"/>
    </xf>
    <xf numFmtId="167" fontId="41" fillId="3" borderId="8" xfId="2" applyFont="1" applyFill="1" applyBorder="1" applyAlignment="1" applyProtection="1">
      <alignment horizontal="center"/>
    </xf>
    <xf numFmtId="166" fontId="41" fillId="3" borderId="8" xfId="2" applyNumberFormat="1" applyFont="1" applyFill="1" applyBorder="1" applyAlignment="1" applyProtection="1">
      <alignment horizontal="center"/>
    </xf>
    <xf numFmtId="167" fontId="40" fillId="0" borderId="0" xfId="2" applyFont="1" applyProtection="1"/>
    <xf numFmtId="164" fontId="41" fillId="3" borderId="9" xfId="1" applyNumberFormat="1" applyFont="1" applyFill="1" applyBorder="1" applyAlignment="1" applyProtection="1">
      <alignment horizontal="center"/>
    </xf>
    <xf numFmtId="164" fontId="41" fillId="3" borderId="14" xfId="1" applyNumberFormat="1" applyFont="1" applyFill="1" applyBorder="1" applyAlignment="1" applyProtection="1">
      <alignment horizontal="center"/>
    </xf>
    <xf numFmtId="170" fontId="41" fillId="3" borderId="9" xfId="2" applyNumberFormat="1" applyFont="1" applyFill="1" applyBorder="1" applyAlignment="1" applyProtection="1">
      <alignment horizontal="center"/>
    </xf>
    <xf numFmtId="10" fontId="41" fillId="3" borderId="9" xfId="3" applyNumberFormat="1" applyFont="1" applyFill="1" applyBorder="1" applyAlignment="1" applyProtection="1">
      <alignment horizontal="center"/>
    </xf>
    <xf numFmtId="10" fontId="41" fillId="3" borderId="14" xfId="3" applyNumberFormat="1" applyFont="1" applyFill="1" applyBorder="1" applyAlignment="1" applyProtection="1">
      <alignment horizontal="center"/>
    </xf>
    <xf numFmtId="166" fontId="41" fillId="3" borderId="14" xfId="2" applyNumberFormat="1" applyFont="1" applyFill="1" applyBorder="1" applyAlignment="1" applyProtection="1">
      <alignment horizontal="center"/>
    </xf>
    <xf numFmtId="164" fontId="40" fillId="0" borderId="4" xfId="1" applyNumberFormat="1" applyFont="1" applyBorder="1" applyAlignment="1" applyProtection="1">
      <alignment horizontal="left"/>
    </xf>
    <xf numFmtId="164" fontId="40" fillId="0" borderId="57" xfId="1" applyNumberFormat="1" applyFont="1" applyBorder="1" applyAlignment="1" applyProtection="1">
      <alignment horizontal="right"/>
    </xf>
    <xf numFmtId="164" fontId="40" fillId="0" borderId="32" xfId="1" applyNumberFormat="1" applyFont="1" applyBorder="1" applyAlignment="1" applyProtection="1">
      <alignment horizontal="right"/>
    </xf>
    <xf numFmtId="164" fontId="41" fillId="0" borderId="49" xfId="1" applyNumberFormat="1" applyFont="1" applyBorder="1" applyAlignment="1" applyProtection="1">
      <alignment horizontal="right"/>
    </xf>
    <xf numFmtId="164" fontId="40" fillId="0" borderId="30" xfId="1" applyNumberFormat="1" applyFont="1" applyBorder="1" applyAlignment="1" applyProtection="1">
      <alignment horizontal="right"/>
    </xf>
    <xf numFmtId="164" fontId="40" fillId="0" borderId="31" xfId="1" applyNumberFormat="1" applyFont="1" applyBorder="1" applyAlignment="1" applyProtection="1">
      <alignment horizontal="right"/>
    </xf>
    <xf numFmtId="164" fontId="41" fillId="0" borderId="26" xfId="1" applyNumberFormat="1" applyFont="1" applyBorder="1" applyAlignment="1" applyProtection="1">
      <alignment horizontal="right"/>
    </xf>
    <xf numFmtId="10" fontId="41" fillId="0" borderId="49" xfId="3" applyNumberFormat="1" applyFont="1" applyBorder="1" applyAlignment="1" applyProtection="1">
      <alignment horizontal="center"/>
    </xf>
    <xf numFmtId="172" fontId="41" fillId="0" borderId="73" xfId="5" applyNumberFormat="1" applyFont="1" applyBorder="1" applyAlignment="1" applyProtection="1">
      <alignment horizontal="right"/>
    </xf>
    <xf numFmtId="164" fontId="43" fillId="2" borderId="0" xfId="1" applyNumberFormat="1" applyFont="1" applyFill="1" applyBorder="1" applyAlignment="1" applyProtection="1">
      <alignment horizontal="right"/>
    </xf>
    <xf numFmtId="164" fontId="40" fillId="0" borderId="2" xfId="1" applyNumberFormat="1" applyFont="1" applyBorder="1" applyAlignment="1" applyProtection="1">
      <alignment horizontal="left"/>
    </xf>
    <xf numFmtId="164" fontId="40" fillId="0" borderId="58" xfId="1" applyNumberFormat="1" applyFont="1" applyBorder="1" applyAlignment="1" applyProtection="1">
      <alignment horizontal="right"/>
    </xf>
    <xf numFmtId="164" fontId="40" fillId="0" borderId="35" xfId="1" applyNumberFormat="1" applyFont="1" applyBorder="1" applyAlignment="1" applyProtection="1">
      <alignment horizontal="right"/>
    </xf>
    <xf numFmtId="164" fontId="41" fillId="0" borderId="50" xfId="1" applyNumberFormat="1" applyFont="1" applyBorder="1" applyAlignment="1" applyProtection="1">
      <alignment horizontal="right"/>
    </xf>
    <xf numFmtId="164" fontId="40" fillId="0" borderId="33" xfId="1" applyNumberFormat="1" applyFont="1" applyBorder="1" applyAlignment="1" applyProtection="1">
      <alignment horizontal="right"/>
    </xf>
    <xf numFmtId="164" fontId="40" fillId="0" borderId="34" xfId="1" applyNumberFormat="1" applyFont="1" applyBorder="1" applyAlignment="1" applyProtection="1">
      <alignment horizontal="right"/>
    </xf>
    <xf numFmtId="164" fontId="41" fillId="0" borderId="28" xfId="1" applyNumberFormat="1" applyFont="1" applyBorder="1" applyAlignment="1" applyProtection="1">
      <alignment horizontal="right"/>
    </xf>
    <xf numFmtId="10" fontId="41" fillId="0" borderId="50" xfId="3" applyNumberFormat="1" applyFont="1" applyBorder="1" applyAlignment="1" applyProtection="1">
      <alignment horizontal="center"/>
    </xf>
    <xf numFmtId="172" fontId="41" fillId="0" borderId="29" xfId="5" applyNumberFormat="1" applyFont="1" applyBorder="1" applyAlignment="1" applyProtection="1">
      <alignment horizontal="right"/>
    </xf>
    <xf numFmtId="164" fontId="43" fillId="2" borderId="0" xfId="1" applyNumberFormat="1" applyFont="1" applyFill="1" applyBorder="1" applyAlignment="1" applyProtection="1">
      <alignment horizontal="left"/>
    </xf>
    <xf numFmtId="164" fontId="40" fillId="0" borderId="85" xfId="1" applyNumberFormat="1" applyFont="1" applyBorder="1" applyAlignment="1" applyProtection="1">
      <alignment horizontal="right"/>
    </xf>
    <xf numFmtId="164" fontId="40" fillId="0" borderId="61" xfId="1" applyNumberFormat="1" applyFont="1" applyBorder="1" applyAlignment="1" applyProtection="1">
      <alignment horizontal="right"/>
    </xf>
    <xf numFmtId="164" fontId="41" fillId="0" borderId="62" xfId="1" applyNumberFormat="1" applyFont="1" applyBorder="1" applyAlignment="1" applyProtection="1">
      <alignment horizontal="right"/>
    </xf>
    <xf numFmtId="164" fontId="40" fillId="0" borderId="63" xfId="1" applyNumberFormat="1" applyFont="1" applyBorder="1" applyAlignment="1" applyProtection="1">
      <alignment horizontal="right"/>
    </xf>
    <xf numFmtId="164" fontId="40" fillId="0" borderId="64" xfId="1" applyNumberFormat="1" applyFont="1" applyBorder="1" applyAlignment="1" applyProtection="1">
      <alignment horizontal="right"/>
    </xf>
    <xf numFmtId="164" fontId="41" fillId="0" borderId="54" xfId="1" applyNumberFormat="1" applyFont="1" applyBorder="1" applyAlignment="1" applyProtection="1">
      <alignment horizontal="right"/>
    </xf>
    <xf numFmtId="164" fontId="41" fillId="0" borderId="55" xfId="1" applyNumberFormat="1" applyFont="1" applyBorder="1" applyAlignment="1" applyProtection="1">
      <alignment horizontal="right"/>
    </xf>
    <xf numFmtId="10" fontId="41" fillId="0" borderId="54" xfId="3" applyNumberFormat="1" applyFont="1" applyBorder="1" applyAlignment="1" applyProtection="1">
      <alignment horizontal="center"/>
    </xf>
    <xf numFmtId="172" fontId="41" fillId="0" borderId="56" xfId="5" applyNumberFormat="1" applyFont="1" applyBorder="1" applyAlignment="1" applyProtection="1">
      <alignment horizontal="right"/>
    </xf>
    <xf numFmtId="165" fontId="41" fillId="2" borderId="22" xfId="1" applyFont="1" applyFill="1" applyBorder="1" applyAlignment="1" applyProtection="1">
      <alignment horizontal="left"/>
    </xf>
    <xf numFmtId="164" fontId="40" fillId="0" borderId="65" xfId="1" applyNumberFormat="1" applyFont="1" applyBorder="1" applyAlignment="1" applyProtection="1">
      <alignment horizontal="right"/>
    </xf>
    <xf numFmtId="164" fontId="40" fillId="0" borderId="66" xfId="1" applyNumberFormat="1" applyFont="1" applyBorder="1" applyAlignment="1" applyProtection="1">
      <alignment horizontal="right"/>
    </xf>
    <xf numFmtId="164" fontId="41" fillId="0" borderId="59" xfId="1" applyNumberFormat="1" applyFont="1" applyBorder="1" applyAlignment="1" applyProtection="1">
      <alignment horizontal="right"/>
    </xf>
    <xf numFmtId="164" fontId="40" fillId="0" borderId="67" xfId="1" applyNumberFormat="1" applyFont="1" applyBorder="1" applyAlignment="1" applyProtection="1">
      <alignment horizontal="right"/>
    </xf>
    <xf numFmtId="164" fontId="40" fillId="0" borderId="68" xfId="1" applyNumberFormat="1" applyFont="1" applyBorder="1" applyAlignment="1" applyProtection="1">
      <alignment horizontal="right"/>
    </xf>
    <xf numFmtId="164" fontId="41" fillId="0" borderId="9" xfId="1" applyNumberFormat="1" applyFont="1" applyBorder="1" applyAlignment="1" applyProtection="1">
      <alignment horizontal="right"/>
    </xf>
    <xf numFmtId="164" fontId="41" fillId="0" borderId="4" xfId="1" applyNumberFormat="1" applyFont="1" applyBorder="1" applyAlignment="1" applyProtection="1">
      <alignment horizontal="left"/>
    </xf>
    <xf numFmtId="164" fontId="41" fillId="0" borderId="48" xfId="1" applyNumberFormat="1" applyFont="1" applyBorder="1" applyAlignment="1" applyProtection="1">
      <alignment horizontal="right"/>
    </xf>
    <xf numFmtId="164" fontId="41" fillId="0" borderId="41" xfId="1" applyNumberFormat="1" applyFont="1" applyBorder="1" applyAlignment="1" applyProtection="1">
      <alignment horizontal="right"/>
    </xf>
    <xf numFmtId="164" fontId="41" fillId="0" borderId="1" xfId="1" applyNumberFormat="1" applyFont="1" applyBorder="1" applyAlignment="1" applyProtection="1">
      <alignment horizontal="right"/>
    </xf>
    <xf numFmtId="164" fontId="41" fillId="0" borderId="39" xfId="1" applyNumberFormat="1" applyFont="1" applyBorder="1" applyAlignment="1" applyProtection="1">
      <alignment horizontal="right"/>
    </xf>
    <xf numFmtId="164" fontId="41" fillId="0" borderId="40" xfId="1" applyNumberFormat="1" applyFont="1" applyBorder="1" applyAlignment="1" applyProtection="1">
      <alignment horizontal="right"/>
    </xf>
    <xf numFmtId="164" fontId="41" fillId="0" borderId="5" xfId="1" applyNumberFormat="1" applyFont="1" applyBorder="1" applyAlignment="1" applyProtection="1">
      <alignment horizontal="right"/>
    </xf>
    <xf numFmtId="10" fontId="41" fillId="0" borderId="1" xfId="3" applyNumberFormat="1" applyFont="1" applyBorder="1" applyAlignment="1" applyProtection="1">
      <alignment horizontal="center"/>
    </xf>
    <xf numFmtId="172" fontId="41" fillId="0" borderId="1" xfId="5" applyNumberFormat="1" applyFont="1" applyBorder="1" applyAlignment="1" applyProtection="1">
      <alignment horizontal="right"/>
    </xf>
    <xf numFmtId="164" fontId="40" fillId="0" borderId="0" xfId="1" applyNumberFormat="1" applyFont="1" applyBorder="1" applyAlignment="1" applyProtection="1">
      <alignment horizontal="right"/>
    </xf>
    <xf numFmtId="164" fontId="40" fillId="0" borderId="8" xfId="1" applyNumberFormat="1" applyFont="1" applyBorder="1" applyAlignment="1" applyProtection="1">
      <alignment horizontal="right"/>
    </xf>
    <xf numFmtId="164" fontId="41" fillId="0" borderId="3" xfId="1" applyNumberFormat="1" applyFont="1" applyBorder="1" applyAlignment="1" applyProtection="1">
      <alignment horizontal="right"/>
    </xf>
    <xf numFmtId="164" fontId="40" fillId="0" borderId="2" xfId="1" applyNumberFormat="1" applyFont="1" applyBorder="1" applyAlignment="1" applyProtection="1">
      <alignment horizontal="right"/>
    </xf>
    <xf numFmtId="164" fontId="41" fillId="0" borderId="0" xfId="1" applyNumberFormat="1" applyFont="1" applyBorder="1" applyAlignment="1" applyProtection="1">
      <alignment horizontal="right"/>
    </xf>
    <xf numFmtId="10" fontId="41" fillId="0" borderId="3" xfId="3" applyNumberFormat="1" applyFont="1" applyBorder="1" applyAlignment="1" applyProtection="1">
      <alignment horizontal="center"/>
    </xf>
    <xf numFmtId="172" fontId="41" fillId="0" borderId="3" xfId="5" applyNumberFormat="1" applyFont="1" applyBorder="1" applyAlignment="1" applyProtection="1">
      <alignment horizontal="right"/>
    </xf>
    <xf numFmtId="164" fontId="40" fillId="0" borderId="69" xfId="1" applyNumberFormat="1" applyFont="1" applyBorder="1" applyAlignment="1" applyProtection="1">
      <alignment horizontal="right"/>
    </xf>
    <xf numFmtId="164" fontId="40" fillId="0" borderId="52" xfId="1" applyNumberFormat="1" applyFont="1" applyBorder="1" applyAlignment="1" applyProtection="1">
      <alignment horizontal="right"/>
    </xf>
    <xf numFmtId="164" fontId="40" fillId="0" borderId="42" xfId="1" applyNumberFormat="1" applyFont="1" applyBorder="1" applyAlignment="1" applyProtection="1">
      <alignment horizontal="right"/>
    </xf>
    <xf numFmtId="172" fontId="41" fillId="0" borderId="8" xfId="5" applyNumberFormat="1" applyFont="1" applyBorder="1" applyAlignment="1" applyProtection="1">
      <alignment horizontal="right"/>
    </xf>
    <xf numFmtId="164" fontId="43" fillId="0" borderId="2" xfId="1" applyNumberFormat="1" applyFont="1" applyBorder="1" applyAlignment="1" applyProtection="1">
      <alignment horizontal="left"/>
    </xf>
    <xf numFmtId="164" fontId="43" fillId="0" borderId="6" xfId="1" applyNumberFormat="1" applyFont="1" applyBorder="1" applyAlignment="1" applyProtection="1">
      <alignment horizontal="right"/>
    </xf>
    <xf numFmtId="164" fontId="43" fillId="0" borderId="14" xfId="1" applyNumberFormat="1" applyFont="1" applyBorder="1" applyAlignment="1" applyProtection="1">
      <alignment horizontal="right"/>
    </xf>
    <xf numFmtId="164" fontId="43" fillId="0" borderId="13" xfId="1" applyNumberFormat="1" applyFont="1" applyBorder="1" applyAlignment="1" applyProtection="1">
      <alignment horizontal="right"/>
    </xf>
    <xf numFmtId="164" fontId="41" fillId="0" borderId="6" xfId="1" applyNumberFormat="1" applyFont="1" applyBorder="1" applyAlignment="1" applyProtection="1">
      <alignment horizontal="right"/>
    </xf>
    <xf numFmtId="172" fontId="41" fillId="0" borderId="9" xfId="5" applyNumberFormat="1" applyFont="1" applyBorder="1" applyAlignment="1" applyProtection="1">
      <alignment horizontal="right"/>
    </xf>
    <xf numFmtId="164" fontId="41" fillId="0" borderId="4" xfId="1" applyNumberFormat="1" applyFont="1" applyBorder="1" applyAlignment="1" applyProtection="1"/>
    <xf numFmtId="164" fontId="40" fillId="0" borderId="6" xfId="1" applyNumberFormat="1" applyFont="1" applyBorder="1" applyAlignment="1" applyProtection="1">
      <alignment horizontal="right"/>
    </xf>
    <xf numFmtId="164" fontId="40" fillId="0" borderId="14" xfId="1" applyNumberFormat="1" applyFont="1" applyBorder="1" applyAlignment="1" applyProtection="1">
      <alignment horizontal="right"/>
    </xf>
    <xf numFmtId="164" fontId="40" fillId="0" borderId="13" xfId="1" applyNumberFormat="1" applyFont="1" applyBorder="1" applyAlignment="1" applyProtection="1">
      <alignment horizontal="right"/>
    </xf>
    <xf numFmtId="164" fontId="41" fillId="0" borderId="10" xfId="1" applyNumberFormat="1" applyFont="1" applyFill="1" applyBorder="1" applyAlignment="1" applyProtection="1">
      <alignment horizontal="left"/>
    </xf>
    <xf numFmtId="164" fontId="41" fillId="0" borderId="47" xfId="1" applyNumberFormat="1" applyFont="1" applyFill="1" applyBorder="1" applyAlignment="1" applyProtection="1">
      <alignment horizontal="right"/>
    </xf>
    <xf numFmtId="164" fontId="41" fillId="0" borderId="46" xfId="1" applyNumberFormat="1" applyFont="1" applyFill="1" applyBorder="1" applyAlignment="1" applyProtection="1">
      <alignment horizontal="right"/>
    </xf>
    <xf numFmtId="164" fontId="41" fillId="0" borderId="15" xfId="1" applyNumberFormat="1" applyFont="1" applyFill="1" applyBorder="1" applyAlignment="1" applyProtection="1">
      <alignment horizontal="right"/>
    </xf>
    <xf numFmtId="164" fontId="41" fillId="0" borderId="44" xfId="1" applyNumberFormat="1" applyFont="1" applyFill="1" applyBorder="1" applyAlignment="1" applyProtection="1">
      <alignment horizontal="right"/>
    </xf>
    <xf numFmtId="164" fontId="41" fillId="0" borderId="45" xfId="1" applyNumberFormat="1" applyFont="1" applyFill="1" applyBorder="1" applyAlignment="1" applyProtection="1">
      <alignment horizontal="right"/>
    </xf>
    <xf numFmtId="164" fontId="41" fillId="0" borderId="11" xfId="1" applyNumberFormat="1" applyFont="1" applyFill="1" applyBorder="1" applyAlignment="1" applyProtection="1">
      <alignment horizontal="right"/>
    </xf>
    <xf numFmtId="10" fontId="41" fillId="0" borderId="15" xfId="3" applyNumberFormat="1" applyFont="1" applyFill="1" applyBorder="1" applyAlignment="1" applyProtection="1">
      <alignment horizontal="center"/>
    </xf>
    <xf numFmtId="172" fontId="41" fillId="0" borderId="12" xfId="5" applyNumberFormat="1" applyFont="1" applyFill="1" applyBorder="1" applyAlignment="1" applyProtection="1">
      <alignment horizontal="right"/>
    </xf>
    <xf numFmtId="164" fontId="41" fillId="0" borderId="0" xfId="1" applyNumberFormat="1" applyFont="1" applyFill="1" applyBorder="1" applyAlignment="1" applyProtection="1">
      <alignment horizontal="left"/>
    </xf>
    <xf numFmtId="169" fontId="41" fillId="0" borderId="0" xfId="2" applyNumberFormat="1" applyFont="1" applyFill="1" applyBorder="1" applyAlignment="1" applyProtection="1">
      <alignment horizontal="right"/>
    </xf>
    <xf numFmtId="169" fontId="41" fillId="0" borderId="0" xfId="1" applyNumberFormat="1" applyFont="1" applyFill="1" applyBorder="1" applyAlignment="1" applyProtection="1">
      <alignment horizontal="right"/>
    </xf>
    <xf numFmtId="172" fontId="41" fillId="0" borderId="0" xfId="5" applyNumberFormat="1" applyFont="1" applyFill="1" applyBorder="1" applyAlignment="1" applyProtection="1">
      <alignment horizontal="right"/>
    </xf>
    <xf numFmtId="164" fontId="41" fillId="0" borderId="0" xfId="1" applyNumberFormat="1" applyFont="1" applyFill="1" applyBorder="1" applyAlignment="1" applyProtection="1">
      <alignment horizontal="right"/>
    </xf>
    <xf numFmtId="10" fontId="41" fillId="0" borderId="0" xfId="3" applyNumberFormat="1" applyFont="1" applyFill="1" applyBorder="1" applyAlignment="1" applyProtection="1">
      <alignment horizontal="center"/>
    </xf>
    <xf numFmtId="172" fontId="40" fillId="0" borderId="0" xfId="5" applyNumberFormat="1" applyFont="1" applyProtection="1"/>
    <xf numFmtId="172" fontId="40" fillId="0" borderId="57" xfId="5" applyNumberFormat="1" applyFont="1" applyBorder="1" applyAlignment="1" applyProtection="1">
      <alignment horizontal="right"/>
    </xf>
    <xf numFmtId="172" fontId="41" fillId="0" borderId="49" xfId="5" applyNumberFormat="1" applyFont="1" applyBorder="1" applyAlignment="1" applyProtection="1">
      <alignment horizontal="right"/>
    </xf>
    <xf numFmtId="172" fontId="40" fillId="0" borderId="30" xfId="5" applyNumberFormat="1" applyFont="1" applyBorder="1" applyAlignment="1" applyProtection="1">
      <alignment horizontal="right"/>
    </xf>
    <xf numFmtId="172" fontId="40" fillId="0" borderId="31" xfId="5" applyNumberFormat="1" applyFont="1" applyBorder="1" applyAlignment="1" applyProtection="1">
      <alignment horizontal="right"/>
    </xf>
    <xf numFmtId="172" fontId="40" fillId="0" borderId="32" xfId="5" applyNumberFormat="1" applyFont="1" applyBorder="1" applyAlignment="1" applyProtection="1">
      <alignment horizontal="right"/>
    </xf>
    <xf numFmtId="172" fontId="40" fillId="0" borderId="58" xfId="5" applyNumberFormat="1" applyFont="1" applyBorder="1" applyAlignment="1" applyProtection="1">
      <alignment horizontal="right"/>
    </xf>
    <xf numFmtId="172" fontId="41" fillId="0" borderId="50" xfId="5" applyNumberFormat="1" applyFont="1" applyBorder="1" applyAlignment="1" applyProtection="1">
      <alignment horizontal="right"/>
    </xf>
    <xf numFmtId="172" fontId="40" fillId="0" borderId="33" xfId="5" applyNumberFormat="1" applyFont="1" applyBorder="1" applyAlignment="1" applyProtection="1">
      <alignment horizontal="right"/>
    </xf>
    <xf numFmtId="172" fontId="40" fillId="0" borderId="34" xfId="5" applyNumberFormat="1" applyFont="1" applyBorder="1" applyAlignment="1" applyProtection="1">
      <alignment horizontal="right"/>
    </xf>
    <xf numFmtId="172" fontId="40" fillId="0" borderId="35" xfId="5" applyNumberFormat="1" applyFont="1" applyBorder="1" applyAlignment="1" applyProtection="1">
      <alignment horizontal="right"/>
    </xf>
    <xf numFmtId="172" fontId="40" fillId="0" borderId="60" xfId="5" applyNumberFormat="1" applyFont="1" applyBorder="1" applyAlignment="1" applyProtection="1">
      <alignment horizontal="right"/>
    </xf>
    <xf numFmtId="172" fontId="41" fillId="0" borderId="62" xfId="5" applyNumberFormat="1" applyFont="1" applyBorder="1" applyAlignment="1" applyProtection="1">
      <alignment horizontal="right"/>
    </xf>
    <xf numFmtId="172" fontId="40" fillId="0" borderId="63" xfId="5" applyNumberFormat="1" applyFont="1" applyBorder="1" applyAlignment="1" applyProtection="1">
      <alignment horizontal="right"/>
    </xf>
    <xf numFmtId="172" fontId="40" fillId="0" borderId="64" xfId="5" applyNumberFormat="1" applyFont="1" applyBorder="1" applyAlignment="1" applyProtection="1">
      <alignment horizontal="right"/>
    </xf>
    <xf numFmtId="172" fontId="40" fillId="0" borderId="61" xfId="5" applyNumberFormat="1" applyFont="1" applyBorder="1" applyAlignment="1" applyProtection="1">
      <alignment horizontal="right"/>
    </xf>
    <xf numFmtId="172" fontId="41" fillId="0" borderId="54" xfId="5" applyNumberFormat="1" applyFont="1" applyBorder="1" applyAlignment="1" applyProtection="1">
      <alignment horizontal="right"/>
    </xf>
    <xf numFmtId="172" fontId="41" fillId="0" borderId="74" xfId="5" applyNumberFormat="1" applyFont="1" applyBorder="1" applyAlignment="1" applyProtection="1">
      <alignment horizontal="right"/>
    </xf>
    <xf numFmtId="172" fontId="40" fillId="0" borderId="65" xfId="5" applyNumberFormat="1" applyFont="1" applyBorder="1" applyAlignment="1" applyProtection="1">
      <alignment horizontal="right"/>
    </xf>
    <xf numFmtId="172" fontId="40" fillId="0" borderId="66" xfId="5" applyNumberFormat="1" applyFont="1" applyBorder="1" applyProtection="1"/>
    <xf numFmtId="172" fontId="41" fillId="0" borderId="59" xfId="5" applyNumberFormat="1" applyFont="1" applyBorder="1" applyAlignment="1" applyProtection="1">
      <alignment horizontal="right"/>
    </xf>
    <xf numFmtId="172" fontId="40" fillId="0" borderId="67" xfId="5" applyNumberFormat="1" applyFont="1" applyBorder="1" applyAlignment="1" applyProtection="1">
      <alignment horizontal="right"/>
    </xf>
    <xf numFmtId="172" fontId="40" fillId="0" borderId="68" xfId="5" applyNumberFormat="1" applyFont="1" applyBorder="1" applyAlignment="1" applyProtection="1">
      <alignment horizontal="right"/>
    </xf>
    <xf numFmtId="172" fontId="40" fillId="0" borderId="66" xfId="5" applyNumberFormat="1" applyFont="1" applyBorder="1" applyAlignment="1" applyProtection="1">
      <alignment horizontal="right"/>
    </xf>
    <xf numFmtId="172" fontId="41" fillId="0" borderId="48" xfId="5" applyNumberFormat="1" applyFont="1" applyBorder="1" applyAlignment="1" applyProtection="1">
      <alignment horizontal="right"/>
    </xf>
    <xf numFmtId="172" fontId="41" fillId="0" borderId="41" xfId="5" applyNumberFormat="1" applyFont="1" applyBorder="1" applyAlignment="1" applyProtection="1">
      <alignment horizontal="right"/>
    </xf>
    <xf numFmtId="172" fontId="41" fillId="0" borderId="39" xfId="5" applyNumberFormat="1" applyFont="1" applyBorder="1" applyAlignment="1" applyProtection="1">
      <alignment horizontal="right"/>
    </xf>
    <xf numFmtId="172" fontId="41" fillId="0" borderId="40" xfId="5" applyNumberFormat="1" applyFont="1" applyBorder="1" applyAlignment="1" applyProtection="1">
      <alignment horizontal="right"/>
    </xf>
    <xf numFmtId="172" fontId="40" fillId="0" borderId="0" xfId="5" applyNumberFormat="1" applyFont="1" applyBorder="1" applyAlignment="1" applyProtection="1">
      <alignment horizontal="right"/>
    </xf>
    <xf numFmtId="172" fontId="40" fillId="0" borderId="8" xfId="5" applyNumberFormat="1" applyFont="1" applyBorder="1" applyAlignment="1" applyProtection="1">
      <alignment horizontal="right"/>
    </xf>
    <xf numFmtId="172" fontId="40" fillId="0" borderId="69" xfId="5" applyNumberFormat="1" applyFont="1" applyBorder="1" applyAlignment="1" applyProtection="1">
      <alignment horizontal="right"/>
    </xf>
    <xf numFmtId="172" fontId="40" fillId="0" borderId="52" xfId="5" applyNumberFormat="1" applyFont="1" applyBorder="1" applyAlignment="1" applyProtection="1">
      <alignment horizontal="right"/>
    </xf>
    <xf numFmtId="172" fontId="40" fillId="0" borderId="42" xfId="5" applyNumberFormat="1" applyFont="1" applyBorder="1" applyAlignment="1" applyProtection="1">
      <alignment horizontal="right"/>
    </xf>
    <xf numFmtId="172" fontId="43" fillId="0" borderId="6" xfId="5" applyNumberFormat="1" applyFont="1" applyBorder="1" applyAlignment="1" applyProtection="1">
      <alignment horizontal="right"/>
    </xf>
    <xf numFmtId="172" fontId="43" fillId="0" borderId="14" xfId="5" applyNumberFormat="1" applyFont="1" applyBorder="1" applyAlignment="1" applyProtection="1">
      <alignment horizontal="right"/>
    </xf>
    <xf numFmtId="172" fontId="43" fillId="0" borderId="13" xfId="5" applyNumberFormat="1" applyFont="1" applyBorder="1" applyAlignment="1" applyProtection="1">
      <alignment horizontal="right"/>
    </xf>
    <xf numFmtId="172" fontId="40" fillId="0" borderId="6" xfId="5" applyNumberFormat="1" applyFont="1" applyBorder="1" applyAlignment="1" applyProtection="1">
      <alignment horizontal="right"/>
    </xf>
    <xf numFmtId="172" fontId="40" fillId="0" borderId="14" xfId="5" applyNumberFormat="1" applyFont="1" applyBorder="1" applyAlignment="1" applyProtection="1">
      <alignment horizontal="right"/>
    </xf>
    <xf numFmtId="172" fontId="41" fillId="0" borderId="47" xfId="5" applyNumberFormat="1" applyFont="1" applyFill="1" applyBorder="1" applyAlignment="1" applyProtection="1">
      <alignment horizontal="right"/>
    </xf>
    <xf numFmtId="172" fontId="41" fillId="0" borderId="46" xfId="5" applyNumberFormat="1" applyFont="1" applyFill="1" applyBorder="1" applyAlignment="1" applyProtection="1">
      <alignment horizontal="right"/>
    </xf>
    <xf numFmtId="172" fontId="41" fillId="0" borderId="15" xfId="5" applyNumberFormat="1" applyFont="1" applyFill="1" applyBorder="1" applyAlignment="1" applyProtection="1">
      <alignment horizontal="right"/>
    </xf>
    <xf numFmtId="172" fontId="41" fillId="0" borderId="11" xfId="5" applyNumberFormat="1" applyFont="1" applyFill="1" applyBorder="1" applyAlignment="1" applyProtection="1">
      <alignment horizontal="right"/>
    </xf>
    <xf numFmtId="172" fontId="41" fillId="0" borderId="45" xfId="5" applyNumberFormat="1" applyFont="1" applyFill="1" applyBorder="1" applyAlignment="1" applyProtection="1">
      <alignment horizontal="right"/>
    </xf>
    <xf numFmtId="0" fontId="40" fillId="2" borderId="8" xfId="0" applyFont="1" applyFill="1" applyBorder="1"/>
    <xf numFmtId="164" fontId="41" fillId="3" borderId="10" xfId="1" applyNumberFormat="1" applyFont="1" applyFill="1" applyBorder="1" applyAlignment="1" applyProtection="1">
      <alignment horizontal="left"/>
    </xf>
    <xf numFmtId="169" fontId="41" fillId="3" borderId="12" xfId="2" applyNumberFormat="1" applyFont="1" applyFill="1" applyBorder="1" applyAlignment="1" applyProtection="1">
      <alignment horizontal="right"/>
    </xf>
    <xf numFmtId="172" fontId="41" fillId="0" borderId="44" xfId="5" applyNumberFormat="1" applyFont="1" applyFill="1" applyBorder="1" applyAlignment="1" applyProtection="1">
      <alignment horizontal="right"/>
    </xf>
    <xf numFmtId="164" fontId="41" fillId="4" borderId="4" xfId="0" applyNumberFormat="1" applyFont="1" applyFill="1" applyBorder="1" applyAlignment="1">
      <alignment horizontal="left"/>
    </xf>
    <xf numFmtId="0" fontId="41" fillId="4" borderId="11" xfId="0" applyFont="1" applyFill="1" applyBorder="1"/>
    <xf numFmtId="172" fontId="41" fillId="4" borderId="12" xfId="5" applyNumberFormat="1" applyFont="1" applyFill="1" applyBorder="1" applyProtection="1"/>
    <xf numFmtId="165" fontId="41" fillId="3" borderId="4" xfId="1" applyFont="1" applyFill="1" applyBorder="1" applyAlignment="1" applyProtection="1">
      <alignment horizontal="left"/>
    </xf>
    <xf numFmtId="165" fontId="41" fillId="3" borderId="7" xfId="1" applyFont="1" applyFill="1" applyBorder="1" applyAlignment="1" applyProtection="1">
      <alignment horizontal="left"/>
    </xf>
    <xf numFmtId="178" fontId="40" fillId="0" borderId="30" xfId="0" applyNumberFormat="1" applyFont="1" applyBorder="1" applyAlignment="1">
      <alignment horizontal="center"/>
    </xf>
    <xf numFmtId="178" fontId="40" fillId="0" borderId="31" xfId="0" applyNumberFormat="1" applyFont="1" applyBorder="1" applyAlignment="1">
      <alignment horizontal="center"/>
    </xf>
    <xf numFmtId="178" fontId="40" fillId="0" borderId="31" xfId="1" applyNumberFormat="1" applyFont="1" applyFill="1" applyBorder="1" applyAlignment="1" applyProtection="1">
      <alignment horizontal="center"/>
    </xf>
    <xf numFmtId="178" fontId="40" fillId="0" borderId="32" xfId="1" applyNumberFormat="1" applyFont="1" applyFill="1" applyBorder="1" applyAlignment="1" applyProtection="1">
      <alignment horizontal="center"/>
    </xf>
    <xf numFmtId="0" fontId="41" fillId="4" borderId="5" xfId="2" applyNumberFormat="1" applyFont="1" applyFill="1" applyBorder="1" applyAlignment="1" applyProtection="1"/>
    <xf numFmtId="166" fontId="41" fillId="4" borderId="5" xfId="2" applyNumberFormat="1" applyFont="1" applyFill="1" applyBorder="1" applyAlignment="1" applyProtection="1"/>
    <xf numFmtId="172" fontId="41" fillId="4" borderId="7" xfId="5" applyNumberFormat="1" applyFont="1" applyFill="1" applyBorder="1" applyAlignment="1" applyProtection="1">
      <alignment horizontal="center"/>
    </xf>
    <xf numFmtId="165" fontId="41" fillId="3" borderId="2" xfId="1" applyFont="1" applyFill="1" applyBorder="1" applyAlignment="1" applyProtection="1">
      <alignment horizontal="left"/>
    </xf>
    <xf numFmtId="165" fontId="41" fillId="3" borderId="8" xfId="1" applyFont="1" applyFill="1" applyBorder="1" applyAlignment="1" applyProtection="1">
      <alignment horizontal="left"/>
    </xf>
    <xf numFmtId="178" fontId="40" fillId="0" borderId="33" xfId="0" applyNumberFormat="1" applyFont="1" applyBorder="1" applyAlignment="1">
      <alignment horizontal="center"/>
    </xf>
    <xf numFmtId="178" fontId="40" fillId="0" borderId="34" xfId="0" applyNumberFormat="1" applyFont="1" applyBorder="1" applyAlignment="1">
      <alignment horizontal="center"/>
    </xf>
    <xf numFmtId="178" fontId="40" fillId="0" borderId="34" xfId="1" applyNumberFormat="1" applyFont="1" applyFill="1" applyBorder="1" applyAlignment="1" applyProtection="1">
      <alignment horizontal="center"/>
    </xf>
    <xf numFmtId="178" fontId="40" fillId="0" borderId="35" xfId="1" applyNumberFormat="1" applyFont="1" applyFill="1" applyBorder="1" applyAlignment="1" applyProtection="1">
      <alignment horizontal="center"/>
    </xf>
    <xf numFmtId="164" fontId="41" fillId="4" borderId="13" xfId="0" applyNumberFormat="1" applyFont="1" applyFill="1" applyBorder="1" applyAlignment="1">
      <alignment horizontal="left"/>
    </xf>
    <xf numFmtId="173" fontId="41" fillId="4" borderId="6" xfId="5" applyNumberFormat="1" applyFont="1" applyFill="1" applyBorder="1" applyAlignment="1" applyProtection="1">
      <alignment horizontal="left"/>
    </xf>
    <xf numFmtId="0" fontId="41" fillId="4" borderId="6" xfId="0" applyFont="1" applyFill="1" applyBorder="1" applyAlignment="1">
      <alignment horizontal="left"/>
    </xf>
    <xf numFmtId="0" fontId="41" fillId="4" borderId="14" xfId="0" applyFont="1" applyFill="1" applyBorder="1" applyAlignment="1">
      <alignment horizontal="left"/>
    </xf>
    <xf numFmtId="0" fontId="40" fillId="0" borderId="5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42" xfId="1" applyNumberFormat="1" applyFont="1" applyFill="1" applyBorder="1" applyAlignment="1" applyProtection="1">
      <alignment horizontal="center"/>
    </xf>
    <xf numFmtId="0" fontId="40" fillId="0" borderId="52" xfId="1" applyNumberFormat="1" applyFont="1" applyFill="1" applyBorder="1" applyAlignment="1" applyProtection="1">
      <alignment horizontal="center"/>
    </xf>
    <xf numFmtId="164" fontId="41" fillId="3" borderId="10" xfId="1" applyNumberFormat="1" applyFont="1" applyFill="1" applyBorder="1" applyAlignment="1" applyProtection="1">
      <alignment horizontal="center"/>
    </xf>
    <xf numFmtId="164" fontId="41" fillId="3" borderId="11" xfId="1" applyNumberFormat="1" applyFont="1" applyFill="1" applyBorder="1" applyAlignment="1" applyProtection="1">
      <alignment horizontal="center"/>
    </xf>
    <xf numFmtId="164" fontId="41" fillId="3" borderId="12" xfId="1" applyNumberFormat="1" applyFont="1" applyFill="1" applyBorder="1" applyAlignment="1" applyProtection="1">
      <alignment horizontal="center"/>
    </xf>
    <xf numFmtId="0" fontId="40" fillId="0" borderId="63" xfId="0" applyFont="1" applyBorder="1" applyAlignment="1">
      <alignment horizontal="center"/>
    </xf>
    <xf numFmtId="0" fontId="40" fillId="0" borderId="64" xfId="0" applyFont="1" applyBorder="1" applyAlignment="1">
      <alignment horizontal="center"/>
    </xf>
    <xf numFmtId="0" fontId="40" fillId="0" borderId="64" xfId="1" applyNumberFormat="1" applyFont="1" applyFill="1" applyBorder="1" applyAlignment="1" applyProtection="1">
      <alignment horizontal="center"/>
    </xf>
    <xf numFmtId="0" fontId="40" fillId="0" borderId="61" xfId="1" applyNumberFormat="1" applyFont="1" applyFill="1" applyBorder="1" applyAlignment="1" applyProtection="1">
      <alignment horizontal="center"/>
    </xf>
    <xf numFmtId="165" fontId="41" fillId="3" borderId="13" xfId="1" applyFont="1" applyFill="1" applyBorder="1" applyAlignment="1" applyProtection="1">
      <alignment horizontal="left"/>
    </xf>
    <xf numFmtId="165" fontId="41" fillId="3" borderId="14" xfId="1" applyFont="1" applyFill="1" applyBorder="1" applyAlignment="1" applyProtection="1">
      <alignment horizontal="left"/>
    </xf>
    <xf numFmtId="180" fontId="40" fillId="0" borderId="36" xfId="0" applyNumberFormat="1" applyFont="1" applyBorder="1" applyAlignment="1">
      <alignment horizontal="center"/>
    </xf>
    <xf numFmtId="180" fontId="40" fillId="0" borderId="37" xfId="0" applyNumberFormat="1" applyFont="1" applyBorder="1" applyAlignment="1">
      <alignment horizontal="center"/>
    </xf>
    <xf numFmtId="180" fontId="40" fillId="0" borderId="37" xfId="1" applyNumberFormat="1" applyFont="1" applyFill="1" applyBorder="1" applyAlignment="1" applyProtection="1">
      <alignment horizontal="center"/>
    </xf>
    <xf numFmtId="180" fontId="40" fillId="0" borderId="38" xfId="1" applyNumberFormat="1" applyFont="1" applyFill="1" applyBorder="1" applyAlignment="1" applyProtection="1">
      <alignment horizontal="center"/>
    </xf>
    <xf numFmtId="164" fontId="44" fillId="0" borderId="0" xfId="0" applyNumberFormat="1" applyFont="1"/>
    <xf numFmtId="0" fontId="40" fillId="2" borderId="90" xfId="0" applyFont="1" applyFill="1" applyBorder="1"/>
    <xf numFmtId="184" fontId="45" fillId="9" borderId="90" xfId="0" applyNumberFormat="1" applyFont="1" applyFill="1" applyBorder="1" applyAlignment="1">
      <alignment horizontal="center"/>
    </xf>
    <xf numFmtId="0" fontId="40" fillId="2" borderId="6" xfId="0" applyFont="1" applyFill="1" applyBorder="1"/>
    <xf numFmtId="0" fontId="45" fillId="9" borderId="6" xfId="0" applyFont="1" applyFill="1" applyBorder="1" applyAlignment="1">
      <alignment horizontal="center"/>
    </xf>
    <xf numFmtId="181" fontId="40" fillId="2" borderId="0" xfId="0" applyNumberFormat="1" applyFont="1" applyFill="1"/>
    <xf numFmtId="182" fontId="40" fillId="2" borderId="0" xfId="0" applyNumberFormat="1" applyFont="1" applyFill="1"/>
    <xf numFmtId="164" fontId="40" fillId="2" borderId="0" xfId="0" applyNumberFormat="1" applyFont="1" applyFill="1"/>
    <xf numFmtId="0" fontId="40" fillId="2" borderId="0" xfId="0" applyFont="1" applyFill="1" applyAlignment="1">
      <alignment wrapText="1"/>
    </xf>
    <xf numFmtId="0" fontId="40" fillId="0" borderId="4" xfId="0" applyFont="1" applyBorder="1"/>
    <xf numFmtId="6" fontId="40" fillId="0" borderId="5" xfId="0" applyNumberFormat="1" applyFont="1" applyBorder="1"/>
    <xf numFmtId="0" fontId="40" fillId="0" borderId="5" xfId="0" applyFont="1" applyBorder="1"/>
    <xf numFmtId="0" fontId="40" fillId="0" borderId="7" xfId="0" applyFont="1" applyBorder="1"/>
    <xf numFmtId="0" fontId="40" fillId="0" borderId="89" xfId="0" applyFont="1" applyBorder="1"/>
    <xf numFmtId="6" fontId="40" fillId="0" borderId="90" xfId="0" applyNumberFormat="1" applyFont="1" applyBorder="1"/>
    <xf numFmtId="0" fontId="40" fillId="0" borderId="90" xfId="0" applyFont="1" applyBorder="1"/>
    <xf numFmtId="0" fontId="40" fillId="0" borderId="91" xfId="0" applyFont="1" applyBorder="1"/>
    <xf numFmtId="0" fontId="40" fillId="0" borderId="92" xfId="0" applyFont="1" applyBorder="1"/>
    <xf numFmtId="0" fontId="40" fillId="0" borderId="93" xfId="0" applyFont="1" applyBorder="1"/>
    <xf numFmtId="0" fontId="40" fillId="0" borderId="0" xfId="0" applyFont="1" applyAlignment="1">
      <alignment horizontal="center"/>
    </xf>
    <xf numFmtId="10" fontId="40" fillId="0" borderId="0" xfId="3" applyNumberFormat="1" applyFont="1" applyBorder="1" applyAlignment="1" applyProtection="1">
      <alignment horizontal="center"/>
    </xf>
    <xf numFmtId="164" fontId="40" fillId="0" borderId="0" xfId="0" applyNumberFormat="1" applyFont="1"/>
    <xf numFmtId="172" fontId="40" fillId="0" borderId="0" xfId="0" applyNumberFormat="1" applyFont="1"/>
    <xf numFmtId="174" fontId="40" fillId="0" borderId="0" xfId="0" applyNumberFormat="1" applyFont="1" applyAlignment="1">
      <alignment horizontal="center"/>
    </xf>
    <xf numFmtId="10" fontId="40" fillId="0" borderId="8" xfId="3" applyNumberFormat="1" applyFont="1" applyBorder="1" applyAlignment="1" applyProtection="1">
      <alignment horizontal="center"/>
    </xf>
    <xf numFmtId="10" fontId="40" fillId="0" borderId="0" xfId="3" applyNumberFormat="1" applyFont="1" applyBorder="1" applyProtection="1"/>
    <xf numFmtId="10" fontId="40" fillId="0" borderId="0" xfId="0" applyNumberFormat="1" applyFont="1" applyAlignment="1">
      <alignment horizontal="center"/>
    </xf>
    <xf numFmtId="8" fontId="40" fillId="0" borderId="0" xfId="0" applyNumberFormat="1" applyFont="1"/>
    <xf numFmtId="0" fontId="40" fillId="0" borderId="97" xfId="0" applyFont="1" applyBorder="1"/>
    <xf numFmtId="6" fontId="40" fillId="0" borderId="19" xfId="0" applyNumberFormat="1" applyFont="1" applyBorder="1" applyAlignment="1">
      <alignment horizontal="center"/>
    </xf>
    <xf numFmtId="0" fontId="40" fillId="0" borderId="19" xfId="0" applyFont="1" applyBorder="1"/>
    <xf numFmtId="0" fontId="40" fillId="0" borderId="20" xfId="0" applyFont="1" applyBorder="1"/>
    <xf numFmtId="0" fontId="41" fillId="0" borderId="2" xfId="0" applyFont="1" applyBorder="1"/>
    <xf numFmtId="183" fontId="40" fillId="0" borderId="0" xfId="0" applyNumberFormat="1" applyFont="1" applyAlignment="1">
      <alignment horizontal="center"/>
    </xf>
    <xf numFmtId="184" fontId="41" fillId="0" borderId="2" xfId="0" applyNumberFormat="1" applyFont="1" applyBorder="1" applyAlignment="1">
      <alignment horizontal="center"/>
    </xf>
    <xf numFmtId="172" fontId="40" fillId="0" borderId="0" xfId="0" applyNumberFormat="1" applyFont="1" applyAlignment="1">
      <alignment horizontal="center"/>
    </xf>
    <xf numFmtId="37" fontId="41" fillId="0" borderId="2" xfId="4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184" fontId="40" fillId="0" borderId="2" xfId="0" applyNumberFormat="1" applyFont="1" applyBorder="1" applyAlignment="1">
      <alignment horizontal="center"/>
    </xf>
    <xf numFmtId="172" fontId="40" fillId="0" borderId="6" xfId="0" applyNumberFormat="1" applyFont="1" applyBorder="1" applyAlignment="1">
      <alignment horizontal="center"/>
    </xf>
    <xf numFmtId="0" fontId="40" fillId="0" borderId="6" xfId="0" applyFont="1" applyBorder="1"/>
    <xf numFmtId="0" fontId="40" fillId="0" borderId="14" xfId="0" applyFont="1" applyBorder="1"/>
    <xf numFmtId="0" fontId="41" fillId="0" borderId="4" xfId="0" applyFont="1" applyBorder="1"/>
    <xf numFmtId="6" fontId="43" fillId="9" borderId="5" xfId="0" applyNumberFormat="1" applyFont="1" applyFill="1" applyBorder="1" applyAlignment="1" applyProtection="1">
      <alignment horizontal="center"/>
      <protection locked="0"/>
    </xf>
    <xf numFmtId="183" fontId="40" fillId="0" borderId="8" xfId="0" applyNumberFormat="1" applyFont="1" applyBorder="1" applyAlignment="1">
      <alignment horizontal="center"/>
    </xf>
    <xf numFmtId="1" fontId="40" fillId="0" borderId="2" xfId="0" applyNumberFormat="1" applyFont="1" applyBorder="1"/>
    <xf numFmtId="13" fontId="40" fillId="0" borderId="0" xfId="0" applyNumberFormat="1" applyFont="1" applyAlignment="1">
      <alignment horizontal="center"/>
    </xf>
    <xf numFmtId="10" fontId="40" fillId="0" borderId="8" xfId="0" applyNumberFormat="1" applyFont="1" applyBorder="1" applyAlignment="1">
      <alignment horizontal="center"/>
    </xf>
    <xf numFmtId="0" fontId="40" fillId="0" borderId="13" xfId="0" applyFont="1" applyBorder="1"/>
    <xf numFmtId="6" fontId="40" fillId="0" borderId="6" xfId="0" applyNumberFormat="1" applyFont="1" applyBorder="1"/>
    <xf numFmtId="0" fontId="40" fillId="0" borderId="0" xfId="0" applyFont="1" applyAlignment="1">
      <alignment horizontal="center" wrapText="1"/>
    </xf>
    <xf numFmtId="6" fontId="43" fillId="9" borderId="90" xfId="0" applyNumberFormat="1" applyFont="1" applyFill="1" applyBorder="1" applyAlignment="1" applyProtection="1">
      <alignment horizontal="center"/>
      <protection locked="0"/>
    </xf>
    <xf numFmtId="0" fontId="41" fillId="0" borderId="90" xfId="0" applyFont="1" applyBorder="1"/>
    <xf numFmtId="8" fontId="43" fillId="9" borderId="0" xfId="0" applyNumberFormat="1" applyFont="1" applyFill="1" applyAlignment="1" applyProtection="1">
      <alignment horizontal="center"/>
      <protection locked="0"/>
    </xf>
    <xf numFmtId="3" fontId="40" fillId="0" borderId="0" xfId="0" applyNumberFormat="1" applyFont="1" applyAlignment="1">
      <alignment horizontal="center"/>
    </xf>
    <xf numFmtId="0" fontId="41" fillId="0" borderId="6" xfId="0" applyFont="1" applyBorder="1"/>
    <xf numFmtId="6" fontId="41" fillId="0" borderId="6" xfId="0" applyNumberFormat="1" applyFont="1" applyBorder="1" applyAlignment="1">
      <alignment horizontal="center"/>
    </xf>
    <xf numFmtId="10" fontId="40" fillId="0" borderId="6" xfId="0" applyNumberFormat="1" applyFont="1" applyBorder="1" applyAlignment="1">
      <alignment horizontal="center"/>
    </xf>
    <xf numFmtId="0" fontId="46" fillId="0" borderId="0" xfId="0" applyFont="1"/>
    <xf numFmtId="174" fontId="40" fillId="0" borderId="70" xfId="4" applyNumberFormat="1" applyFont="1" applyBorder="1" applyAlignment="1" applyProtection="1">
      <alignment horizontal="center"/>
    </xf>
    <xf numFmtId="174" fontId="40" fillId="0" borderId="71" xfId="4" applyNumberFormat="1" applyFont="1" applyBorder="1" applyAlignment="1" applyProtection="1">
      <alignment horizontal="center"/>
    </xf>
    <xf numFmtId="174" fontId="40" fillId="0" borderId="71" xfId="4" applyNumberFormat="1" applyFont="1" applyFill="1" applyBorder="1" applyAlignment="1" applyProtection="1">
      <alignment horizontal="center"/>
    </xf>
    <xf numFmtId="174" fontId="40" fillId="0" borderId="43" xfId="4" applyNumberFormat="1" applyFont="1" applyFill="1" applyBorder="1" applyAlignment="1" applyProtection="1">
      <alignment horizontal="center"/>
    </xf>
    <xf numFmtId="174" fontId="41" fillId="0" borderId="15" xfId="4" applyNumberFormat="1" applyFont="1" applyFill="1" applyBorder="1" applyAlignment="1" applyProtection="1">
      <alignment horizontal="right"/>
    </xf>
    <xf numFmtId="10" fontId="40" fillId="0" borderId="0" xfId="3" applyNumberFormat="1" applyFont="1" applyAlignment="1" applyProtection="1">
      <alignment horizontal="center"/>
    </xf>
    <xf numFmtId="3" fontId="40" fillId="0" borderId="0" xfId="1" applyNumberFormat="1" applyFont="1" applyBorder="1" applyAlignment="1" applyProtection="1">
      <alignment horizontal="center"/>
    </xf>
    <xf numFmtId="3" fontId="40" fillId="0" borderId="6" xfId="1" applyNumberFormat="1" applyFont="1" applyBorder="1" applyAlignment="1" applyProtection="1">
      <alignment horizontal="center"/>
    </xf>
    <xf numFmtId="10" fontId="40" fillId="0" borderId="6" xfId="3" applyNumberFormat="1" applyFont="1" applyBorder="1" applyAlignment="1" applyProtection="1">
      <alignment horizontal="center"/>
    </xf>
    <xf numFmtId="0" fontId="38" fillId="0" borderId="4" xfId="0" applyFont="1" applyBorder="1"/>
    <xf numFmtId="6" fontId="40" fillId="0" borderId="6" xfId="0" applyNumberFormat="1" applyFont="1" applyBorder="1" applyAlignment="1">
      <alignment horizontal="center"/>
    </xf>
    <xf numFmtId="6" fontId="40" fillId="0" borderId="14" xfId="0" applyNumberFormat="1" applyFont="1" applyBorder="1" applyAlignment="1">
      <alignment horizontal="center"/>
    </xf>
    <xf numFmtId="6" fontId="41" fillId="0" borderId="0" xfId="0" applyNumberFormat="1" applyFont="1" applyAlignment="1">
      <alignment horizontal="center"/>
    </xf>
    <xf numFmtId="6" fontId="41" fillId="0" borderId="8" xfId="0" applyNumberFormat="1" applyFont="1" applyBorder="1" applyAlignment="1">
      <alignment horizontal="center"/>
    </xf>
    <xf numFmtId="0" fontId="47" fillId="0" borderId="0" xfId="0" applyFont="1" applyAlignment="1">
      <alignment horizontal="left"/>
    </xf>
    <xf numFmtId="184" fontId="40" fillId="0" borderId="0" xfId="0" applyNumberFormat="1" applyFont="1"/>
    <xf numFmtId="164" fontId="39" fillId="0" borderId="2" xfId="0" applyNumberFormat="1" applyFont="1" applyBorder="1"/>
    <xf numFmtId="6" fontId="37" fillId="0" borderId="7" xfId="0" applyNumberFormat="1" applyFont="1" applyBorder="1" applyAlignment="1" applyProtection="1">
      <alignment horizontal="center"/>
      <protection locked="0"/>
    </xf>
    <xf numFmtId="6" fontId="40" fillId="0" borderId="8" xfId="0" applyNumberFormat="1" applyFont="1" applyBorder="1"/>
    <xf numFmtId="6" fontId="40" fillId="0" borderId="14" xfId="0" applyNumberFormat="1" applyFont="1" applyBorder="1"/>
    <xf numFmtId="6" fontId="41" fillId="0" borderId="0" xfId="0" applyNumberFormat="1" applyFont="1"/>
    <xf numFmtId="6" fontId="41" fillId="0" borderId="8" xfId="0" applyNumberFormat="1" applyFont="1" applyBorder="1"/>
    <xf numFmtId="0" fontId="39" fillId="0" borderId="13" xfId="0" applyFont="1" applyBorder="1"/>
    <xf numFmtId="0" fontId="39" fillId="0" borderId="0" xfId="0" applyFont="1"/>
    <xf numFmtId="0" fontId="40" fillId="0" borderId="8" xfId="0" applyFont="1" applyBorder="1" applyAlignment="1">
      <alignment horizontal="center"/>
    </xf>
    <xf numFmtId="6" fontId="43" fillId="9" borderId="0" xfId="0" applyNumberFormat="1" applyFont="1" applyFill="1" applyAlignment="1" applyProtection="1">
      <alignment horizontal="center"/>
      <protection locked="0"/>
    </xf>
    <xf numFmtId="6" fontId="43" fillId="9" borderId="7" xfId="0" applyNumberFormat="1" applyFont="1" applyFill="1" applyBorder="1" applyAlignment="1" applyProtection="1">
      <alignment horizontal="center"/>
      <protection locked="0"/>
    </xf>
    <xf numFmtId="6" fontId="43" fillId="9" borderId="8" xfId="0" applyNumberFormat="1" applyFont="1" applyFill="1" applyBorder="1" applyAlignment="1" applyProtection="1">
      <alignment horizontal="center"/>
      <protection locked="0"/>
    </xf>
    <xf numFmtId="6" fontId="43" fillId="9" borderId="19" xfId="0" applyNumberFormat="1" applyFont="1" applyFill="1" applyBorder="1" applyAlignment="1" applyProtection="1">
      <alignment horizontal="center"/>
      <protection locked="0"/>
    </xf>
    <xf numFmtId="6" fontId="43" fillId="9" borderId="20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/>
    <xf numFmtId="0" fontId="14" fillId="0" borderId="49" xfId="0" applyFont="1" applyBorder="1" applyProtection="1">
      <protection locked="0"/>
    </xf>
    <xf numFmtId="0" fontId="27" fillId="8" borderId="11" xfId="0" applyFont="1" applyFill="1" applyBorder="1" applyAlignment="1" applyProtection="1">
      <alignment horizontal="left" wrapText="1"/>
      <protection locked="0"/>
    </xf>
    <xf numFmtId="0" fontId="27" fillId="8" borderId="12" xfId="0" applyFont="1" applyFill="1" applyBorder="1" applyAlignment="1" applyProtection="1">
      <alignment horizontal="left" wrapText="1"/>
      <protection locked="0"/>
    </xf>
    <xf numFmtId="0" fontId="17" fillId="2" borderId="0" xfId="0" applyFont="1" applyFill="1" applyAlignment="1">
      <alignment horizont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left" wrapText="1"/>
    </xf>
    <xf numFmtId="0" fontId="10" fillId="2" borderId="23" xfId="0" applyFont="1" applyFill="1" applyBorder="1" applyAlignment="1">
      <alignment horizontal="left" wrapText="1"/>
    </xf>
    <xf numFmtId="0" fontId="10" fillId="2" borderId="24" xfId="0" applyFont="1" applyFill="1" applyBorder="1" applyAlignment="1">
      <alignment horizontal="left" wrapText="1"/>
    </xf>
    <xf numFmtId="0" fontId="26" fillId="0" borderId="6" xfId="0" applyFont="1" applyBorder="1" applyAlignment="1">
      <alignment horizontal="center"/>
    </xf>
    <xf numFmtId="164" fontId="3" fillId="2" borderId="0" xfId="1" applyNumberFormat="1" applyFont="1" applyFill="1" applyAlignment="1" applyProtection="1">
      <alignment horizontal="center"/>
    </xf>
    <xf numFmtId="164" fontId="2" fillId="2" borderId="0" xfId="1" applyNumberFormat="1" applyFont="1" applyFill="1" applyAlignment="1" applyProtection="1">
      <alignment horizontal="center"/>
    </xf>
    <xf numFmtId="177" fontId="35" fillId="2" borderId="0" xfId="0" applyNumberFormat="1" applyFont="1" applyFill="1" applyAlignment="1">
      <alignment horizontal="center"/>
    </xf>
    <xf numFmtId="0" fontId="35" fillId="0" borderId="0" xfId="0" applyFont="1" applyAlignment="1">
      <alignment horizontal="center"/>
    </xf>
    <xf numFmtId="0" fontId="10" fillId="2" borderId="16" xfId="0" applyFont="1" applyFill="1" applyBorder="1" applyAlignment="1">
      <alignment horizontal="left" wrapText="1"/>
    </xf>
    <xf numFmtId="0" fontId="10" fillId="2" borderId="17" xfId="0" applyFont="1" applyFill="1" applyBorder="1" applyAlignment="1">
      <alignment horizontal="left" wrapText="1"/>
    </xf>
    <xf numFmtId="0" fontId="10" fillId="2" borderId="18" xfId="0" applyFont="1" applyFill="1" applyBorder="1" applyAlignment="1">
      <alignment horizontal="left" wrapText="1"/>
    </xf>
    <xf numFmtId="0" fontId="10" fillId="2" borderId="21" xfId="0" applyFont="1" applyFill="1" applyBorder="1" applyAlignment="1">
      <alignment horizontal="left" wrapText="1"/>
    </xf>
    <xf numFmtId="0" fontId="10" fillId="2" borderId="87" xfId="0" applyFont="1" applyFill="1" applyBorder="1" applyAlignment="1">
      <alignment horizontal="left" wrapText="1"/>
    </xf>
    <xf numFmtId="0" fontId="10" fillId="2" borderId="88" xfId="0" applyFont="1" applyFill="1" applyBorder="1" applyAlignment="1">
      <alignment horizontal="left" wrapText="1"/>
    </xf>
    <xf numFmtId="164" fontId="2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/>
    </xf>
    <xf numFmtId="0" fontId="0" fillId="0" borderId="0" xfId="0"/>
    <xf numFmtId="0" fontId="40" fillId="0" borderId="0" xfId="0" applyFont="1" applyAlignment="1">
      <alignment horizontal="center"/>
    </xf>
    <xf numFmtId="0" fontId="40" fillId="0" borderId="8" xfId="0" applyFont="1" applyBorder="1" applyAlignment="1">
      <alignment horizontal="center"/>
    </xf>
    <xf numFmtId="0" fontId="40" fillId="2" borderId="21" xfId="0" applyFont="1" applyFill="1" applyBorder="1" applyAlignment="1">
      <alignment horizontal="left" wrapText="1"/>
    </xf>
    <xf numFmtId="0" fontId="40" fillId="2" borderId="87" xfId="0" applyFont="1" applyFill="1" applyBorder="1" applyAlignment="1">
      <alignment horizontal="left" wrapText="1"/>
    </xf>
    <xf numFmtId="0" fontId="40" fillId="2" borderId="88" xfId="0" applyFont="1" applyFill="1" applyBorder="1" applyAlignment="1">
      <alignment horizontal="left" wrapText="1"/>
    </xf>
    <xf numFmtId="0" fontId="40" fillId="2" borderId="22" xfId="0" applyFont="1" applyFill="1" applyBorder="1" applyAlignment="1">
      <alignment horizontal="left" wrapText="1"/>
    </xf>
    <xf numFmtId="0" fontId="40" fillId="2" borderId="23" xfId="0" applyFont="1" applyFill="1" applyBorder="1" applyAlignment="1">
      <alignment horizontal="left" wrapText="1"/>
    </xf>
    <xf numFmtId="0" fontId="40" fillId="2" borderId="24" xfId="0" applyFont="1" applyFill="1" applyBorder="1" applyAlignment="1">
      <alignment horizontal="left" wrapText="1"/>
    </xf>
    <xf numFmtId="0" fontId="40" fillId="2" borderId="16" xfId="0" applyFont="1" applyFill="1" applyBorder="1" applyAlignment="1">
      <alignment horizontal="left" wrapText="1"/>
    </xf>
    <xf numFmtId="0" fontId="40" fillId="2" borderId="17" xfId="0" applyFont="1" applyFill="1" applyBorder="1" applyAlignment="1">
      <alignment horizontal="left" wrapText="1"/>
    </xf>
    <xf numFmtId="0" fontId="40" fillId="2" borderId="18" xfId="0" applyFont="1" applyFill="1" applyBorder="1" applyAlignment="1">
      <alignment horizontal="left" wrapText="1"/>
    </xf>
    <xf numFmtId="164" fontId="41" fillId="2" borderId="0" xfId="1" applyNumberFormat="1" applyFont="1" applyFill="1" applyAlignment="1" applyProtection="1">
      <alignment horizontal="center"/>
    </xf>
    <xf numFmtId="177" fontId="42" fillId="2" borderId="0" xfId="0" applyNumberFormat="1" applyFont="1" applyFill="1" applyAlignment="1">
      <alignment horizontal="center"/>
    </xf>
    <xf numFmtId="0" fontId="42" fillId="0" borderId="0" xfId="0" applyFont="1" applyAlignment="1">
      <alignment horizontal="center"/>
    </xf>
    <xf numFmtId="0" fontId="40" fillId="0" borderId="6" xfId="0" applyFont="1" applyBorder="1" applyAlignment="1">
      <alignment horizontal="center"/>
    </xf>
  </cellXfs>
  <cellStyles count="7">
    <cellStyle name="Calculation" xfId="6" builtinId="22"/>
    <cellStyle name="Comma" xfId="4" builtinId="3"/>
    <cellStyle name="Comma_capQED" xfId="1" xr:uid="{00000000-0005-0000-0000-000002000000}"/>
    <cellStyle name="Currency" xfId="5" builtinId="4"/>
    <cellStyle name="Currency_capQED" xfId="2" xr:uid="{00000000-0005-0000-0000-000004000000}"/>
    <cellStyle name="Normal" xfId="0" builtinId="0"/>
    <cellStyle name="Percent" xfId="3" builtinId="5"/>
  </cellStyles>
  <dxfs count="14"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467"/>
  <sheetViews>
    <sheetView showGridLines="0" tabSelected="1" zoomScale="60" zoomScaleNormal="60" zoomScaleSheetLayoutView="50" workbookViewId="0">
      <selection activeCell="G12" sqref="G12"/>
    </sheetView>
  </sheetViews>
  <sheetFormatPr defaultRowHeight="12.75" x14ac:dyDescent="0.2"/>
  <cols>
    <col min="1" max="1" width="11" style="26" customWidth="1"/>
    <col min="2" max="2" width="12.85546875" customWidth="1"/>
    <col min="3" max="3" width="4.7109375" customWidth="1"/>
    <col min="4" max="4" width="33.7109375" customWidth="1"/>
    <col min="5" max="5" width="25.7109375" customWidth="1"/>
    <col min="6" max="6" width="17.85546875" customWidth="1"/>
    <col min="7" max="7" width="16.28515625" customWidth="1"/>
    <col min="8" max="8" width="22" bestFit="1" customWidth="1"/>
    <col min="9" max="9" width="16.7109375" customWidth="1"/>
    <col min="10" max="10" width="15" customWidth="1"/>
    <col min="11" max="11" width="18.5703125" customWidth="1"/>
    <col min="12" max="12" width="19.85546875" customWidth="1"/>
    <col min="13" max="13" width="17.28515625" customWidth="1"/>
    <col min="14" max="14" width="16.28515625" customWidth="1"/>
    <col min="15" max="15" width="16.7109375" style="26" customWidth="1"/>
    <col min="16" max="17" width="19.140625" style="26" customWidth="1"/>
    <col min="18" max="18" width="15.7109375" style="26" customWidth="1"/>
    <col min="19" max="19" width="39.5703125" style="26" customWidth="1"/>
    <col min="20" max="20" width="16.7109375" style="26" customWidth="1"/>
    <col min="21" max="21" width="15.7109375" style="26" customWidth="1"/>
    <col min="22" max="22" width="10.7109375" style="26" customWidth="1"/>
    <col min="23" max="50" width="9.140625" style="26"/>
  </cols>
  <sheetData>
    <row r="1" spans="1:60" ht="21.75" customHeight="1" x14ac:dyDescent="0.2">
      <c r="A1" s="626" t="s">
        <v>72</v>
      </c>
    </row>
    <row r="2" spans="1:60" s="26" customFormat="1" ht="21.75" customHeight="1" x14ac:dyDescent="0.3">
      <c r="A2" s="955" t="s">
        <v>10</v>
      </c>
      <c r="B2" s="955"/>
      <c r="C2" s="955"/>
      <c r="D2" s="955"/>
      <c r="E2" s="955"/>
      <c r="F2" s="955"/>
      <c r="G2" s="955"/>
      <c r="H2" s="955"/>
      <c r="I2" s="955"/>
      <c r="J2" s="955"/>
      <c r="K2" s="955"/>
      <c r="L2" s="955"/>
      <c r="M2" s="955"/>
      <c r="N2" s="955"/>
      <c r="O2" s="955"/>
      <c r="P2" s="25"/>
      <c r="Q2" s="25"/>
      <c r="R2" s="27"/>
      <c r="S2" s="27"/>
      <c r="T2" s="27"/>
      <c r="U2" s="27"/>
    </row>
    <row r="3" spans="1:60" s="26" customFormat="1" ht="22.5" customHeight="1" x14ac:dyDescent="0.3">
      <c r="A3" s="955" t="s">
        <v>39</v>
      </c>
      <c r="B3" s="955"/>
      <c r="C3" s="955"/>
      <c r="D3" s="955"/>
      <c r="E3" s="955"/>
      <c r="F3" s="955"/>
      <c r="G3" s="955"/>
      <c r="H3" s="955"/>
      <c r="I3" s="955"/>
      <c r="J3" s="955"/>
      <c r="K3" s="955"/>
      <c r="L3" s="955"/>
      <c r="M3" s="955"/>
      <c r="N3" s="955"/>
      <c r="O3" s="955"/>
      <c r="P3" s="25"/>
      <c r="Q3" s="25"/>
      <c r="R3" s="27"/>
      <c r="S3" s="27"/>
      <c r="T3" s="27"/>
      <c r="U3" s="27"/>
    </row>
    <row r="4" spans="1:60" s="26" customFormat="1" ht="21" customHeight="1" x14ac:dyDescent="0.3">
      <c r="A4" s="89"/>
      <c r="B4" s="89"/>
      <c r="C4" s="89"/>
      <c r="D4" s="25"/>
      <c r="E4" s="25"/>
      <c r="F4" s="25"/>
      <c r="G4" s="253" t="s">
        <v>37</v>
      </c>
      <c r="I4" s="218"/>
      <c r="J4" s="217"/>
      <c r="L4" s="25"/>
      <c r="M4" s="25"/>
      <c r="N4" s="25"/>
      <c r="O4" s="25"/>
      <c r="P4" s="25"/>
      <c r="Q4" s="25"/>
      <c r="R4" s="27"/>
      <c r="S4" s="27"/>
      <c r="T4" s="27"/>
      <c r="U4" s="27"/>
    </row>
    <row r="5" spans="1:60" s="26" customFormat="1" ht="21" customHeight="1" thickBot="1" x14ac:dyDescent="0.25">
      <c r="A5"/>
      <c r="B5"/>
      <c r="C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</row>
    <row r="6" spans="1:60" ht="21" customHeight="1" x14ac:dyDescent="0.25">
      <c r="A6"/>
      <c r="B6" s="90"/>
      <c r="C6" s="90"/>
      <c r="D6" s="61"/>
      <c r="E6" s="62"/>
      <c r="F6" s="62"/>
      <c r="G6" s="63"/>
      <c r="H6" s="63" t="s">
        <v>11</v>
      </c>
      <c r="I6" s="625" t="s">
        <v>71</v>
      </c>
      <c r="J6" s="64"/>
      <c r="K6" s="62"/>
      <c r="L6" s="62"/>
      <c r="M6" s="196"/>
      <c r="N6" s="62"/>
      <c r="O6" s="78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Y6" s="26"/>
      <c r="AZ6" s="26"/>
      <c r="BA6" s="26"/>
      <c r="BB6" s="26"/>
      <c r="BC6" s="26"/>
      <c r="BD6" s="26"/>
      <c r="BE6" s="26"/>
      <c r="BF6" s="26"/>
      <c r="BG6" s="26"/>
    </row>
    <row r="7" spans="1:60" ht="26.25" customHeight="1" thickBot="1" x14ac:dyDescent="0.3">
      <c r="A7"/>
      <c r="B7" s="90"/>
      <c r="C7" s="90"/>
      <c r="D7" s="65"/>
      <c r="E7" s="66"/>
      <c r="F7" s="66"/>
      <c r="G7" s="67"/>
      <c r="H7" s="67" t="s">
        <v>21</v>
      </c>
      <c r="I7" s="383">
        <v>39813</v>
      </c>
      <c r="J7" s="68"/>
      <c r="K7" s="66"/>
      <c r="L7" s="66"/>
      <c r="M7" s="197"/>
      <c r="N7" s="66"/>
      <c r="O7" s="7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Y7" s="26"/>
      <c r="AZ7" s="26"/>
      <c r="BA7" s="26"/>
      <c r="BB7" s="26"/>
      <c r="BC7" s="26"/>
      <c r="BD7" s="26"/>
      <c r="BE7" s="26"/>
      <c r="BF7" s="26"/>
      <c r="BG7" s="26"/>
    </row>
    <row r="8" spans="1:60" ht="24.75" customHeight="1" thickBot="1" x14ac:dyDescent="0.25">
      <c r="A8"/>
      <c r="D8" s="956" t="s">
        <v>38</v>
      </c>
      <c r="E8" s="957"/>
      <c r="F8" s="957"/>
      <c r="G8" s="957"/>
      <c r="H8" s="957"/>
      <c r="I8" s="957"/>
      <c r="J8" s="957"/>
      <c r="K8" s="957"/>
      <c r="L8" s="957"/>
      <c r="M8" s="957"/>
      <c r="N8" s="957"/>
      <c r="O8" s="958"/>
      <c r="P8"/>
      <c r="Q8"/>
      <c r="R8" s="94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Y8" s="26"/>
      <c r="AZ8" s="26"/>
      <c r="BA8" s="26"/>
      <c r="BB8" s="26"/>
      <c r="BC8" s="26"/>
      <c r="BD8" s="26"/>
      <c r="BE8" s="26"/>
      <c r="BF8" s="26"/>
      <c r="BG8" s="26"/>
    </row>
    <row r="9" spans="1:60" ht="30.75" thickBot="1" x14ac:dyDescent="0.3">
      <c r="A9"/>
      <c r="D9" s="10" t="s">
        <v>20</v>
      </c>
      <c r="E9" s="10" t="s">
        <v>19</v>
      </c>
      <c r="F9" s="50" t="s">
        <v>43</v>
      </c>
      <c r="G9" s="10" t="s">
        <v>44</v>
      </c>
      <c r="H9" s="10" t="s">
        <v>45</v>
      </c>
      <c r="I9" s="10" t="s">
        <v>51</v>
      </c>
      <c r="J9" s="10" t="s">
        <v>57</v>
      </c>
      <c r="K9" s="10" t="s">
        <v>18</v>
      </c>
      <c r="L9" s="10" t="s">
        <v>24</v>
      </c>
      <c r="M9" s="10" t="s">
        <v>23</v>
      </c>
      <c r="N9" s="10" t="s">
        <v>52</v>
      </c>
      <c r="O9" s="10" t="s">
        <v>74</v>
      </c>
      <c r="P9" s="215"/>
      <c r="Q9"/>
      <c r="R9"/>
      <c r="S9" s="95"/>
      <c r="T9"/>
      <c r="U9"/>
      <c r="V9"/>
      <c r="W9" s="96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Y9" s="26"/>
      <c r="AZ9" s="26"/>
      <c r="BA9" s="26"/>
      <c r="BB9" s="26"/>
      <c r="BC9" s="26"/>
      <c r="BD9" s="26"/>
      <c r="BE9" s="26"/>
      <c r="BF9" s="26"/>
      <c r="BG9" s="26"/>
      <c r="BH9" s="26"/>
    </row>
    <row r="10" spans="1:60" ht="21" customHeight="1" x14ac:dyDescent="0.25">
      <c r="A10"/>
      <c r="D10" s="368" t="s">
        <v>108</v>
      </c>
      <c r="E10" s="369">
        <v>39113</v>
      </c>
      <c r="F10" s="370">
        <v>0</v>
      </c>
      <c r="G10" s="371">
        <v>1</v>
      </c>
      <c r="H10" s="372">
        <v>2</v>
      </c>
      <c r="I10" s="373">
        <v>10</v>
      </c>
      <c r="J10" s="374">
        <v>1</v>
      </c>
      <c r="K10" s="375">
        <v>1</v>
      </c>
      <c r="L10" s="370">
        <v>5000000</v>
      </c>
      <c r="M10" s="79">
        <f>IFERROR(L10/K10,"")</f>
        <v>5000000</v>
      </c>
      <c r="N10" s="627">
        <v>10000</v>
      </c>
      <c r="O10" s="630">
        <v>1</v>
      </c>
      <c r="P10" s="215"/>
      <c r="Q10"/>
      <c r="R10"/>
      <c r="S10" s="93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Y10" s="26"/>
      <c r="AZ10" s="26"/>
      <c r="BA10" s="26"/>
      <c r="BB10" s="26"/>
      <c r="BC10" s="26"/>
      <c r="BD10" s="26"/>
      <c r="BE10" s="26"/>
      <c r="BF10" s="26"/>
      <c r="BG10" s="26"/>
      <c r="BH10" s="26"/>
    </row>
    <row r="11" spans="1:60" ht="21" customHeight="1" x14ac:dyDescent="0.25">
      <c r="A11"/>
      <c r="D11" s="376" t="s">
        <v>109</v>
      </c>
      <c r="E11" s="377">
        <f>E10+365</f>
        <v>39478</v>
      </c>
      <c r="F11" s="378">
        <v>0</v>
      </c>
      <c r="G11" s="379">
        <v>1</v>
      </c>
      <c r="H11" s="379">
        <v>2</v>
      </c>
      <c r="I11" s="380">
        <v>10</v>
      </c>
      <c r="J11" s="381">
        <v>1</v>
      </c>
      <c r="K11" s="382">
        <v>2</v>
      </c>
      <c r="L11" s="378">
        <v>10000000</v>
      </c>
      <c r="M11" s="80">
        <f>IFERROR(L11/K11,"")</f>
        <v>5000000</v>
      </c>
      <c r="N11" s="628">
        <v>10000</v>
      </c>
      <c r="O11" s="631">
        <v>1</v>
      </c>
      <c r="P11" s="216"/>
      <c r="Q11"/>
      <c r="R11"/>
      <c r="S11" s="95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Y11" s="26"/>
      <c r="AZ11" s="26"/>
      <c r="BA11" s="26"/>
      <c r="BB11" s="26"/>
      <c r="BC11" s="26"/>
      <c r="BD11" s="26"/>
      <c r="BE11" s="26"/>
      <c r="BF11" s="26"/>
      <c r="BG11" s="26"/>
      <c r="BH11" s="26"/>
    </row>
    <row r="12" spans="1:60" ht="21" customHeight="1" x14ac:dyDescent="0.25">
      <c r="A12"/>
      <c r="D12" s="376" t="s">
        <v>110</v>
      </c>
      <c r="E12" s="377">
        <f t="shared" ref="E12" si="0">E11+365</f>
        <v>39843</v>
      </c>
      <c r="F12" s="378">
        <v>0</v>
      </c>
      <c r="G12" s="379">
        <v>1</v>
      </c>
      <c r="H12" s="379">
        <v>2</v>
      </c>
      <c r="I12" s="380">
        <v>2</v>
      </c>
      <c r="J12" s="381">
        <v>1</v>
      </c>
      <c r="K12" s="382">
        <v>2.5</v>
      </c>
      <c r="L12" s="378">
        <v>15000000</v>
      </c>
      <c r="M12" s="80">
        <f>IFERROR(L12/K12,"")</f>
        <v>6000000</v>
      </c>
      <c r="N12" s="628">
        <v>10000</v>
      </c>
      <c r="O12" s="631">
        <v>1</v>
      </c>
      <c r="P12" s="215"/>
      <c r="Q12"/>
      <c r="R12"/>
      <c r="S12" s="93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Y12" s="26"/>
      <c r="AZ12" s="26"/>
      <c r="BA12" s="26"/>
      <c r="BB12" s="26"/>
      <c r="BC12" s="26"/>
      <c r="BD12" s="26"/>
      <c r="BE12" s="26"/>
      <c r="BF12" s="26"/>
      <c r="BG12" s="26"/>
      <c r="BH12" s="26"/>
    </row>
    <row r="13" spans="1:60" ht="21" customHeight="1" x14ac:dyDescent="0.25">
      <c r="A13"/>
      <c r="D13" s="376" t="s">
        <v>118</v>
      </c>
      <c r="E13" s="377">
        <f>E12</f>
        <v>39843</v>
      </c>
      <c r="F13" s="378">
        <v>0</v>
      </c>
      <c r="G13" s="379">
        <v>1</v>
      </c>
      <c r="H13" s="379">
        <v>2</v>
      </c>
      <c r="I13" s="380">
        <v>1</v>
      </c>
      <c r="J13" s="381">
        <v>1</v>
      </c>
      <c r="K13" s="382">
        <v>2</v>
      </c>
      <c r="L13" s="378">
        <v>20000000</v>
      </c>
      <c r="M13" s="80">
        <f t="shared" ref="M13:M19" si="1">IFERROR(L13/K13,"")</f>
        <v>10000000</v>
      </c>
      <c r="N13" s="628">
        <v>10000</v>
      </c>
      <c r="O13" s="631">
        <v>1</v>
      </c>
      <c r="P13" s="215"/>
      <c r="Q13"/>
      <c r="R13"/>
      <c r="S13" s="9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Y13" s="26"/>
      <c r="AZ13" s="26"/>
      <c r="BA13" s="26"/>
      <c r="BB13" s="26"/>
      <c r="BC13" s="26"/>
      <c r="BD13" s="26"/>
      <c r="BE13" s="26"/>
      <c r="BF13" s="26"/>
      <c r="BG13" s="26"/>
      <c r="BH13" s="26"/>
    </row>
    <row r="14" spans="1:60" ht="21" customHeight="1" x14ac:dyDescent="0.25">
      <c r="A14"/>
      <c r="D14" s="376" t="s">
        <v>143</v>
      </c>
      <c r="E14" s="377">
        <f t="shared" ref="E14:E19" si="2">E13</f>
        <v>39843</v>
      </c>
      <c r="F14" s="378">
        <v>0</v>
      </c>
      <c r="G14" s="379">
        <v>1</v>
      </c>
      <c r="H14" s="379">
        <v>2</v>
      </c>
      <c r="I14" s="380">
        <v>10</v>
      </c>
      <c r="J14" s="381">
        <v>1</v>
      </c>
      <c r="K14" s="382">
        <v>0</v>
      </c>
      <c r="L14" s="378">
        <v>0</v>
      </c>
      <c r="M14" s="80" t="str">
        <f t="shared" si="1"/>
        <v/>
      </c>
      <c r="N14" s="628">
        <v>0</v>
      </c>
      <c r="O14" s="631">
        <v>0</v>
      </c>
      <c r="P14" s="215"/>
      <c r="Q14"/>
      <c r="R14"/>
      <c r="S14" s="93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Y14" s="26"/>
      <c r="AZ14" s="26"/>
      <c r="BA14" s="26"/>
      <c r="BB14" s="26"/>
      <c r="BC14" s="26"/>
      <c r="BD14" s="26"/>
      <c r="BE14" s="26"/>
      <c r="BF14" s="26"/>
      <c r="BG14" s="26"/>
      <c r="BH14" s="26"/>
    </row>
    <row r="15" spans="1:60" ht="21" customHeight="1" x14ac:dyDescent="0.25">
      <c r="A15"/>
      <c r="D15" s="376" t="s">
        <v>143</v>
      </c>
      <c r="E15" s="377">
        <f t="shared" si="2"/>
        <v>39843</v>
      </c>
      <c r="F15" s="378">
        <v>0</v>
      </c>
      <c r="G15" s="379">
        <v>1</v>
      </c>
      <c r="H15" s="379">
        <v>2</v>
      </c>
      <c r="I15" s="380">
        <v>10</v>
      </c>
      <c r="J15" s="381">
        <v>1</v>
      </c>
      <c r="K15" s="382">
        <v>0</v>
      </c>
      <c r="L15" s="378">
        <v>0</v>
      </c>
      <c r="M15" s="80" t="str">
        <f t="shared" si="1"/>
        <v/>
      </c>
      <c r="N15" s="628">
        <v>0</v>
      </c>
      <c r="O15" s="631">
        <v>0</v>
      </c>
      <c r="P15" s="215"/>
      <c r="Q15"/>
      <c r="R15"/>
      <c r="S15" s="93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Y15" s="26"/>
      <c r="AZ15" s="26"/>
      <c r="BA15" s="26"/>
      <c r="BB15" s="26"/>
      <c r="BC15" s="26"/>
      <c r="BD15" s="26"/>
      <c r="BE15" s="26"/>
      <c r="BF15" s="26"/>
      <c r="BG15" s="26"/>
      <c r="BH15" s="26"/>
    </row>
    <row r="16" spans="1:60" ht="21" customHeight="1" x14ac:dyDescent="0.25">
      <c r="A16"/>
      <c r="D16" s="376" t="s">
        <v>143</v>
      </c>
      <c r="E16" s="377">
        <f t="shared" si="2"/>
        <v>39843</v>
      </c>
      <c r="F16" s="378">
        <v>0</v>
      </c>
      <c r="G16" s="379">
        <v>1</v>
      </c>
      <c r="H16" s="379">
        <v>2</v>
      </c>
      <c r="I16" s="380">
        <v>10</v>
      </c>
      <c r="J16" s="381">
        <v>1</v>
      </c>
      <c r="K16" s="382">
        <v>0</v>
      </c>
      <c r="L16" s="378">
        <v>0</v>
      </c>
      <c r="M16" s="80" t="str">
        <f t="shared" si="1"/>
        <v/>
      </c>
      <c r="N16" s="628">
        <v>0</v>
      </c>
      <c r="O16" s="631">
        <v>0</v>
      </c>
      <c r="P16" s="215"/>
      <c r="Q16"/>
      <c r="R16"/>
      <c r="S16" s="93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Y16" s="26"/>
      <c r="AZ16" s="26"/>
      <c r="BA16" s="26"/>
      <c r="BB16" s="26"/>
      <c r="BC16" s="26"/>
      <c r="BD16" s="26"/>
      <c r="BE16" s="26"/>
      <c r="BF16" s="26"/>
      <c r="BG16" s="26"/>
      <c r="BH16" s="26"/>
    </row>
    <row r="17" spans="1:60" ht="21" customHeight="1" x14ac:dyDescent="0.25">
      <c r="A17"/>
      <c r="D17" s="376" t="s">
        <v>143</v>
      </c>
      <c r="E17" s="377">
        <f t="shared" si="2"/>
        <v>39843</v>
      </c>
      <c r="F17" s="378">
        <v>0</v>
      </c>
      <c r="G17" s="379">
        <v>1</v>
      </c>
      <c r="H17" s="379">
        <v>2</v>
      </c>
      <c r="I17" s="380">
        <v>10</v>
      </c>
      <c r="J17" s="381">
        <v>1</v>
      </c>
      <c r="K17" s="382">
        <v>0</v>
      </c>
      <c r="L17" s="378">
        <v>0</v>
      </c>
      <c r="M17" s="80" t="str">
        <f t="shared" si="1"/>
        <v/>
      </c>
      <c r="N17" s="628">
        <v>0</v>
      </c>
      <c r="O17" s="631">
        <v>0</v>
      </c>
      <c r="P17" s="215"/>
      <c r="Q17"/>
      <c r="R17"/>
      <c r="S17" s="93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Y17" s="26"/>
      <c r="AZ17" s="26"/>
      <c r="BA17" s="26"/>
      <c r="BB17" s="26"/>
      <c r="BC17" s="26"/>
      <c r="BD17" s="26"/>
      <c r="BE17" s="26"/>
      <c r="BF17" s="26"/>
      <c r="BG17" s="26"/>
      <c r="BH17" s="26"/>
    </row>
    <row r="18" spans="1:60" ht="21" customHeight="1" x14ac:dyDescent="0.25">
      <c r="A18"/>
      <c r="D18" s="376" t="s">
        <v>143</v>
      </c>
      <c r="E18" s="377">
        <f t="shared" si="2"/>
        <v>39843</v>
      </c>
      <c r="F18" s="378">
        <v>0</v>
      </c>
      <c r="G18" s="379">
        <v>1</v>
      </c>
      <c r="H18" s="379">
        <v>2</v>
      </c>
      <c r="I18" s="380">
        <v>10</v>
      </c>
      <c r="J18" s="381">
        <v>1</v>
      </c>
      <c r="K18" s="382">
        <v>0</v>
      </c>
      <c r="L18" s="378">
        <v>0</v>
      </c>
      <c r="M18" s="80" t="str">
        <f t="shared" si="1"/>
        <v/>
      </c>
      <c r="N18" s="628">
        <v>0</v>
      </c>
      <c r="O18" s="631">
        <v>0</v>
      </c>
      <c r="P18" s="215"/>
      <c r="Q18"/>
      <c r="R18"/>
      <c r="S18" s="95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Y18" s="26"/>
      <c r="AZ18" s="26"/>
      <c r="BA18" s="26"/>
      <c r="BB18" s="26"/>
      <c r="BC18" s="26"/>
      <c r="BD18" s="26"/>
      <c r="BE18" s="26"/>
      <c r="BF18" s="26"/>
      <c r="BG18" s="26"/>
      <c r="BH18" s="26"/>
    </row>
    <row r="19" spans="1:60" ht="21" customHeight="1" x14ac:dyDescent="0.25">
      <c r="A19"/>
      <c r="D19" s="376" t="s">
        <v>143</v>
      </c>
      <c r="E19" s="377">
        <f t="shared" si="2"/>
        <v>39843</v>
      </c>
      <c r="F19" s="378">
        <v>0</v>
      </c>
      <c r="G19" s="379">
        <v>1</v>
      </c>
      <c r="H19" s="379">
        <v>2</v>
      </c>
      <c r="I19" s="380">
        <v>10</v>
      </c>
      <c r="J19" s="381">
        <v>1</v>
      </c>
      <c r="K19" s="382">
        <v>0</v>
      </c>
      <c r="L19" s="378">
        <v>0</v>
      </c>
      <c r="M19" s="80" t="str">
        <f t="shared" si="1"/>
        <v/>
      </c>
      <c r="N19" s="628">
        <v>0</v>
      </c>
      <c r="O19" s="631">
        <v>0</v>
      </c>
      <c r="P19" s="215"/>
      <c r="Q19"/>
      <c r="R19"/>
      <c r="S19" s="95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Y19" s="26"/>
      <c r="AZ19" s="26"/>
      <c r="BA19" s="26"/>
      <c r="BB19" s="26"/>
      <c r="BC19" s="26"/>
      <c r="BD19" s="26"/>
      <c r="BE19" s="26"/>
      <c r="BF19" s="26"/>
      <c r="BG19" s="26"/>
      <c r="BH19" s="26"/>
    </row>
    <row r="20" spans="1:60" ht="21" customHeight="1" thickBot="1" x14ac:dyDescent="0.3">
      <c r="A20"/>
      <c r="D20" s="634" t="s">
        <v>3</v>
      </c>
      <c r="E20" s="635"/>
      <c r="F20" s="636"/>
      <c r="G20" s="637"/>
      <c r="H20" s="637"/>
      <c r="I20" s="637"/>
      <c r="J20" s="637"/>
      <c r="K20" s="638"/>
      <c r="L20" s="636">
        <f>N10*O10+N11*O11+N12*O12+N13*O13+N14*O14+N15*O15+N16*O16+N17*O17+N18*O18+N19*O19</f>
        <v>40000</v>
      </c>
      <c r="M20" s="639">
        <f>N21</f>
        <v>40000</v>
      </c>
      <c r="N20" s="640"/>
      <c r="O20" s="632">
        <f>N20*P20</f>
        <v>0</v>
      </c>
      <c r="P20" s="215"/>
      <c r="Q20"/>
      <c r="R20"/>
      <c r="S20" s="93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Y20" s="26"/>
      <c r="AZ20" s="26"/>
      <c r="BA20" s="26"/>
      <c r="BB20" s="26"/>
      <c r="BC20" s="26"/>
      <c r="BD20" s="26"/>
      <c r="BE20" s="26"/>
      <c r="BF20" s="26"/>
      <c r="BG20" s="26"/>
      <c r="BH20" s="26"/>
    </row>
    <row r="21" spans="1:60" s="254" customFormat="1" ht="24.75" customHeight="1" thickBot="1" x14ac:dyDescent="0.25">
      <c r="D21" s="255" t="s">
        <v>40</v>
      </c>
      <c r="E21" s="256"/>
      <c r="F21" s="256"/>
      <c r="G21" s="256"/>
      <c r="H21" s="256"/>
      <c r="I21" s="256"/>
      <c r="J21" s="256"/>
      <c r="K21" s="256"/>
      <c r="L21" s="257">
        <f>SUM(L10:L20)</f>
        <v>50040000</v>
      </c>
      <c r="M21" s="258">
        <f>SUM(M10:M20)</f>
        <v>26040000</v>
      </c>
      <c r="N21" s="258">
        <f>SUM(N10:N20)</f>
        <v>40000</v>
      </c>
      <c r="O21" s="648"/>
      <c r="P21" s="259"/>
      <c r="S21" s="260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1"/>
      <c r="BD21" s="261"/>
      <c r="BE21" s="261"/>
      <c r="BF21" s="261"/>
      <c r="BG21" s="261"/>
      <c r="BH21" s="261"/>
    </row>
    <row r="22" spans="1:60" ht="21" customHeight="1" x14ac:dyDescent="0.25">
      <c r="A22"/>
      <c r="D22" s="641" t="s">
        <v>22</v>
      </c>
      <c r="E22" s="642"/>
      <c r="F22" s="643"/>
      <c r="G22" s="643"/>
      <c r="H22" s="643"/>
      <c r="I22" s="643"/>
      <c r="J22" s="643"/>
      <c r="K22" s="644">
        <v>1E-8</v>
      </c>
      <c r="L22" s="645">
        <f>M22*K22</f>
        <v>5.2000000000000005E-2</v>
      </c>
      <c r="M22" s="646">
        <v>5200000</v>
      </c>
      <c r="N22" s="647"/>
      <c r="O22" s="633"/>
      <c r="P22"/>
      <c r="Q22"/>
      <c r="R22"/>
      <c r="S22" s="95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Y22" s="26"/>
      <c r="AZ22" s="26"/>
      <c r="BA22" s="26"/>
      <c r="BB22" s="26"/>
      <c r="BC22" s="26"/>
      <c r="BD22" s="26"/>
      <c r="BE22" s="26"/>
      <c r="BF22" s="26"/>
      <c r="BG22" s="26"/>
      <c r="BH22" s="26"/>
    </row>
    <row r="23" spans="1:60" ht="21" customHeight="1" thickBot="1" x14ac:dyDescent="0.3">
      <c r="A23"/>
      <c r="D23" s="641" t="s">
        <v>144</v>
      </c>
      <c r="E23" s="642"/>
      <c r="F23" s="649"/>
      <c r="G23" s="649"/>
      <c r="H23" s="649"/>
      <c r="I23" s="649"/>
      <c r="J23" s="649"/>
      <c r="K23" s="650">
        <v>9.9999999999999995E-8</v>
      </c>
      <c r="L23" s="651">
        <f>0</f>
        <v>0</v>
      </c>
      <c r="M23" s="652">
        <v>0</v>
      </c>
      <c r="N23" s="653"/>
      <c r="O23" s="633"/>
      <c r="P23"/>
      <c r="Q23"/>
      <c r="R23"/>
      <c r="S23" s="92"/>
      <c r="T23"/>
      <c r="U23"/>
      <c r="V23" s="97"/>
      <c r="W23" s="98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Y23" s="26"/>
      <c r="AZ23" s="26"/>
      <c r="BA23" s="26"/>
      <c r="BB23" s="26"/>
      <c r="BC23" s="26"/>
      <c r="BD23" s="26"/>
      <c r="BE23" s="26"/>
      <c r="BF23" s="26"/>
      <c r="BG23" s="26"/>
      <c r="BH23" s="26"/>
    </row>
    <row r="24" spans="1:60" ht="21" customHeight="1" thickBot="1" x14ac:dyDescent="0.3">
      <c r="A24"/>
      <c r="D24" s="24" t="s">
        <v>30</v>
      </c>
      <c r="E24" s="85"/>
      <c r="F24" s="81"/>
      <c r="G24" s="81"/>
      <c r="H24" s="81"/>
      <c r="I24" s="81"/>
      <c r="J24" s="81"/>
      <c r="K24" s="82"/>
      <c r="L24" s="83">
        <f>SUM(L22:L23)</f>
        <v>5.2000000000000005E-2</v>
      </c>
      <c r="M24" s="84">
        <f>SUM(M22:M23)</f>
        <v>5200000</v>
      </c>
      <c r="N24" s="629"/>
      <c r="O24" s="65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Y24" s="26"/>
      <c r="AZ24" s="26"/>
      <c r="BA24" s="26"/>
      <c r="BB24" s="26"/>
      <c r="BC24" s="26"/>
      <c r="BD24" s="26"/>
      <c r="BE24" s="26"/>
      <c r="BF24" s="26"/>
      <c r="BG24" s="26"/>
      <c r="BH24" s="26"/>
    </row>
    <row r="25" spans="1:60" ht="21" customHeight="1" thickBot="1" x14ac:dyDescent="0.25">
      <c r="A25"/>
      <c r="D25" s="99"/>
      <c r="O25" s="633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Y25" s="26"/>
      <c r="AZ25" s="26"/>
      <c r="BA25" s="26"/>
      <c r="BB25" s="26"/>
      <c r="BC25" s="26"/>
      <c r="BD25" s="26"/>
      <c r="BE25" s="26"/>
      <c r="BF25" s="26"/>
      <c r="BG25" s="26"/>
      <c r="BH25" s="26"/>
    </row>
    <row r="26" spans="1:60" ht="21" customHeight="1" thickBot="1" x14ac:dyDescent="0.3">
      <c r="A26"/>
      <c r="D26" s="69" t="s">
        <v>25</v>
      </c>
      <c r="E26" s="70"/>
      <c r="F26" s="70"/>
      <c r="G26" s="70"/>
      <c r="H26" s="70"/>
      <c r="I26" s="70"/>
      <c r="J26" s="70"/>
      <c r="K26" s="70"/>
      <c r="L26" s="71">
        <f>L24+L21</f>
        <v>50040000.052000001</v>
      </c>
      <c r="M26" s="72">
        <f>M24+M21</f>
        <v>31240000</v>
      </c>
      <c r="N26" s="72">
        <f>N21+N24</f>
        <v>40000</v>
      </c>
      <c r="O26" s="7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</row>
    <row r="27" spans="1:60" s="26" customFormat="1" ht="21" customHeight="1" x14ac:dyDescent="0.2">
      <c r="A27"/>
      <c r="B27"/>
      <c r="C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60" s="26" customFormat="1" ht="13.5" thickBot="1" x14ac:dyDescent="0.25">
      <c r="A28"/>
      <c r="B28"/>
      <c r="C28"/>
      <c r="Q28"/>
      <c r="R28"/>
      <c r="S28"/>
      <c r="T28"/>
      <c r="U28"/>
    </row>
    <row r="29" spans="1:60" ht="21" customHeight="1" thickBot="1" x14ac:dyDescent="0.3">
      <c r="A29"/>
      <c r="D29" s="73" t="s">
        <v>65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5"/>
      <c r="S29" s="99"/>
      <c r="T29" s="94"/>
      <c r="U29"/>
      <c r="V29"/>
      <c r="W29"/>
      <c r="Y29" s="28"/>
      <c r="AY29" s="26"/>
      <c r="AZ29" s="26"/>
      <c r="BA29" s="26"/>
      <c r="BB29" s="26"/>
      <c r="BC29" s="26"/>
      <c r="BD29" s="26"/>
      <c r="BE29" s="26"/>
    </row>
    <row r="30" spans="1:60" ht="21" customHeight="1" thickBot="1" x14ac:dyDescent="0.3">
      <c r="A30"/>
      <c r="D30" s="17" t="s">
        <v>29</v>
      </c>
      <c r="E30" s="17" t="s">
        <v>42</v>
      </c>
      <c r="F30" s="14" t="str">
        <f t="array" ref="F30:O30">IF(TRANSPOSE(D10:D19)="","",TRANSPOSE(D10:D19))</f>
        <v>Series A</v>
      </c>
      <c r="G30" s="14" t="str">
        <v>Series B</v>
      </c>
      <c r="H30" s="14" t="str">
        <v>Series C</v>
      </c>
      <c r="I30" s="14" t="str">
        <v>Series D</v>
      </c>
      <c r="J30" s="14" t="str">
        <v>-</v>
      </c>
      <c r="K30" s="14" t="str">
        <v>-</v>
      </c>
      <c r="L30" s="14" t="str">
        <v>-</v>
      </c>
      <c r="M30" s="14" t="str">
        <v>-</v>
      </c>
      <c r="N30" s="14" t="str">
        <v>-</v>
      </c>
      <c r="O30" s="280" t="str">
        <v>-</v>
      </c>
      <c r="P30" s="282" t="s">
        <v>0</v>
      </c>
      <c r="Q30" s="14" t="s">
        <v>1</v>
      </c>
      <c r="R30" s="11" t="s">
        <v>28</v>
      </c>
      <c r="S30" s="99"/>
      <c r="T30"/>
      <c r="U30"/>
      <c r="V30" s="100"/>
      <c r="W30" s="100"/>
      <c r="X30" s="44"/>
      <c r="Y30" s="44"/>
      <c r="AY30" s="26"/>
      <c r="AZ30" s="26"/>
      <c r="BA30" s="26"/>
      <c r="BB30" s="26"/>
      <c r="BC30" s="26"/>
      <c r="BD30" s="26"/>
      <c r="BE30" s="26"/>
    </row>
    <row r="31" spans="1:60" ht="21" customHeight="1" x14ac:dyDescent="0.25">
      <c r="A31"/>
      <c r="D31" s="952" t="s">
        <v>148</v>
      </c>
      <c r="E31" s="355"/>
      <c r="F31" s="356">
        <v>1000000</v>
      </c>
      <c r="G31" s="357">
        <v>1000000</v>
      </c>
      <c r="H31" s="357">
        <v>0</v>
      </c>
      <c r="I31" s="357">
        <v>0</v>
      </c>
      <c r="J31" s="357">
        <v>0</v>
      </c>
      <c r="K31" s="357">
        <v>0</v>
      </c>
      <c r="L31" s="357">
        <v>0</v>
      </c>
      <c r="M31" s="357">
        <v>0</v>
      </c>
      <c r="N31" s="357">
        <v>0</v>
      </c>
      <c r="O31" s="357">
        <v>0</v>
      </c>
      <c r="P31" s="358">
        <v>0</v>
      </c>
      <c r="Q31" s="359">
        <v>0</v>
      </c>
      <c r="R31" s="86">
        <f>SUM(F31:Q31)</f>
        <v>2000000</v>
      </c>
      <c r="S31" s="99"/>
      <c r="T31"/>
      <c r="U31"/>
      <c r="V31"/>
      <c r="W31"/>
      <c r="AY31" s="26"/>
      <c r="AZ31" s="26"/>
      <c r="BA31" s="26"/>
      <c r="BB31" s="26"/>
      <c r="BC31" s="26"/>
      <c r="BD31" s="26"/>
      <c r="BE31" s="26"/>
    </row>
    <row r="32" spans="1:60" ht="21" customHeight="1" x14ac:dyDescent="0.25">
      <c r="A32"/>
      <c r="D32" s="360" t="s">
        <v>75</v>
      </c>
      <c r="E32" s="361"/>
      <c r="F32" s="362">
        <v>1000000</v>
      </c>
      <c r="G32" s="363">
        <v>1000000</v>
      </c>
      <c r="H32" s="363">
        <v>0</v>
      </c>
      <c r="I32" s="363">
        <v>0</v>
      </c>
      <c r="J32" s="363">
        <v>0</v>
      </c>
      <c r="K32" s="363">
        <v>0</v>
      </c>
      <c r="L32" s="363">
        <v>0</v>
      </c>
      <c r="M32" s="363">
        <v>0</v>
      </c>
      <c r="N32" s="363">
        <v>0</v>
      </c>
      <c r="O32" s="363">
        <v>0</v>
      </c>
      <c r="P32" s="364">
        <v>0</v>
      </c>
      <c r="Q32" s="365">
        <v>0</v>
      </c>
      <c r="R32" s="87">
        <f t="shared" ref="R32:R40" si="3">SUM(F32:Q32)</f>
        <v>2000000</v>
      </c>
      <c r="S32" s="99"/>
      <c r="T32"/>
      <c r="U32"/>
      <c r="V32"/>
      <c r="W32"/>
      <c r="AY32" s="26"/>
      <c r="AZ32" s="26"/>
      <c r="BA32" s="26"/>
      <c r="BB32" s="26"/>
      <c r="BC32" s="26"/>
      <c r="BD32" s="26"/>
      <c r="BE32" s="26"/>
    </row>
    <row r="33" spans="1:57" ht="21" customHeight="1" x14ac:dyDescent="0.25">
      <c r="A33"/>
      <c r="D33" s="360" t="s">
        <v>76</v>
      </c>
      <c r="E33" s="361"/>
      <c r="F33" s="362">
        <v>1000000</v>
      </c>
      <c r="G33" s="363">
        <v>1000000</v>
      </c>
      <c r="H33" s="363">
        <v>1000000</v>
      </c>
      <c r="I33" s="363">
        <v>0</v>
      </c>
      <c r="J33" s="363">
        <v>0</v>
      </c>
      <c r="K33" s="363">
        <v>0</v>
      </c>
      <c r="L33" s="363">
        <v>0</v>
      </c>
      <c r="M33" s="363">
        <v>0</v>
      </c>
      <c r="N33" s="363">
        <v>0</v>
      </c>
      <c r="O33" s="363">
        <v>0</v>
      </c>
      <c r="P33" s="364">
        <v>0</v>
      </c>
      <c r="Q33" s="365">
        <v>0</v>
      </c>
      <c r="R33" s="87">
        <f t="shared" si="3"/>
        <v>3000000</v>
      </c>
      <c r="S33" s="99"/>
      <c r="T33"/>
      <c r="U33"/>
      <c r="V33"/>
      <c r="W33"/>
      <c r="AY33" s="26"/>
      <c r="AZ33" s="26"/>
      <c r="BA33" s="26"/>
      <c r="BB33" s="26"/>
      <c r="BC33" s="26"/>
      <c r="BD33" s="26"/>
      <c r="BE33" s="26"/>
    </row>
    <row r="34" spans="1:57" ht="21" customHeight="1" x14ac:dyDescent="0.25">
      <c r="A34"/>
      <c r="D34" s="360" t="s">
        <v>119</v>
      </c>
      <c r="E34" s="361"/>
      <c r="F34" s="362">
        <v>1000000</v>
      </c>
      <c r="G34" s="363">
        <v>1000000</v>
      </c>
      <c r="H34" s="363">
        <v>1000000</v>
      </c>
      <c r="I34" s="363">
        <v>0</v>
      </c>
      <c r="J34" s="363">
        <v>0</v>
      </c>
      <c r="K34" s="363">
        <v>0</v>
      </c>
      <c r="L34" s="363">
        <v>0</v>
      </c>
      <c r="M34" s="363">
        <v>0</v>
      </c>
      <c r="N34" s="363">
        <v>0</v>
      </c>
      <c r="O34" s="363">
        <v>0</v>
      </c>
      <c r="P34" s="364">
        <v>0</v>
      </c>
      <c r="Q34" s="365">
        <v>0</v>
      </c>
      <c r="R34" s="87">
        <f t="shared" si="3"/>
        <v>3000000</v>
      </c>
      <c r="S34" s="99"/>
      <c r="T34"/>
      <c r="U34"/>
      <c r="V34"/>
      <c r="W34"/>
      <c r="AY34" s="26"/>
      <c r="AZ34" s="26"/>
      <c r="BA34" s="26"/>
      <c r="BB34" s="26"/>
      <c r="BC34" s="26"/>
      <c r="BD34" s="26"/>
      <c r="BE34" s="26"/>
    </row>
    <row r="35" spans="1:57" ht="21" customHeight="1" x14ac:dyDescent="0.25">
      <c r="A35"/>
      <c r="D35" s="360" t="s">
        <v>120</v>
      </c>
      <c r="E35" s="361"/>
      <c r="F35" s="362">
        <v>1000000</v>
      </c>
      <c r="G35" s="363">
        <v>1000000</v>
      </c>
      <c r="H35" s="363">
        <v>1000000</v>
      </c>
      <c r="I35" s="363">
        <v>0</v>
      </c>
      <c r="J35" s="363">
        <v>0</v>
      </c>
      <c r="K35" s="363">
        <v>0</v>
      </c>
      <c r="L35" s="363">
        <v>0</v>
      </c>
      <c r="M35" s="363">
        <v>0</v>
      </c>
      <c r="N35" s="363">
        <v>0</v>
      </c>
      <c r="O35" s="363">
        <v>0</v>
      </c>
      <c r="P35" s="364">
        <v>0</v>
      </c>
      <c r="Q35" s="365">
        <v>0</v>
      </c>
      <c r="R35" s="87">
        <f t="shared" si="3"/>
        <v>3000000</v>
      </c>
      <c r="S35" s="99"/>
      <c r="T35"/>
      <c r="U35"/>
      <c r="V35"/>
      <c r="W35"/>
      <c r="AY35" s="26"/>
      <c r="AZ35" s="26"/>
      <c r="BA35" s="26"/>
      <c r="BB35" s="26"/>
      <c r="BC35" s="26"/>
      <c r="BD35" s="26"/>
      <c r="BE35" s="26"/>
    </row>
    <row r="36" spans="1:57" ht="21" customHeight="1" x14ac:dyDescent="0.25">
      <c r="A36"/>
      <c r="D36" s="360" t="s">
        <v>121</v>
      </c>
      <c r="E36" s="361"/>
      <c r="F36" s="362">
        <v>0</v>
      </c>
      <c r="G36" s="363">
        <v>0</v>
      </c>
      <c r="H36" s="363">
        <v>1000000</v>
      </c>
      <c r="I36" s="363">
        <f>10000000/3</f>
        <v>3333333.3333333335</v>
      </c>
      <c r="J36" s="363">
        <v>0</v>
      </c>
      <c r="K36" s="363">
        <v>0</v>
      </c>
      <c r="L36" s="363">
        <v>0</v>
      </c>
      <c r="M36" s="363">
        <v>0</v>
      </c>
      <c r="N36" s="363">
        <v>0</v>
      </c>
      <c r="O36" s="363">
        <v>0</v>
      </c>
      <c r="P36" s="364">
        <v>0</v>
      </c>
      <c r="Q36" s="365">
        <v>0</v>
      </c>
      <c r="R36" s="87">
        <f t="shared" si="3"/>
        <v>4333333.333333334</v>
      </c>
      <c r="S36" s="99"/>
      <c r="T36"/>
      <c r="U36"/>
      <c r="V36"/>
      <c r="W36"/>
      <c r="AY36" s="26"/>
      <c r="AZ36" s="26"/>
      <c r="BA36" s="26"/>
      <c r="BB36" s="26"/>
      <c r="BC36" s="26"/>
      <c r="BD36" s="26"/>
      <c r="BE36" s="26"/>
    </row>
    <row r="37" spans="1:57" ht="21" customHeight="1" x14ac:dyDescent="0.25">
      <c r="A37"/>
      <c r="D37" s="360" t="s">
        <v>122</v>
      </c>
      <c r="E37" s="361"/>
      <c r="F37" s="362">
        <v>0</v>
      </c>
      <c r="G37" s="363">
        <v>0</v>
      </c>
      <c r="H37" s="363">
        <v>1000000</v>
      </c>
      <c r="I37" s="363">
        <f t="shared" ref="I37:I38" si="4">10000000/3</f>
        <v>3333333.3333333335</v>
      </c>
      <c r="J37" s="363">
        <v>0</v>
      </c>
      <c r="K37" s="363">
        <v>0</v>
      </c>
      <c r="L37" s="363">
        <v>0</v>
      </c>
      <c r="M37" s="363">
        <v>0</v>
      </c>
      <c r="N37" s="363">
        <v>0</v>
      </c>
      <c r="O37" s="363">
        <v>0</v>
      </c>
      <c r="P37" s="364">
        <v>0</v>
      </c>
      <c r="Q37" s="365">
        <v>0</v>
      </c>
      <c r="R37" s="87">
        <f t="shared" si="3"/>
        <v>4333333.333333334</v>
      </c>
      <c r="S37" s="99"/>
      <c r="T37"/>
      <c r="U37"/>
      <c r="V37"/>
      <c r="W37"/>
      <c r="AY37" s="26"/>
      <c r="AZ37" s="26"/>
      <c r="BA37" s="26"/>
      <c r="BB37" s="26"/>
      <c r="BC37" s="26"/>
      <c r="BD37" s="26"/>
      <c r="BE37" s="26"/>
    </row>
    <row r="38" spans="1:57" ht="21" customHeight="1" x14ac:dyDescent="0.25">
      <c r="A38"/>
      <c r="D38" s="360" t="s">
        <v>123</v>
      </c>
      <c r="E38" s="361"/>
      <c r="F38" s="362">
        <v>0</v>
      </c>
      <c r="G38" s="363">
        <v>0</v>
      </c>
      <c r="H38" s="363">
        <v>1000000</v>
      </c>
      <c r="I38" s="363">
        <f t="shared" si="4"/>
        <v>3333333.3333333335</v>
      </c>
      <c r="J38" s="363">
        <v>0</v>
      </c>
      <c r="K38" s="363">
        <v>0</v>
      </c>
      <c r="L38" s="363">
        <v>0</v>
      </c>
      <c r="M38" s="363">
        <v>0</v>
      </c>
      <c r="N38" s="363">
        <v>0</v>
      </c>
      <c r="O38" s="363">
        <v>0</v>
      </c>
      <c r="P38" s="364">
        <v>0</v>
      </c>
      <c r="Q38" s="365">
        <v>0</v>
      </c>
      <c r="R38" s="87">
        <f t="shared" si="3"/>
        <v>4333333.333333334</v>
      </c>
      <c r="S38" s="99"/>
      <c r="T38"/>
      <c r="U38"/>
      <c r="V38"/>
      <c r="W38"/>
      <c r="AY38" s="26"/>
      <c r="AZ38" s="26"/>
      <c r="BA38" s="26"/>
      <c r="BB38" s="26"/>
      <c r="BC38" s="26"/>
      <c r="BD38" s="26"/>
      <c r="BE38" s="26"/>
    </row>
    <row r="39" spans="1:57" ht="21" customHeight="1" x14ac:dyDescent="0.25">
      <c r="A39"/>
      <c r="D39" s="366" t="s">
        <v>31</v>
      </c>
      <c r="E39" s="361"/>
      <c r="F39" s="362">
        <v>0</v>
      </c>
      <c r="G39" s="363">
        <v>0</v>
      </c>
      <c r="H39" s="363">
        <v>0</v>
      </c>
      <c r="I39" s="363">
        <v>0</v>
      </c>
      <c r="J39" s="363">
        <v>0</v>
      </c>
      <c r="K39" s="363">
        <v>0</v>
      </c>
      <c r="L39" s="363">
        <v>0</v>
      </c>
      <c r="M39" s="363">
        <v>0</v>
      </c>
      <c r="N39" s="363">
        <v>0</v>
      </c>
      <c r="O39" s="363">
        <v>0</v>
      </c>
      <c r="P39" s="364">
        <v>0</v>
      </c>
      <c r="Q39" s="365">
        <v>0</v>
      </c>
      <c r="R39" s="87">
        <f t="shared" si="3"/>
        <v>0</v>
      </c>
      <c r="S39" s="99"/>
      <c r="T39"/>
      <c r="U39"/>
      <c r="V39"/>
      <c r="W39"/>
      <c r="AY39" s="26"/>
      <c r="AZ39" s="26"/>
      <c r="BA39" s="26"/>
      <c r="BB39" s="26"/>
      <c r="BC39" s="26"/>
      <c r="BD39" s="26"/>
      <c r="BE39" s="26"/>
    </row>
    <row r="40" spans="1:57" ht="21" customHeight="1" thickBot="1" x14ac:dyDescent="0.3">
      <c r="A40"/>
      <c r="D40" s="262" t="s">
        <v>7</v>
      </c>
      <c r="E40" s="655"/>
      <c r="F40" s="656"/>
      <c r="G40" s="657"/>
      <c r="H40" s="657"/>
      <c r="I40" s="657"/>
      <c r="J40" s="657"/>
      <c r="K40" s="657"/>
      <c r="L40" s="657"/>
      <c r="M40" s="657"/>
      <c r="N40" s="657"/>
      <c r="O40" s="658"/>
      <c r="P40" s="364">
        <v>5200000</v>
      </c>
      <c r="Q40" s="367">
        <f>M23</f>
        <v>0</v>
      </c>
      <c r="R40" s="263">
        <f t="shared" si="3"/>
        <v>5200000</v>
      </c>
      <c r="S40" s="99"/>
      <c r="T40"/>
      <c r="U40"/>
      <c r="V40"/>
      <c r="W40"/>
      <c r="AY40" s="26"/>
      <c r="AZ40" s="26"/>
      <c r="BA40" s="26"/>
      <c r="BB40" s="26"/>
      <c r="BC40" s="26"/>
      <c r="BD40" s="26"/>
      <c r="BE40" s="26"/>
    </row>
    <row r="41" spans="1:57" ht="21" hidden="1" customHeight="1" thickBot="1" x14ac:dyDescent="0.3">
      <c r="A41"/>
      <c r="D41" s="88" t="s">
        <v>3</v>
      </c>
      <c r="E41" s="264"/>
      <c r="F41" s="265">
        <f t="array" ref="F41:O41">TRANSPOSE(N10:N20)</f>
        <v>10000</v>
      </c>
      <c r="G41" s="266">
        <v>10000</v>
      </c>
      <c r="H41" s="266">
        <v>10000</v>
      </c>
      <c r="I41" s="266">
        <v>10000</v>
      </c>
      <c r="J41" s="266">
        <v>0</v>
      </c>
      <c r="K41" s="266">
        <v>0</v>
      </c>
      <c r="L41" s="266">
        <v>0</v>
      </c>
      <c r="M41" s="266">
        <v>0</v>
      </c>
      <c r="N41" s="266">
        <v>0</v>
      </c>
      <c r="O41" s="281">
        <v>0</v>
      </c>
      <c r="P41" s="283"/>
      <c r="Q41" s="279"/>
      <c r="R41" s="263">
        <f t="shared" ref="R41" si="5">SUM(F41:O41)</f>
        <v>40000</v>
      </c>
      <c r="S41" s="99"/>
      <c r="T41"/>
      <c r="U41"/>
      <c r="V41"/>
      <c r="W41"/>
      <c r="AY41" s="26"/>
      <c r="AZ41" s="26"/>
      <c r="BA41" s="26"/>
      <c r="BB41" s="26"/>
      <c r="BC41" s="26"/>
      <c r="BD41" s="26"/>
      <c r="BE41" s="26"/>
    </row>
    <row r="42" spans="1:57" ht="21" customHeight="1" thickBot="1" x14ac:dyDescent="0.3">
      <c r="A42"/>
      <c r="D42" s="12" t="s">
        <v>25</v>
      </c>
      <c r="E42" s="45"/>
      <c r="F42" s="46">
        <f>IF(SUM(F31:F40)=0,"",SUM(F31:F40))</f>
        <v>5000000</v>
      </c>
      <c r="G42" s="49">
        <f t="shared" ref="G42:Q42" si="6">IF(SUM(G31:G40)=0,"",SUM(G31:G40))</f>
        <v>5000000</v>
      </c>
      <c r="H42" s="49">
        <f t="shared" si="6"/>
        <v>6000000</v>
      </c>
      <c r="I42" s="49">
        <f t="shared" si="6"/>
        <v>10000000</v>
      </c>
      <c r="J42" s="49" t="str">
        <f t="shared" si="6"/>
        <v/>
      </c>
      <c r="K42" s="49" t="str">
        <f>IF(SUM(K31:K40)=0,"",SUM(K31:K40))</f>
        <v/>
      </c>
      <c r="L42" s="49" t="str">
        <f t="shared" si="6"/>
        <v/>
      </c>
      <c r="M42" s="49" t="str">
        <f t="shared" si="6"/>
        <v/>
      </c>
      <c r="N42" s="49" t="str">
        <f>IF(SUM(N31:N40)=0,"",SUM(N31:N40))</f>
        <v/>
      </c>
      <c r="O42" s="49" t="str">
        <f>IF(SUM(O31:O40)=0,"",SUM(O31:O40))</f>
        <v/>
      </c>
      <c r="P42" s="284">
        <f t="shared" si="6"/>
        <v>5200000</v>
      </c>
      <c r="Q42" s="49" t="str">
        <f t="shared" si="6"/>
        <v/>
      </c>
      <c r="R42" s="48">
        <f>SUM(R31:R41)</f>
        <v>31240000.000000007</v>
      </c>
      <c r="S42" s="99"/>
      <c r="T42"/>
      <c r="U42"/>
      <c r="V42"/>
      <c r="W42"/>
      <c r="AY42" s="26"/>
      <c r="AZ42" s="26"/>
      <c r="BA42" s="26"/>
      <c r="BB42" s="26"/>
      <c r="BC42" s="26"/>
      <c r="BD42" s="26"/>
      <c r="BE42" s="26"/>
    </row>
    <row r="43" spans="1:57" ht="21" customHeight="1" thickBot="1" x14ac:dyDescent="0.25">
      <c r="A43"/>
      <c r="D43" s="26"/>
      <c r="E43" s="26"/>
      <c r="F43" s="26"/>
      <c r="G43" s="26"/>
      <c r="H43" s="26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57" ht="19.5" thickBot="1" x14ac:dyDescent="0.25">
      <c r="A44"/>
      <c r="D44" s="73" t="s">
        <v>73</v>
      </c>
      <c r="E44" s="74"/>
      <c r="F44" s="74"/>
      <c r="G44" s="74"/>
      <c r="H44" s="76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57" ht="26.25" customHeight="1" thickBot="1" x14ac:dyDescent="0.3">
      <c r="A45"/>
      <c r="D45" s="45" t="s">
        <v>47</v>
      </c>
      <c r="E45" s="953"/>
      <c r="F45" s="953"/>
      <c r="G45" s="953"/>
      <c r="H45" s="954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57" ht="26.25" customHeight="1" thickBot="1" x14ac:dyDescent="0.3">
      <c r="A46" s="91"/>
      <c r="B46" s="92"/>
      <c r="D46" s="45" t="s">
        <v>48</v>
      </c>
      <c r="E46" s="953"/>
      <c r="F46" s="953"/>
      <c r="G46" s="953"/>
      <c r="H46" s="954"/>
      <c r="N46" s="102"/>
      <c r="O46"/>
      <c r="P46" s="101"/>
      <c r="Q46" s="101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57" ht="20.25" customHeight="1" thickBot="1" x14ac:dyDescent="0.3">
      <c r="A47"/>
      <c r="D47" s="45" t="s">
        <v>49</v>
      </c>
      <c r="E47" s="953"/>
      <c r="F47" s="953"/>
      <c r="G47" s="953"/>
      <c r="H47" s="954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57" ht="20.25" customHeight="1" thickBot="1" x14ac:dyDescent="0.3">
      <c r="A48"/>
      <c r="D48" s="45" t="s">
        <v>50</v>
      </c>
      <c r="E48" s="953"/>
      <c r="F48" s="953"/>
      <c r="G48" s="953"/>
      <c r="H48" s="954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ht="21" customHeight="1" x14ac:dyDescent="0.2">
      <c r="A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ht="21" customHeight="1" x14ac:dyDescent="0.2">
      <c r="A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ht="21" customHeight="1" x14ac:dyDescent="0.25">
      <c r="A51" s="93"/>
      <c r="B51" s="93"/>
      <c r="C51" s="93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ht="21" customHeight="1" x14ac:dyDescent="0.2">
      <c r="A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ht="21" customHeight="1" x14ac:dyDescent="0.2">
      <c r="A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ht="21" customHeight="1" x14ac:dyDescent="0.2">
      <c r="A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ht="21" customHeight="1" x14ac:dyDescent="0.2">
      <c r="A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ht="21" customHeight="1" x14ac:dyDescent="0.2">
      <c r="A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ht="21" customHeight="1" x14ac:dyDescent="0.2">
      <c r="A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ht="21" customHeight="1" x14ac:dyDescent="0.2">
      <c r="A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ht="21" customHeight="1" x14ac:dyDescent="0.2">
      <c r="A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ht="21" customHeight="1" x14ac:dyDescent="0.2">
      <c r="A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</row>
    <row r="61" spans="1:31" ht="21" customHeight="1" x14ac:dyDescent="0.2">
      <c r="A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</row>
    <row r="62" spans="1:31" x14ac:dyDescent="0.2">
      <c r="A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</row>
    <row r="63" spans="1:31" x14ac:dyDescent="0.2">
      <c r="A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</row>
    <row r="64" spans="1:31" x14ac:dyDescent="0.2">
      <c r="A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</row>
    <row r="65" spans="1:31" x14ac:dyDescent="0.2">
      <c r="A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x14ac:dyDescent="0.2">
      <c r="A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</row>
    <row r="67" spans="1:31" x14ac:dyDescent="0.2">
      <c r="A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</row>
    <row r="68" spans="1:31" x14ac:dyDescent="0.2">
      <c r="A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</row>
    <row r="69" spans="1:31" x14ac:dyDescent="0.2">
      <c r="A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</row>
    <row r="70" spans="1:31" x14ac:dyDescent="0.2">
      <c r="A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</row>
    <row r="71" spans="1:31" s="26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</row>
    <row r="72" spans="1:31" s="26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1:31" s="26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1:31" s="26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1:31" s="26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1:31" s="26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</row>
    <row r="77" spans="1:31" s="26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1:31" s="26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1:31" s="26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1:31" s="26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1:31" s="26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1:31" s="26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1:31" s="26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1:31" s="26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</row>
    <row r="85" spans="1:31" s="26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</row>
    <row r="86" spans="1:31" s="26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</row>
    <row r="87" spans="1:31" x14ac:dyDescent="0.2">
      <c r="A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</row>
    <row r="88" spans="1:31" x14ac:dyDescent="0.2">
      <c r="A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</row>
    <row r="89" spans="1:31" x14ac:dyDescent="0.2">
      <c r="A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</row>
    <row r="90" spans="1:31" x14ac:dyDescent="0.2">
      <c r="A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</row>
    <row r="91" spans="1:31" x14ac:dyDescent="0.2">
      <c r="A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</row>
    <row r="92" spans="1:31" x14ac:dyDescent="0.2">
      <c r="A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</row>
    <row r="93" spans="1:31" x14ac:dyDescent="0.2">
      <c r="A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</row>
    <row r="94" spans="1:31" x14ac:dyDescent="0.2">
      <c r="A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</row>
    <row r="95" spans="1:31" x14ac:dyDescent="0.2">
      <c r="A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</row>
    <row r="96" spans="1:31" x14ac:dyDescent="0.2">
      <c r="A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</row>
    <row r="97" spans="1:31" x14ac:dyDescent="0.2">
      <c r="A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</row>
    <row r="98" spans="1:31" x14ac:dyDescent="0.2">
      <c r="A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</row>
    <row r="99" spans="1:31" x14ac:dyDescent="0.2">
      <c r="A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</row>
    <row r="100" spans="1:31" x14ac:dyDescent="0.2">
      <c r="A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</row>
    <row r="101" spans="1:31" x14ac:dyDescent="0.2">
      <c r="A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1:31" x14ac:dyDescent="0.2">
      <c r="A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</row>
    <row r="103" spans="1:31" x14ac:dyDescent="0.2">
      <c r="A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</row>
    <row r="104" spans="1:31" x14ac:dyDescent="0.2">
      <c r="A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</row>
    <row r="105" spans="1:31" x14ac:dyDescent="0.2">
      <c r="A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</row>
    <row r="106" spans="1:31" x14ac:dyDescent="0.2">
      <c r="A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 x14ac:dyDescent="0.2">
      <c r="A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 x14ac:dyDescent="0.2">
      <c r="A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 x14ac:dyDescent="0.2">
      <c r="A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</row>
    <row r="110" spans="1:31" x14ac:dyDescent="0.2">
      <c r="A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</row>
    <row r="111" spans="1:31" x14ac:dyDescent="0.2">
      <c r="A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</row>
    <row r="112" spans="1:31" x14ac:dyDescent="0.2">
      <c r="A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</row>
    <row r="113" spans="1:31" x14ac:dyDescent="0.2">
      <c r="A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</row>
    <row r="114" spans="1:31" x14ac:dyDescent="0.2">
      <c r="A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</row>
    <row r="115" spans="1:31" x14ac:dyDescent="0.2">
      <c r="A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</row>
    <row r="116" spans="1:31" x14ac:dyDescent="0.2">
      <c r="A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</row>
    <row r="117" spans="1:31" x14ac:dyDescent="0.2">
      <c r="A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</row>
    <row r="118" spans="1:31" x14ac:dyDescent="0.2">
      <c r="A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</row>
    <row r="119" spans="1:31" x14ac:dyDescent="0.2">
      <c r="A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</row>
    <row r="120" spans="1:31" x14ac:dyDescent="0.2">
      <c r="A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</row>
    <row r="121" spans="1:31" x14ac:dyDescent="0.2">
      <c r="A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</row>
    <row r="122" spans="1:31" x14ac:dyDescent="0.2">
      <c r="A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</row>
    <row r="123" spans="1:31" x14ac:dyDescent="0.2">
      <c r="A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</row>
    <row r="124" spans="1:31" x14ac:dyDescent="0.2">
      <c r="A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</row>
    <row r="125" spans="1:31" x14ac:dyDescent="0.2">
      <c r="A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 spans="1:31" x14ac:dyDescent="0.2">
      <c r="A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 spans="1:31" x14ac:dyDescent="0.2">
      <c r="A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</row>
    <row r="128" spans="1:31" x14ac:dyDescent="0.2">
      <c r="A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</row>
    <row r="129" spans="1:31" x14ac:dyDescent="0.2">
      <c r="A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</row>
    <row r="130" spans="1:31" x14ac:dyDescent="0.2">
      <c r="A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</row>
    <row r="131" spans="1:31" x14ac:dyDescent="0.2">
      <c r="A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</row>
    <row r="132" spans="1:31" x14ac:dyDescent="0.2">
      <c r="A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</row>
    <row r="133" spans="1:31" x14ac:dyDescent="0.2">
      <c r="A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</row>
    <row r="134" spans="1:31" x14ac:dyDescent="0.2">
      <c r="A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</row>
    <row r="135" spans="1:31" x14ac:dyDescent="0.2">
      <c r="A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</row>
    <row r="136" spans="1:31" x14ac:dyDescent="0.2">
      <c r="A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</row>
    <row r="137" spans="1:31" x14ac:dyDescent="0.2">
      <c r="A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</row>
    <row r="138" spans="1:31" x14ac:dyDescent="0.2">
      <c r="A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</row>
    <row r="139" spans="1:31" x14ac:dyDescent="0.2">
      <c r="A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</row>
    <row r="140" spans="1:31" x14ac:dyDescent="0.2">
      <c r="A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</row>
    <row r="141" spans="1:31" x14ac:dyDescent="0.2">
      <c r="A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</row>
    <row r="142" spans="1:31" x14ac:dyDescent="0.2">
      <c r="A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</row>
    <row r="143" spans="1:31" x14ac:dyDescent="0.2">
      <c r="A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</row>
    <row r="144" spans="1:31" x14ac:dyDescent="0.2">
      <c r="A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</row>
    <row r="145" spans="1:31" x14ac:dyDescent="0.2">
      <c r="A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</row>
    <row r="146" spans="1:31" x14ac:dyDescent="0.2">
      <c r="A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</row>
    <row r="147" spans="1:31" x14ac:dyDescent="0.2">
      <c r="A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</row>
    <row r="148" spans="1:31" x14ac:dyDescent="0.2">
      <c r="A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</row>
    <row r="149" spans="1:31" x14ac:dyDescent="0.2">
      <c r="A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</row>
    <row r="150" spans="1:31" x14ac:dyDescent="0.2">
      <c r="A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</row>
    <row r="151" spans="1:31" x14ac:dyDescent="0.2">
      <c r="A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</row>
    <row r="152" spans="1:31" x14ac:dyDescent="0.2">
      <c r="A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</row>
    <row r="153" spans="1:31" x14ac:dyDescent="0.2">
      <c r="A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</row>
    <row r="154" spans="1:31" x14ac:dyDescent="0.2">
      <c r="A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</row>
    <row r="155" spans="1:31" x14ac:dyDescent="0.2">
      <c r="A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</row>
    <row r="156" spans="1:31" x14ac:dyDescent="0.2">
      <c r="A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</row>
    <row r="157" spans="1:31" x14ac:dyDescent="0.2">
      <c r="A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</row>
    <row r="158" spans="1:31" x14ac:dyDescent="0.2">
      <c r="A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</row>
    <row r="159" spans="1:31" x14ac:dyDescent="0.2">
      <c r="A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</row>
    <row r="160" spans="1:31" x14ac:dyDescent="0.2">
      <c r="A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</row>
    <row r="161" spans="1:31" x14ac:dyDescent="0.2">
      <c r="A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</row>
    <row r="162" spans="1:31" x14ac:dyDescent="0.2">
      <c r="A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</row>
    <row r="163" spans="1:31" x14ac:dyDescent="0.2">
      <c r="A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</row>
    <row r="164" spans="1:31" x14ac:dyDescent="0.2">
      <c r="A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</row>
    <row r="165" spans="1:31" x14ac:dyDescent="0.2">
      <c r="A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</row>
    <row r="166" spans="1:31" x14ac:dyDescent="0.2">
      <c r="A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</row>
    <row r="167" spans="1:31" x14ac:dyDescent="0.2">
      <c r="A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</row>
    <row r="168" spans="1:31" x14ac:dyDescent="0.2">
      <c r="A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</row>
    <row r="169" spans="1:31" x14ac:dyDescent="0.2">
      <c r="A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</row>
    <row r="170" spans="1:31" x14ac:dyDescent="0.2">
      <c r="A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</row>
    <row r="171" spans="1:31" x14ac:dyDescent="0.2">
      <c r="A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</row>
    <row r="172" spans="1:31" x14ac:dyDescent="0.2">
      <c r="A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</row>
    <row r="173" spans="1:31" x14ac:dyDescent="0.2">
      <c r="A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</row>
    <row r="174" spans="1:31" x14ac:dyDescent="0.2">
      <c r="A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</row>
    <row r="175" spans="1:31" x14ac:dyDescent="0.2">
      <c r="A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</row>
    <row r="176" spans="1:31" x14ac:dyDescent="0.2">
      <c r="A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</row>
    <row r="177" spans="1:31" x14ac:dyDescent="0.2">
      <c r="A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</row>
    <row r="178" spans="1:31" x14ac:dyDescent="0.2">
      <c r="A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</row>
    <row r="179" spans="1:31" x14ac:dyDescent="0.2">
      <c r="A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</row>
    <row r="180" spans="1:31" x14ac:dyDescent="0.2">
      <c r="A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</row>
    <row r="181" spans="1:31" x14ac:dyDescent="0.2">
      <c r="A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</row>
    <row r="182" spans="1:31" x14ac:dyDescent="0.2">
      <c r="A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</row>
    <row r="183" spans="1:31" x14ac:dyDescent="0.2">
      <c r="A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</row>
    <row r="184" spans="1:31" x14ac:dyDescent="0.2">
      <c r="A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</row>
    <row r="185" spans="1:31" x14ac:dyDescent="0.2">
      <c r="A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</row>
    <row r="186" spans="1:31" x14ac:dyDescent="0.2">
      <c r="A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</row>
    <row r="187" spans="1:31" x14ac:dyDescent="0.2">
      <c r="A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</row>
    <row r="188" spans="1:31" x14ac:dyDescent="0.2">
      <c r="A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</row>
    <row r="189" spans="1:31" x14ac:dyDescent="0.2">
      <c r="A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</row>
    <row r="190" spans="1:31" x14ac:dyDescent="0.2">
      <c r="A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</row>
    <row r="191" spans="1:31" x14ac:dyDescent="0.2">
      <c r="A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</row>
    <row r="192" spans="1:31" x14ac:dyDescent="0.2">
      <c r="A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</row>
    <row r="193" spans="1:31" x14ac:dyDescent="0.2">
      <c r="A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</row>
    <row r="194" spans="1:31" x14ac:dyDescent="0.2">
      <c r="A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</row>
    <row r="195" spans="1:31" x14ac:dyDescent="0.2">
      <c r="A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</row>
    <row r="196" spans="1:31" x14ac:dyDescent="0.2">
      <c r="A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</row>
    <row r="197" spans="1:31" x14ac:dyDescent="0.2">
      <c r="A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</row>
    <row r="198" spans="1:31" x14ac:dyDescent="0.2">
      <c r="A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</row>
    <row r="199" spans="1:31" x14ac:dyDescent="0.2">
      <c r="A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</row>
    <row r="200" spans="1:31" x14ac:dyDescent="0.2">
      <c r="A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</row>
    <row r="201" spans="1:31" x14ac:dyDescent="0.2">
      <c r="A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</row>
    <row r="202" spans="1:31" x14ac:dyDescent="0.2">
      <c r="A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</row>
    <row r="203" spans="1:31" x14ac:dyDescent="0.2">
      <c r="A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</row>
    <row r="204" spans="1:31" x14ac:dyDescent="0.2">
      <c r="A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</row>
    <row r="205" spans="1:31" x14ac:dyDescent="0.2">
      <c r="A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</row>
    <row r="206" spans="1:31" x14ac:dyDescent="0.2">
      <c r="A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</row>
    <row r="207" spans="1:31" x14ac:dyDescent="0.2">
      <c r="A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</row>
    <row r="208" spans="1:31" x14ac:dyDescent="0.2">
      <c r="A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</row>
    <row r="209" spans="1:31" x14ac:dyDescent="0.2">
      <c r="A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</row>
    <row r="210" spans="1:31" x14ac:dyDescent="0.2">
      <c r="A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</row>
    <row r="211" spans="1:31" x14ac:dyDescent="0.2">
      <c r="A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</row>
    <row r="212" spans="1:31" x14ac:dyDescent="0.2">
      <c r="A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</row>
    <row r="213" spans="1:31" x14ac:dyDescent="0.2">
      <c r="A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</row>
    <row r="214" spans="1:31" x14ac:dyDescent="0.2">
      <c r="A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</row>
    <row r="215" spans="1:31" x14ac:dyDescent="0.2">
      <c r="A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</row>
    <row r="216" spans="1:31" x14ac:dyDescent="0.2">
      <c r="A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</row>
    <row r="217" spans="1:31" x14ac:dyDescent="0.2">
      <c r="A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</row>
    <row r="218" spans="1:31" x14ac:dyDescent="0.2">
      <c r="A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</row>
    <row r="219" spans="1:31" x14ac:dyDescent="0.2">
      <c r="A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</row>
    <row r="220" spans="1:31" x14ac:dyDescent="0.2">
      <c r="A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</row>
    <row r="221" spans="1:31" x14ac:dyDescent="0.2">
      <c r="A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</row>
    <row r="222" spans="1:31" x14ac:dyDescent="0.2">
      <c r="A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</row>
    <row r="223" spans="1:31" x14ac:dyDescent="0.2">
      <c r="A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</row>
    <row r="224" spans="1:31" x14ac:dyDescent="0.2">
      <c r="A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</row>
    <row r="225" spans="1:31" x14ac:dyDescent="0.2">
      <c r="A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</row>
    <row r="226" spans="1:31" x14ac:dyDescent="0.2">
      <c r="A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</row>
    <row r="227" spans="1:31" x14ac:dyDescent="0.2">
      <c r="A227"/>
      <c r="Q227"/>
      <c r="R227"/>
      <c r="S227"/>
      <c r="T227"/>
      <c r="U227"/>
    </row>
    <row r="228" spans="1:31" x14ac:dyDescent="0.2">
      <c r="A228"/>
      <c r="Q228"/>
      <c r="R228"/>
      <c r="S228"/>
      <c r="T228"/>
      <c r="U228"/>
    </row>
    <row r="229" spans="1:31" x14ac:dyDescent="0.2">
      <c r="A229"/>
      <c r="Q229"/>
      <c r="R229"/>
      <c r="S229"/>
      <c r="T229"/>
      <c r="U229"/>
    </row>
    <row r="230" spans="1:31" x14ac:dyDescent="0.2">
      <c r="A230"/>
      <c r="Q230"/>
      <c r="R230"/>
      <c r="S230"/>
      <c r="T230"/>
      <c r="U230"/>
    </row>
    <row r="231" spans="1:31" x14ac:dyDescent="0.2">
      <c r="A231"/>
      <c r="Q231"/>
      <c r="R231"/>
      <c r="S231"/>
      <c r="T231"/>
      <c r="U231"/>
    </row>
    <row r="232" spans="1:31" x14ac:dyDescent="0.2">
      <c r="A232"/>
      <c r="Q232"/>
      <c r="R232"/>
      <c r="S232"/>
      <c r="T232"/>
      <c r="U232"/>
    </row>
    <row r="233" spans="1:31" x14ac:dyDescent="0.2">
      <c r="A233"/>
      <c r="Q233"/>
      <c r="R233"/>
      <c r="S233"/>
      <c r="T233"/>
      <c r="U233"/>
    </row>
    <row r="234" spans="1:31" x14ac:dyDescent="0.2">
      <c r="A234"/>
      <c r="Q234"/>
      <c r="R234"/>
      <c r="S234"/>
      <c r="T234"/>
      <c r="U234"/>
    </row>
    <row r="235" spans="1:31" x14ac:dyDescent="0.2">
      <c r="A235"/>
      <c r="Q235"/>
      <c r="R235"/>
      <c r="S235"/>
      <c r="T235"/>
      <c r="U235"/>
    </row>
    <row r="236" spans="1:31" x14ac:dyDescent="0.2">
      <c r="A236"/>
      <c r="Q236"/>
      <c r="R236"/>
      <c r="S236"/>
      <c r="T236"/>
      <c r="U236"/>
    </row>
    <row r="237" spans="1:31" x14ac:dyDescent="0.2">
      <c r="A237"/>
      <c r="Q237"/>
      <c r="R237"/>
      <c r="S237"/>
      <c r="T237"/>
      <c r="U237"/>
    </row>
    <row r="238" spans="1:31" x14ac:dyDescent="0.2">
      <c r="A238"/>
      <c r="Q238"/>
      <c r="R238"/>
      <c r="S238"/>
      <c r="T238"/>
      <c r="U238"/>
    </row>
    <row r="239" spans="1:31" x14ac:dyDescent="0.2">
      <c r="A239"/>
      <c r="Q239"/>
      <c r="R239"/>
      <c r="S239"/>
      <c r="T239"/>
      <c r="U239"/>
    </row>
    <row r="240" spans="1:31" x14ac:dyDescent="0.2">
      <c r="A240"/>
      <c r="Q240"/>
      <c r="R240"/>
      <c r="S240"/>
      <c r="T240"/>
      <c r="U240"/>
    </row>
    <row r="241" spans="1:21" x14ac:dyDescent="0.2">
      <c r="A241"/>
      <c r="Q241"/>
      <c r="R241"/>
      <c r="S241"/>
      <c r="T241"/>
      <c r="U241"/>
    </row>
    <row r="242" spans="1:21" x14ac:dyDescent="0.2">
      <c r="A242"/>
      <c r="Q242"/>
      <c r="R242"/>
      <c r="S242"/>
      <c r="T242"/>
      <c r="U242"/>
    </row>
    <row r="243" spans="1:21" x14ac:dyDescent="0.2">
      <c r="A243"/>
      <c r="Q243"/>
      <c r="R243"/>
      <c r="S243"/>
      <c r="T243"/>
      <c r="U243"/>
    </row>
    <row r="244" spans="1:21" x14ac:dyDescent="0.2">
      <c r="A244"/>
      <c r="Q244"/>
      <c r="R244"/>
      <c r="S244"/>
      <c r="T244"/>
      <c r="U244"/>
    </row>
    <row r="245" spans="1:21" x14ac:dyDescent="0.2">
      <c r="A245"/>
      <c r="Q245"/>
      <c r="R245"/>
      <c r="S245"/>
      <c r="T245"/>
      <c r="U245"/>
    </row>
    <row r="246" spans="1:21" x14ac:dyDescent="0.2">
      <c r="A246"/>
      <c r="Q246"/>
      <c r="R246"/>
      <c r="S246"/>
      <c r="T246"/>
      <c r="U246"/>
    </row>
    <row r="247" spans="1:21" x14ac:dyDescent="0.2">
      <c r="A247"/>
      <c r="Q247"/>
      <c r="R247"/>
      <c r="S247"/>
      <c r="T247"/>
      <c r="U247"/>
    </row>
    <row r="248" spans="1:21" x14ac:dyDescent="0.2">
      <c r="A248"/>
      <c r="Q248"/>
      <c r="R248"/>
      <c r="S248"/>
      <c r="T248"/>
      <c r="U248"/>
    </row>
    <row r="249" spans="1:21" x14ac:dyDescent="0.2">
      <c r="A249"/>
      <c r="Q249"/>
      <c r="R249"/>
      <c r="S249"/>
      <c r="T249"/>
      <c r="U249"/>
    </row>
    <row r="250" spans="1:21" x14ac:dyDescent="0.2">
      <c r="A250"/>
      <c r="Q250"/>
      <c r="R250"/>
      <c r="S250"/>
      <c r="T250"/>
      <c r="U250"/>
    </row>
    <row r="251" spans="1:21" x14ac:dyDescent="0.2">
      <c r="A251"/>
      <c r="Q251"/>
      <c r="R251"/>
      <c r="S251"/>
      <c r="T251"/>
      <c r="U251"/>
    </row>
    <row r="252" spans="1:21" x14ac:dyDescent="0.2">
      <c r="A252"/>
      <c r="Q252"/>
      <c r="R252"/>
      <c r="S252"/>
      <c r="T252"/>
      <c r="U252"/>
    </row>
    <row r="253" spans="1:21" x14ac:dyDescent="0.2">
      <c r="A253"/>
      <c r="Q253"/>
      <c r="R253"/>
      <c r="S253"/>
      <c r="T253"/>
      <c r="U253"/>
    </row>
    <row r="254" spans="1:21" x14ac:dyDescent="0.2">
      <c r="A254"/>
      <c r="Q254"/>
      <c r="R254"/>
      <c r="S254"/>
      <c r="T254"/>
      <c r="U254"/>
    </row>
    <row r="255" spans="1:21" x14ac:dyDescent="0.2">
      <c r="A255"/>
      <c r="Q255"/>
      <c r="R255"/>
      <c r="S255"/>
      <c r="T255"/>
      <c r="U255"/>
    </row>
    <row r="256" spans="1:21" x14ac:dyDescent="0.2">
      <c r="A256"/>
      <c r="Q256"/>
      <c r="R256"/>
      <c r="S256"/>
      <c r="T256"/>
      <c r="U256"/>
    </row>
    <row r="257" spans="1:21" x14ac:dyDescent="0.2">
      <c r="A257"/>
      <c r="Q257"/>
      <c r="R257"/>
      <c r="S257"/>
      <c r="T257"/>
      <c r="U257"/>
    </row>
    <row r="258" spans="1:21" x14ac:dyDescent="0.2">
      <c r="A258"/>
      <c r="Q258"/>
      <c r="R258"/>
      <c r="S258"/>
      <c r="T258"/>
      <c r="U258"/>
    </row>
    <row r="259" spans="1:21" x14ac:dyDescent="0.2">
      <c r="A259"/>
      <c r="Q259"/>
      <c r="R259"/>
      <c r="S259"/>
      <c r="T259"/>
      <c r="U259"/>
    </row>
    <row r="260" spans="1:21" x14ac:dyDescent="0.2">
      <c r="A260"/>
      <c r="Q260"/>
      <c r="R260"/>
      <c r="S260"/>
      <c r="T260"/>
      <c r="U260"/>
    </row>
    <row r="261" spans="1:21" x14ac:dyDescent="0.2">
      <c r="A261"/>
      <c r="Q261"/>
      <c r="R261"/>
      <c r="S261"/>
      <c r="T261"/>
      <c r="U261"/>
    </row>
    <row r="262" spans="1:21" x14ac:dyDescent="0.2">
      <c r="A262"/>
      <c r="Q262"/>
      <c r="R262"/>
      <c r="S262"/>
      <c r="T262"/>
      <c r="U262"/>
    </row>
    <row r="263" spans="1:21" x14ac:dyDescent="0.2">
      <c r="A263"/>
    </row>
    <row r="264" spans="1:21" x14ac:dyDescent="0.2">
      <c r="A264"/>
    </row>
    <row r="265" spans="1:21" x14ac:dyDescent="0.2">
      <c r="A265"/>
    </row>
    <row r="266" spans="1:21" x14ac:dyDescent="0.2">
      <c r="A266"/>
    </row>
    <row r="267" spans="1:21" x14ac:dyDescent="0.2">
      <c r="A267"/>
    </row>
    <row r="268" spans="1:21" x14ac:dyDescent="0.2">
      <c r="A268"/>
    </row>
    <row r="269" spans="1:21" x14ac:dyDescent="0.2">
      <c r="A269"/>
    </row>
    <row r="270" spans="1:21" x14ac:dyDescent="0.2">
      <c r="A270"/>
    </row>
    <row r="271" spans="1:21" x14ac:dyDescent="0.2">
      <c r="A271"/>
    </row>
    <row r="272" spans="1:2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</sheetData>
  <mergeCells count="7">
    <mergeCell ref="E47:H47"/>
    <mergeCell ref="E48:H48"/>
    <mergeCell ref="A2:O2"/>
    <mergeCell ref="A3:O3"/>
    <mergeCell ref="E45:H45"/>
    <mergeCell ref="E46:H46"/>
    <mergeCell ref="D8:O8"/>
  </mergeCells>
  <phoneticPr fontId="16" type="noConversion"/>
  <conditionalFormatting sqref="F42">
    <cfRule type="cellIs" dxfId="13" priority="21" operator="notEqual">
      <formula>$M$10</formula>
    </cfRule>
  </conditionalFormatting>
  <conditionalFormatting sqref="G42">
    <cfRule type="cellIs" dxfId="12" priority="15" operator="notEqual">
      <formula>$M$11</formula>
    </cfRule>
  </conditionalFormatting>
  <conditionalFormatting sqref="H10:H19">
    <cfRule type="cellIs" dxfId="11" priority="17" operator="lessThan">
      <formula>G10</formula>
    </cfRule>
  </conditionalFormatting>
  <conditionalFormatting sqref="H42">
    <cfRule type="cellIs" dxfId="10" priority="14" operator="notEqual">
      <formula>$M$12</formula>
    </cfRule>
  </conditionalFormatting>
  <conditionalFormatting sqref="I42">
    <cfRule type="cellIs" dxfId="9" priority="13" operator="notEqual">
      <formula>$M$13</formula>
    </cfRule>
  </conditionalFormatting>
  <conditionalFormatting sqref="J42">
    <cfRule type="cellIs" dxfId="8" priority="12" operator="notEqual">
      <formula>$M$14</formula>
    </cfRule>
  </conditionalFormatting>
  <conditionalFormatting sqref="K42">
    <cfRule type="cellIs" dxfId="7" priority="3" operator="notEqual">
      <formula>$M$15</formula>
    </cfRule>
  </conditionalFormatting>
  <conditionalFormatting sqref="L42">
    <cfRule type="cellIs" dxfId="6" priority="4" operator="notEqual">
      <formula>$M$16</formula>
    </cfRule>
  </conditionalFormatting>
  <conditionalFormatting sqref="M10:M19">
    <cfRule type="cellIs" dxfId="5" priority="25" operator="notEqual">
      <formula>#REF!</formula>
    </cfRule>
  </conditionalFormatting>
  <conditionalFormatting sqref="M42">
    <cfRule type="cellIs" dxfId="4" priority="2" operator="notEqual">
      <formula>$M$17</formula>
    </cfRule>
  </conditionalFormatting>
  <conditionalFormatting sqref="N21 N26">
    <cfRule type="cellIs" dxfId="3" priority="23" operator="notEqual">
      <formula>#REF!</formula>
    </cfRule>
  </conditionalFormatting>
  <conditionalFormatting sqref="N42">
    <cfRule type="cellIs" dxfId="2" priority="1" operator="notEqual">
      <formula>$M$18</formula>
    </cfRule>
  </conditionalFormatting>
  <conditionalFormatting sqref="O42">
    <cfRule type="cellIs" dxfId="1" priority="9" operator="notEqual">
      <formula>$M$19</formula>
    </cfRule>
  </conditionalFormatting>
  <conditionalFormatting sqref="P42">
    <cfRule type="cellIs" dxfId="0" priority="7" operator="notEqual">
      <formula>$M$22</formula>
    </cfRule>
  </conditionalFormatting>
  <printOptions horizontalCentered="1"/>
  <pageMargins left="0.45" right="0.27" top="0.57999999999999996" bottom="0.53" header="0.41" footer="0.36"/>
  <pageSetup scale="55" orientation="landscape" r:id="rId1"/>
  <headerFooter alignWithMargins="0">
    <oddFooter>&amp;CCONFIDENTIAL - HTGC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93"/>
  <sheetViews>
    <sheetView showGridLines="0" workbookViewId="0">
      <pane ySplit="8" topLeftCell="A21" activePane="bottomLeft" state="frozen"/>
      <selection pane="bottomLeft" activeCell="G51" sqref="G51"/>
    </sheetView>
  </sheetViews>
  <sheetFormatPr defaultColWidth="9.140625" defaultRowHeight="12.75" outlineLevelRow="1" x14ac:dyDescent="0.2"/>
  <cols>
    <col min="1" max="1" width="4.140625" style="26" customWidth="1"/>
    <col min="2" max="2" width="23.7109375" customWidth="1"/>
    <col min="3" max="3" width="12.140625" bestFit="1" customWidth="1"/>
    <col min="4" max="4" width="11.28515625" customWidth="1"/>
    <col min="5" max="5" width="12.140625" bestFit="1" customWidth="1"/>
    <col min="6" max="15" width="14.85546875" customWidth="1"/>
    <col min="16" max="16" width="12" hidden="1" customWidth="1"/>
    <col min="17" max="17" width="10.42578125" customWidth="1"/>
    <col min="18" max="18" width="12" customWidth="1"/>
    <col min="19" max="19" width="13.42578125" customWidth="1"/>
    <col min="20" max="20" width="13.28515625" customWidth="1"/>
    <col min="21" max="21" width="12.85546875" style="26" customWidth="1"/>
    <col min="22" max="22" width="13.5703125" customWidth="1"/>
    <col min="23" max="24" width="16" bestFit="1" customWidth="1"/>
    <col min="25" max="25" width="8.140625" bestFit="1" customWidth="1"/>
    <col min="26" max="40" width="9.140625" style="26"/>
  </cols>
  <sheetData>
    <row r="1" spans="1:41" s="26" customFormat="1" ht="18" x14ac:dyDescent="0.25">
      <c r="B1" s="964" t="str">
        <f>Inputs!I6</f>
        <v>Company Name</v>
      </c>
      <c r="C1" s="964"/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/>
      <c r="P1" s="964"/>
      <c r="Q1" s="964"/>
      <c r="R1" s="964"/>
      <c r="S1" s="964"/>
      <c r="T1" s="964"/>
      <c r="U1" s="964"/>
    </row>
    <row r="2" spans="1:41" s="26" customFormat="1" ht="18" customHeight="1" x14ac:dyDescent="0.25">
      <c r="B2" s="963" t="s">
        <v>41</v>
      </c>
      <c r="C2" s="963"/>
      <c r="D2" s="963"/>
      <c r="E2" s="963"/>
      <c r="F2" s="963"/>
      <c r="G2" s="963"/>
      <c r="H2" s="963"/>
      <c r="I2" s="963"/>
      <c r="J2" s="963"/>
      <c r="K2" s="963"/>
      <c r="L2" s="963"/>
      <c r="M2" s="963"/>
      <c r="N2" s="963"/>
      <c r="O2" s="963"/>
      <c r="P2" s="963"/>
      <c r="Q2" s="963"/>
      <c r="R2" s="963"/>
      <c r="S2" s="963"/>
      <c r="T2" s="963"/>
      <c r="U2" s="963"/>
    </row>
    <row r="3" spans="1:41" s="26" customFormat="1" ht="15" x14ac:dyDescent="0.2">
      <c r="B3" s="965">
        <f>Inputs!I7</f>
        <v>39813</v>
      </c>
      <c r="C3" s="966"/>
      <c r="D3" s="966"/>
      <c r="E3" s="966"/>
      <c r="F3" s="966"/>
      <c r="G3" s="966"/>
      <c r="H3" s="966"/>
      <c r="I3" s="966"/>
      <c r="J3" s="966"/>
      <c r="K3" s="966"/>
      <c r="L3" s="966"/>
      <c r="M3" s="966"/>
      <c r="N3" s="966"/>
      <c r="O3" s="966"/>
      <c r="P3" s="966"/>
      <c r="Q3" s="966"/>
      <c r="R3" s="966"/>
      <c r="S3" s="966"/>
      <c r="T3" s="966"/>
      <c r="U3" s="966"/>
    </row>
    <row r="4" spans="1:41" s="26" customFormat="1" ht="6" customHeight="1" thickBot="1" x14ac:dyDescent="0.3">
      <c r="C4" s="384"/>
      <c r="D4" s="385"/>
      <c r="E4" s="384"/>
      <c r="F4" s="384"/>
      <c r="G4" s="386"/>
      <c r="H4" s="387"/>
      <c r="I4" s="387"/>
      <c r="J4" s="387"/>
      <c r="K4" s="387"/>
      <c r="L4" s="387"/>
      <c r="M4" s="387"/>
      <c r="N4" s="387"/>
      <c r="O4" s="387"/>
      <c r="P4" s="384"/>
      <c r="Q4" s="384"/>
      <c r="R4" s="388"/>
      <c r="S4" s="389"/>
      <c r="T4" s="389"/>
    </row>
    <row r="5" spans="1:41" s="291" customFormat="1" ht="12" thickBot="1" x14ac:dyDescent="0.25">
      <c r="A5" s="289"/>
      <c r="B5" s="289"/>
      <c r="C5" s="390"/>
      <c r="D5" s="387"/>
      <c r="E5" s="387"/>
      <c r="F5" s="391">
        <f t="array" ref="F5:O5">IF(TRANSPOSE(Inputs!E$10:E$19)=0,"",TRANSPOSE(Inputs!E$10:E$19))</f>
        <v>39113</v>
      </c>
      <c r="G5" s="391">
        <v>39478</v>
      </c>
      <c r="H5" s="391">
        <v>39843</v>
      </c>
      <c r="I5" s="391">
        <v>39843</v>
      </c>
      <c r="J5" s="391">
        <v>39843</v>
      </c>
      <c r="K5" s="391">
        <v>39843</v>
      </c>
      <c r="L5" s="391">
        <v>39843</v>
      </c>
      <c r="M5" s="391">
        <v>39843</v>
      </c>
      <c r="N5" s="391">
        <v>39843</v>
      </c>
      <c r="O5" s="391">
        <v>39843</v>
      </c>
      <c r="Q5" s="387"/>
      <c r="R5" s="387"/>
      <c r="S5" s="392"/>
      <c r="T5" s="392"/>
      <c r="U5" s="393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</row>
    <row r="6" spans="1:41" s="291" customFormat="1" ht="11.25" x14ac:dyDescent="0.2">
      <c r="A6" s="289"/>
      <c r="B6" s="394"/>
      <c r="C6" s="395" t="s">
        <v>0</v>
      </c>
      <c r="D6" s="396" t="s">
        <v>27</v>
      </c>
      <c r="E6" s="396" t="s">
        <v>2</v>
      </c>
      <c r="F6" s="395" t="str">
        <f t="array" ref="F6:O6">IF(TRANSPOSE(Inputs!D$10:D$19)=0,"",TRANSPOSE(Inputs!D$10:D$19))</f>
        <v>Series A</v>
      </c>
      <c r="G6" s="396" t="str">
        <v>Series B</v>
      </c>
      <c r="H6" s="396" t="str">
        <v>Series C</v>
      </c>
      <c r="I6" s="396" t="str">
        <v>Series D</v>
      </c>
      <c r="J6" s="396" t="str">
        <v>-</v>
      </c>
      <c r="K6" s="396" t="str">
        <v>-</v>
      </c>
      <c r="L6" s="396" t="str">
        <v>-</v>
      </c>
      <c r="M6" s="396" t="str">
        <v>-</v>
      </c>
      <c r="N6" s="396" t="str">
        <v>-</v>
      </c>
      <c r="O6" s="396" t="str">
        <v>-</v>
      </c>
      <c r="P6" s="396" t="s">
        <v>60</v>
      </c>
      <c r="Q6" s="395" t="s">
        <v>69</v>
      </c>
      <c r="R6" s="397" t="s">
        <v>67</v>
      </c>
      <c r="S6" s="398" t="s">
        <v>68</v>
      </c>
      <c r="T6" s="399" t="s">
        <v>2</v>
      </c>
      <c r="U6" s="289"/>
      <c r="V6" s="289"/>
      <c r="W6" s="289"/>
      <c r="X6" s="289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</row>
    <row r="7" spans="1:41" s="406" customFormat="1" ht="11.25" x14ac:dyDescent="0.2">
      <c r="A7" s="400"/>
      <c r="B7" s="401" t="s">
        <v>59</v>
      </c>
      <c r="C7" s="402">
        <f>Inputs!K22</f>
        <v>1E-8</v>
      </c>
      <c r="D7" s="403">
        <f>Inputs!K23</f>
        <v>9.9999999999999995E-8</v>
      </c>
      <c r="E7" s="401" t="s">
        <v>0</v>
      </c>
      <c r="F7" s="402">
        <f t="array" ref="F7:O7">IF(TRANSPOSE(Inputs!K$10:K$19)=0,0,TRANSPOSE(Inputs!K$10:K$19))</f>
        <v>1</v>
      </c>
      <c r="G7" s="402">
        <v>2</v>
      </c>
      <c r="H7" s="402">
        <v>2.5</v>
      </c>
      <c r="I7" s="403">
        <v>2</v>
      </c>
      <c r="J7" s="403">
        <v>0</v>
      </c>
      <c r="K7" s="403">
        <v>0</v>
      </c>
      <c r="L7" s="403">
        <v>0</v>
      </c>
      <c r="M7" s="403">
        <v>0</v>
      </c>
      <c r="N7" s="403">
        <v>0</v>
      </c>
      <c r="O7" s="403">
        <v>0</v>
      </c>
      <c r="P7" s="401" t="s">
        <v>4</v>
      </c>
      <c r="Q7" s="404" t="s">
        <v>13</v>
      </c>
      <c r="R7" s="401" t="s">
        <v>5</v>
      </c>
      <c r="S7" s="404" t="s">
        <v>5</v>
      </c>
      <c r="T7" s="405" t="s">
        <v>17</v>
      </c>
      <c r="U7" s="400"/>
      <c r="V7" s="400"/>
      <c r="W7" s="400"/>
      <c r="X7" s="400"/>
      <c r="Y7" s="400"/>
      <c r="Z7" s="400"/>
      <c r="AA7" s="400"/>
      <c r="AB7" s="400"/>
      <c r="AC7" s="400"/>
      <c r="AD7" s="400"/>
      <c r="AE7" s="400"/>
      <c r="AF7" s="400"/>
      <c r="AG7" s="400"/>
      <c r="AH7" s="400"/>
      <c r="AI7" s="400"/>
      <c r="AJ7" s="400"/>
      <c r="AK7" s="400"/>
      <c r="AL7" s="400"/>
      <c r="AM7" s="400"/>
      <c r="AN7" s="400"/>
    </row>
    <row r="8" spans="1:41" s="291" customFormat="1" ht="12" thickBot="1" x14ac:dyDescent="0.25">
      <c r="A8" s="289"/>
      <c r="B8" s="407"/>
      <c r="C8" s="408" t="s">
        <v>12</v>
      </c>
      <c r="D8" s="407" t="s">
        <v>1</v>
      </c>
      <c r="E8" s="407" t="s">
        <v>26</v>
      </c>
      <c r="F8" s="409" t="str">
        <f t="shared" ref="F8:O8" si="0">IF(F7=0,"","Preferred")</f>
        <v>Preferred</v>
      </c>
      <c r="G8" s="409" t="str">
        <f t="shared" si="0"/>
        <v>Preferred</v>
      </c>
      <c r="H8" s="409" t="str">
        <f t="shared" si="0"/>
        <v>Preferred</v>
      </c>
      <c r="I8" s="409" t="str">
        <f t="shared" si="0"/>
        <v>Preferred</v>
      </c>
      <c r="J8" s="409" t="str">
        <f t="shared" si="0"/>
        <v/>
      </c>
      <c r="K8" s="409" t="str">
        <f t="shared" si="0"/>
        <v/>
      </c>
      <c r="L8" s="409" t="str">
        <f t="shared" si="0"/>
        <v/>
      </c>
      <c r="M8" s="409" t="str">
        <f t="shared" si="0"/>
        <v/>
      </c>
      <c r="N8" s="409" t="str">
        <f t="shared" si="0"/>
        <v/>
      </c>
      <c r="O8" s="409" t="str">
        <f t="shared" si="0"/>
        <v/>
      </c>
      <c r="P8" s="407" t="s">
        <v>12</v>
      </c>
      <c r="Q8" s="408" t="s">
        <v>15</v>
      </c>
      <c r="R8" s="410" t="s">
        <v>16</v>
      </c>
      <c r="S8" s="411" t="s">
        <v>16</v>
      </c>
      <c r="T8" s="412" t="s">
        <v>6</v>
      </c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  <c r="AL8" s="289"/>
      <c r="AM8" s="289"/>
      <c r="AN8" s="289"/>
    </row>
    <row r="9" spans="1:41" ht="13.5" outlineLevel="1" thickBot="1" x14ac:dyDescent="0.25">
      <c r="A9"/>
      <c r="C9" s="962" t="s">
        <v>63</v>
      </c>
      <c r="D9" s="962"/>
      <c r="E9" s="962"/>
      <c r="F9" s="962"/>
      <c r="G9" s="962"/>
      <c r="H9" s="962"/>
      <c r="I9" s="962"/>
      <c r="J9" s="962"/>
      <c r="K9" s="962"/>
      <c r="L9" s="962"/>
      <c r="M9" s="962"/>
      <c r="N9" s="962"/>
      <c r="O9" s="962"/>
      <c r="U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1" outlineLevel="1" x14ac:dyDescent="0.2">
      <c r="B10" s="413" t="str">
        <f>IF(Inputs!E31=0,Inputs!D31,CONCATENATE(Inputs!D31," (",Inputs!E31,")"))</f>
        <v>HTGC</v>
      </c>
      <c r="C10" s="414">
        <f>IF(C$7="",0,Inputs!P31)</f>
        <v>0</v>
      </c>
      <c r="D10" s="415">
        <f>IF(D$7="",0,Inputs!Q31)</f>
        <v>0</v>
      </c>
      <c r="E10" s="416">
        <f t="shared" ref="E10:E19" si="1">SUM(C10:D10)</f>
        <v>0</v>
      </c>
      <c r="F10" s="417">
        <f>IF(F$7="",0,Inputs!F31)</f>
        <v>1000000</v>
      </c>
      <c r="G10" s="418">
        <f>IF(G$7="",0,Inputs!G31)</f>
        <v>1000000</v>
      </c>
      <c r="H10" s="418">
        <f>IF(H$7="",0,Inputs!H31)</f>
        <v>0</v>
      </c>
      <c r="I10" s="418">
        <f>IF(I$7="",0,Inputs!I31)</f>
        <v>0</v>
      </c>
      <c r="J10" s="418">
        <f>IF(J$7="",0,Inputs!J31)</f>
        <v>0</v>
      </c>
      <c r="K10" s="418">
        <f>IF(K$7="",0,Inputs!K31)</f>
        <v>0</v>
      </c>
      <c r="L10" s="418">
        <f>IF(L$7="",0,Inputs!L31)</f>
        <v>0</v>
      </c>
      <c r="M10" s="418">
        <f>IF(M$7="",0,Inputs!M31)</f>
        <v>0</v>
      </c>
      <c r="N10" s="418">
        <f>IF(N$7="",0,Inputs!N31)</f>
        <v>0</v>
      </c>
      <c r="O10" s="415">
        <f>IF(O$7="",0,Inputs!O31)</f>
        <v>0</v>
      </c>
      <c r="P10" s="416">
        <f t="shared" ref="P10:P19" si="2">SUM(F10:O10)</f>
        <v>2000000</v>
      </c>
      <c r="Q10" s="419">
        <f t="shared" ref="Q10:Q19" si="3">P10+E10</f>
        <v>2000000</v>
      </c>
      <c r="R10" s="420">
        <f t="shared" ref="R10:R19" si="4">Q10/Q$26</f>
        <v>6.4020486555697809E-2</v>
      </c>
      <c r="S10" s="421">
        <f t="shared" ref="S10:S19" si="5">(F10*$F$51+G10*$G$51+H10*$H$51+I10*$I$51+J10*$J$51+K10*$K$51+L10*$L$51+M10*$M$51+N10*$N$51+O10*$O$51+E10)/($F$53+$E$26)</f>
        <v>6.4020486555697823E-2</v>
      </c>
      <c r="T10" s="422">
        <f t="shared" ref="T10:T18" si="6">$F$7*F10+$G$7*G10+$H$7*H10+$I$7*I10+$J$7*J10+$K$7*K10+$L$7*L10+$M$7*M10+$N$7*N10+$O$7*O10</f>
        <v>3000000</v>
      </c>
      <c r="V10" s="423"/>
      <c r="W10" s="26"/>
      <c r="X10" s="26"/>
      <c r="Y10" s="26"/>
    </row>
    <row r="11" spans="1:41" outlineLevel="1" x14ac:dyDescent="0.2">
      <c r="B11" s="424" t="str">
        <f>IF(Inputs!E32=0,Inputs!D32,CONCATENATE(Inputs!D32," (",Inputs!E32,")"))</f>
        <v>Inv B</v>
      </c>
      <c r="C11" s="425">
        <f>IF(C$7="",0,Inputs!P32)</f>
        <v>0</v>
      </c>
      <c r="D11" s="426">
        <f>IF(D$7="",0,Inputs!Q32)</f>
        <v>0</v>
      </c>
      <c r="E11" s="427">
        <f t="shared" si="1"/>
        <v>0</v>
      </c>
      <c r="F11" s="428">
        <f>IF(F$7="",0,Inputs!F32)</f>
        <v>1000000</v>
      </c>
      <c r="G11" s="429">
        <f>IF(G$7="",0,Inputs!G32)</f>
        <v>1000000</v>
      </c>
      <c r="H11" s="429">
        <f>IF(H$7="",0,Inputs!H32)</f>
        <v>0</v>
      </c>
      <c r="I11" s="429">
        <f>IF(I$7="",0,Inputs!I32)</f>
        <v>0</v>
      </c>
      <c r="J11" s="429">
        <f>IF(J$7="",0,Inputs!J32)</f>
        <v>0</v>
      </c>
      <c r="K11" s="429">
        <f>IF(K$7="",0,Inputs!K32)</f>
        <v>0</v>
      </c>
      <c r="L11" s="429">
        <f>IF(L$7="",0,Inputs!L32)</f>
        <v>0</v>
      </c>
      <c r="M11" s="429">
        <f>IF(M$7="",0,Inputs!M32)</f>
        <v>0</v>
      </c>
      <c r="N11" s="429">
        <f>IF(N$7="",0,Inputs!N32)</f>
        <v>0</v>
      </c>
      <c r="O11" s="426">
        <f>IF(O$7="",0,Inputs!O32)</f>
        <v>0</v>
      </c>
      <c r="P11" s="427">
        <f t="shared" si="2"/>
        <v>2000000</v>
      </c>
      <c r="Q11" s="430">
        <f>P11+E11</f>
        <v>2000000</v>
      </c>
      <c r="R11" s="431">
        <f t="shared" si="4"/>
        <v>6.4020486555697809E-2</v>
      </c>
      <c r="S11" s="431">
        <f t="shared" si="5"/>
        <v>6.4020486555697823E-2</v>
      </c>
      <c r="T11" s="432">
        <f t="shared" si="6"/>
        <v>3000000</v>
      </c>
      <c r="V11" s="423"/>
      <c r="W11" s="26"/>
      <c r="X11" s="26"/>
      <c r="Y11" s="26"/>
    </row>
    <row r="12" spans="1:41" outlineLevel="1" x14ac:dyDescent="0.2">
      <c r="B12" s="424" t="str">
        <f>IF(Inputs!E33=0,Inputs!D33,CONCATENATE(Inputs!D33," (",Inputs!E33,")"))</f>
        <v>Inv C</v>
      </c>
      <c r="C12" s="425">
        <f>IF(C$7="",0,Inputs!P33)</f>
        <v>0</v>
      </c>
      <c r="D12" s="426">
        <f>IF(D$7="",0,Inputs!Q33)</f>
        <v>0</v>
      </c>
      <c r="E12" s="427">
        <f t="shared" si="1"/>
        <v>0</v>
      </c>
      <c r="F12" s="428">
        <f>IF(F$7="",0,Inputs!F33)</f>
        <v>1000000</v>
      </c>
      <c r="G12" s="429">
        <f>IF(G$7="",0,Inputs!G33)</f>
        <v>1000000</v>
      </c>
      <c r="H12" s="429">
        <f>IF(H$7="",0,Inputs!H33)</f>
        <v>1000000</v>
      </c>
      <c r="I12" s="429">
        <f>IF(I$7="",0,Inputs!I33)</f>
        <v>0</v>
      </c>
      <c r="J12" s="429">
        <f>IF(J$7="",0,Inputs!J33)</f>
        <v>0</v>
      </c>
      <c r="K12" s="429">
        <f>IF(K$7="",0,Inputs!K33)</f>
        <v>0</v>
      </c>
      <c r="L12" s="429">
        <f>IF(L$7="",0,Inputs!L33)</f>
        <v>0</v>
      </c>
      <c r="M12" s="429">
        <f>IF(M$7="",0,Inputs!M33)</f>
        <v>0</v>
      </c>
      <c r="N12" s="429">
        <f>IF(N$7="",0,Inputs!N33)</f>
        <v>0</v>
      </c>
      <c r="O12" s="426">
        <f>IF(O$7="",0,Inputs!O33)</f>
        <v>0</v>
      </c>
      <c r="P12" s="427">
        <f t="shared" si="2"/>
        <v>3000000</v>
      </c>
      <c r="Q12" s="430">
        <f t="shared" si="3"/>
        <v>3000000</v>
      </c>
      <c r="R12" s="431">
        <f t="shared" si="4"/>
        <v>9.6030729833546713E-2</v>
      </c>
      <c r="S12" s="431">
        <f t="shared" si="5"/>
        <v>9.6030729833546741E-2</v>
      </c>
      <c r="T12" s="432">
        <f t="shared" si="6"/>
        <v>5500000</v>
      </c>
      <c r="V12" s="433"/>
      <c r="W12" s="26"/>
      <c r="X12" s="26"/>
      <c r="Y12" s="26"/>
    </row>
    <row r="13" spans="1:41" ht="12" customHeight="1" outlineLevel="1" x14ac:dyDescent="0.2">
      <c r="B13" s="424" t="str">
        <f>IF(Inputs!E34=0,Inputs!D34,CONCATENATE(Inputs!D34," (",Inputs!E34,")"))</f>
        <v>Inv D</v>
      </c>
      <c r="C13" s="425">
        <f>IF(C$7="",0,Inputs!P34)</f>
        <v>0</v>
      </c>
      <c r="D13" s="426">
        <f>IF(D$7="",0,Inputs!Q34)</f>
        <v>0</v>
      </c>
      <c r="E13" s="427">
        <f t="shared" si="1"/>
        <v>0</v>
      </c>
      <c r="F13" s="428">
        <f>IF(F$7="",0,Inputs!F34)</f>
        <v>1000000</v>
      </c>
      <c r="G13" s="429">
        <f>IF(G$7="",0,Inputs!G34)</f>
        <v>1000000</v>
      </c>
      <c r="H13" s="429">
        <f>IF(H$7="",0,Inputs!H34)</f>
        <v>1000000</v>
      </c>
      <c r="I13" s="429">
        <f>IF(I$7="",0,Inputs!I34)</f>
        <v>0</v>
      </c>
      <c r="J13" s="429">
        <f>IF(J$7="",0,Inputs!J34)</f>
        <v>0</v>
      </c>
      <c r="K13" s="429">
        <f>IF(K$7="",0,Inputs!K34)</f>
        <v>0</v>
      </c>
      <c r="L13" s="429">
        <f>IF(L$7="",0,Inputs!L34)</f>
        <v>0</v>
      </c>
      <c r="M13" s="429">
        <f>IF(M$7="",0,Inputs!M34)</f>
        <v>0</v>
      </c>
      <c r="N13" s="429">
        <f>IF(N$7="",0,Inputs!N34)</f>
        <v>0</v>
      </c>
      <c r="O13" s="426">
        <f>IF(O$7="",0,Inputs!O34)</f>
        <v>0</v>
      </c>
      <c r="P13" s="427">
        <f t="shared" si="2"/>
        <v>3000000</v>
      </c>
      <c r="Q13" s="430">
        <f t="shared" si="3"/>
        <v>3000000</v>
      </c>
      <c r="R13" s="431">
        <f t="shared" si="4"/>
        <v>9.6030729833546713E-2</v>
      </c>
      <c r="S13" s="431">
        <f t="shared" si="5"/>
        <v>9.6030729833546741E-2</v>
      </c>
      <c r="T13" s="432">
        <f t="shared" si="6"/>
        <v>5500000</v>
      </c>
      <c r="V13" s="423"/>
      <c r="W13" s="26"/>
      <c r="X13" s="26"/>
      <c r="Y13" s="26"/>
    </row>
    <row r="14" spans="1:41" ht="12" customHeight="1" outlineLevel="1" x14ac:dyDescent="0.2">
      <c r="B14" s="424" t="str">
        <f>IF(Inputs!E35=0,Inputs!D35,CONCATENATE(Inputs!D35," (",Inputs!E35,")"))</f>
        <v>Inv E</v>
      </c>
      <c r="C14" s="425">
        <f>IF(C$7="",0,Inputs!P35)</f>
        <v>0</v>
      </c>
      <c r="D14" s="426">
        <f>IF(D$7="",0,Inputs!Q35)</f>
        <v>0</v>
      </c>
      <c r="E14" s="427">
        <f t="shared" si="1"/>
        <v>0</v>
      </c>
      <c r="F14" s="428">
        <f>IF(F$7="",0,Inputs!F35)</f>
        <v>1000000</v>
      </c>
      <c r="G14" s="429">
        <f>IF(G$7="",0,Inputs!G35)</f>
        <v>1000000</v>
      </c>
      <c r="H14" s="429">
        <f>IF(H$7="",0,Inputs!H35)</f>
        <v>1000000</v>
      </c>
      <c r="I14" s="429">
        <f>IF(I$7="",0,Inputs!I35)</f>
        <v>0</v>
      </c>
      <c r="J14" s="429">
        <f>IF(J$7="",0,Inputs!J35)</f>
        <v>0</v>
      </c>
      <c r="K14" s="429">
        <f>IF(K$7="",0,Inputs!K35)</f>
        <v>0</v>
      </c>
      <c r="L14" s="429">
        <f>IF(L$7="",0,Inputs!L35)</f>
        <v>0</v>
      </c>
      <c r="M14" s="429">
        <f>IF(M$7="",0,Inputs!M35)</f>
        <v>0</v>
      </c>
      <c r="N14" s="429">
        <f>IF(N$7="",0,Inputs!N35)</f>
        <v>0</v>
      </c>
      <c r="O14" s="426">
        <f>IF(O$7="",0,Inputs!O35)</f>
        <v>0</v>
      </c>
      <c r="P14" s="427">
        <f t="shared" si="2"/>
        <v>3000000</v>
      </c>
      <c r="Q14" s="430">
        <f t="shared" si="3"/>
        <v>3000000</v>
      </c>
      <c r="R14" s="431">
        <f t="shared" si="4"/>
        <v>9.6030729833546713E-2</v>
      </c>
      <c r="S14" s="431">
        <f t="shared" si="5"/>
        <v>9.6030729833546741E-2</v>
      </c>
      <c r="T14" s="432">
        <f t="shared" si="6"/>
        <v>5500000</v>
      </c>
      <c r="V14" s="423"/>
      <c r="W14" s="26"/>
      <c r="X14" s="26"/>
      <c r="Y14" s="26"/>
    </row>
    <row r="15" spans="1:41" ht="12" customHeight="1" outlineLevel="1" x14ac:dyDescent="0.2">
      <c r="B15" s="424" t="str">
        <f>IF(Inputs!E36=0,Inputs!D36,CONCATENATE(Inputs!D36," (",Inputs!E36,")"))</f>
        <v>Inv F</v>
      </c>
      <c r="C15" s="425">
        <f>IF(C$7="",0,Inputs!P36)</f>
        <v>0</v>
      </c>
      <c r="D15" s="426">
        <f>IF(D$7="",0,Inputs!Q36)</f>
        <v>0</v>
      </c>
      <c r="E15" s="427">
        <f t="shared" si="1"/>
        <v>0</v>
      </c>
      <c r="F15" s="428">
        <f>IF(F$7="",0,Inputs!F36)</f>
        <v>0</v>
      </c>
      <c r="G15" s="429">
        <f>IF(G$7="",0,Inputs!G36)</f>
        <v>0</v>
      </c>
      <c r="H15" s="429">
        <f>IF(H$7="",0,Inputs!H36)</f>
        <v>1000000</v>
      </c>
      <c r="I15" s="429">
        <f>IF(I$7="",0,Inputs!I36)</f>
        <v>3333333.3333333335</v>
      </c>
      <c r="J15" s="429">
        <f>IF(J$7="",0,Inputs!J36)</f>
        <v>0</v>
      </c>
      <c r="K15" s="429">
        <f>IF(K$7="",0,Inputs!K36)</f>
        <v>0</v>
      </c>
      <c r="L15" s="429">
        <f>IF(L$7="",0,Inputs!L36)</f>
        <v>0</v>
      </c>
      <c r="M15" s="429">
        <f>IF(M$7="",0,Inputs!M36)</f>
        <v>0</v>
      </c>
      <c r="N15" s="429">
        <f>IF(N$7="",0,Inputs!N36)</f>
        <v>0</v>
      </c>
      <c r="O15" s="426">
        <f>IF(O$7="",0,Inputs!O36)</f>
        <v>0</v>
      </c>
      <c r="P15" s="427">
        <f t="shared" si="2"/>
        <v>4333333.333333334</v>
      </c>
      <c r="Q15" s="430">
        <f t="shared" si="3"/>
        <v>4333333.333333334</v>
      </c>
      <c r="R15" s="431">
        <f t="shared" si="4"/>
        <v>0.13871105420401195</v>
      </c>
      <c r="S15" s="431">
        <f t="shared" si="5"/>
        <v>0.13871105420401197</v>
      </c>
      <c r="T15" s="432">
        <f t="shared" si="6"/>
        <v>9166666.6666666679</v>
      </c>
      <c r="V15" s="423"/>
      <c r="W15" s="26"/>
      <c r="X15" s="26"/>
      <c r="Y15" s="26"/>
    </row>
    <row r="16" spans="1:41" ht="12" customHeight="1" outlineLevel="1" x14ac:dyDescent="0.2">
      <c r="B16" s="424" t="str">
        <f>IF(Inputs!E37=0,Inputs!D37,CONCATENATE(Inputs!D37," (",Inputs!E37,")"))</f>
        <v>Inv G</v>
      </c>
      <c r="C16" s="425">
        <f>IF(C$7="",0,Inputs!P37)</f>
        <v>0</v>
      </c>
      <c r="D16" s="426">
        <f>IF(D$7="",0,Inputs!Q37)</f>
        <v>0</v>
      </c>
      <c r="E16" s="427">
        <f t="shared" si="1"/>
        <v>0</v>
      </c>
      <c r="F16" s="428">
        <f>IF(F$7="",0,Inputs!F37)</f>
        <v>0</v>
      </c>
      <c r="G16" s="429">
        <f>IF(G$7="",0,Inputs!G37)</f>
        <v>0</v>
      </c>
      <c r="H16" s="429">
        <f>IF(H$7="",0,Inputs!H37)</f>
        <v>1000000</v>
      </c>
      <c r="I16" s="429">
        <f>IF(I$7="",0,Inputs!I37)</f>
        <v>3333333.3333333335</v>
      </c>
      <c r="J16" s="429">
        <f>IF(J$7="",0,Inputs!J37)</f>
        <v>0</v>
      </c>
      <c r="K16" s="429">
        <f>IF(K$7="",0,Inputs!K37)</f>
        <v>0</v>
      </c>
      <c r="L16" s="429">
        <f>IF(L$7="",0,Inputs!L37)</f>
        <v>0</v>
      </c>
      <c r="M16" s="429">
        <f>IF(M$7="",0,Inputs!M37)</f>
        <v>0</v>
      </c>
      <c r="N16" s="429">
        <f>IF(N$7="",0,Inputs!N37)</f>
        <v>0</v>
      </c>
      <c r="O16" s="426">
        <f>IF(O$7="",0,Inputs!O37)</f>
        <v>0</v>
      </c>
      <c r="P16" s="427">
        <f t="shared" si="2"/>
        <v>4333333.333333334</v>
      </c>
      <c r="Q16" s="430">
        <f t="shared" si="3"/>
        <v>4333333.333333334</v>
      </c>
      <c r="R16" s="431">
        <f t="shared" si="4"/>
        <v>0.13871105420401195</v>
      </c>
      <c r="S16" s="431">
        <f t="shared" si="5"/>
        <v>0.13871105420401197</v>
      </c>
      <c r="T16" s="432">
        <f t="shared" si="6"/>
        <v>9166666.6666666679</v>
      </c>
      <c r="V16" s="423"/>
      <c r="W16" s="26"/>
      <c r="X16" s="26"/>
      <c r="Y16" s="26"/>
    </row>
    <row r="17" spans="2:26" ht="12" customHeight="1" outlineLevel="1" x14ac:dyDescent="0.2">
      <c r="B17" s="424" t="str">
        <f>IF(Inputs!E38=0,Inputs!D38,CONCATENATE(Inputs!D38," (",Inputs!E38,")"))</f>
        <v>Inv H</v>
      </c>
      <c r="C17" s="425">
        <f>IF(C$7="",0,Inputs!P38)</f>
        <v>0</v>
      </c>
      <c r="D17" s="426">
        <f>IF(D$7="",0,Inputs!Q38)</f>
        <v>0</v>
      </c>
      <c r="E17" s="427">
        <f t="shared" si="1"/>
        <v>0</v>
      </c>
      <c r="F17" s="428">
        <f>IF(F$7="",0,Inputs!F38)</f>
        <v>0</v>
      </c>
      <c r="G17" s="429">
        <f>IF(G$7="",0,Inputs!G38)</f>
        <v>0</v>
      </c>
      <c r="H17" s="429">
        <f>IF(H$7="",0,Inputs!H38)</f>
        <v>1000000</v>
      </c>
      <c r="I17" s="429">
        <f>IF(I$7="",0,Inputs!I38)</f>
        <v>3333333.3333333335</v>
      </c>
      <c r="J17" s="429">
        <f>IF(J$7="",0,Inputs!J38)</f>
        <v>0</v>
      </c>
      <c r="K17" s="429">
        <f>IF(K$7="",0,Inputs!K38)</f>
        <v>0</v>
      </c>
      <c r="L17" s="429">
        <f>IF(L$7="",0,Inputs!L38)</f>
        <v>0</v>
      </c>
      <c r="M17" s="429">
        <f>IF(M$7="",0,Inputs!M38)</f>
        <v>0</v>
      </c>
      <c r="N17" s="429">
        <f>IF(N$7="",0,Inputs!N38)</f>
        <v>0</v>
      </c>
      <c r="O17" s="426">
        <f>IF(O$7="",0,Inputs!O38)</f>
        <v>0</v>
      </c>
      <c r="P17" s="427">
        <f t="shared" si="2"/>
        <v>4333333.333333334</v>
      </c>
      <c r="Q17" s="430">
        <f t="shared" si="3"/>
        <v>4333333.333333334</v>
      </c>
      <c r="R17" s="431">
        <f t="shared" si="4"/>
        <v>0.13871105420401195</v>
      </c>
      <c r="S17" s="431">
        <f t="shared" si="5"/>
        <v>0.13871105420401197</v>
      </c>
      <c r="T17" s="432">
        <f t="shared" si="6"/>
        <v>9166666.6666666679</v>
      </c>
      <c r="V17" s="26"/>
      <c r="W17" s="26"/>
      <c r="X17" s="26"/>
      <c r="Y17" s="26"/>
    </row>
    <row r="18" spans="2:26" outlineLevel="1" x14ac:dyDescent="0.2">
      <c r="B18" s="424" t="str">
        <f>Inputs!D39</f>
        <v>Other Investors</v>
      </c>
      <c r="C18" s="434">
        <f>IF(C$7="",0,Inputs!P39)</f>
        <v>0</v>
      </c>
      <c r="D18" s="435">
        <f>IF(D$7="",0,Inputs!Q39)</f>
        <v>0</v>
      </c>
      <c r="E18" s="436">
        <f t="shared" si="1"/>
        <v>0</v>
      </c>
      <c r="F18" s="437">
        <f>IF(F$7="",0,Inputs!F39)</f>
        <v>0</v>
      </c>
      <c r="G18" s="438">
        <f>IF(G$7="",0,Inputs!G39)</f>
        <v>0</v>
      </c>
      <c r="H18" s="438">
        <f>IF(H$7="",0,Inputs!H39)</f>
        <v>0</v>
      </c>
      <c r="I18" s="438">
        <f>IF(I$7="",0,Inputs!I39)</f>
        <v>0</v>
      </c>
      <c r="J18" s="438">
        <f>IF(J$7="",0,Inputs!J39)</f>
        <v>0</v>
      </c>
      <c r="K18" s="438">
        <f>IF(K$7="",0,Inputs!K39)</f>
        <v>0</v>
      </c>
      <c r="L18" s="438">
        <f>IF(L$7="",0,Inputs!L39)</f>
        <v>0</v>
      </c>
      <c r="M18" s="438">
        <f>IF(M$7="",0,Inputs!M39)</f>
        <v>0</v>
      </c>
      <c r="N18" s="438">
        <f>IF(N$7="",0,Inputs!N39)</f>
        <v>0</v>
      </c>
      <c r="O18" s="435">
        <f>IF(O$7="",0,Inputs!O39)</f>
        <v>0</v>
      </c>
      <c r="P18" s="439">
        <f t="shared" si="2"/>
        <v>0</v>
      </c>
      <c r="Q18" s="440">
        <f t="shared" si="3"/>
        <v>0</v>
      </c>
      <c r="R18" s="441">
        <f t="shared" si="4"/>
        <v>0</v>
      </c>
      <c r="S18" s="441">
        <f t="shared" si="5"/>
        <v>0</v>
      </c>
      <c r="T18" s="442">
        <f t="shared" si="6"/>
        <v>0</v>
      </c>
      <c r="V18" s="26"/>
      <c r="W18" s="26"/>
      <c r="X18" s="26"/>
      <c r="Y18" s="26"/>
    </row>
    <row r="19" spans="2:26" ht="13.5" outlineLevel="1" thickBot="1" x14ac:dyDescent="0.25">
      <c r="B19" s="443" t="s">
        <v>54</v>
      </c>
      <c r="C19" s="444">
        <f>Inputs!N22</f>
        <v>0</v>
      </c>
      <c r="D19" s="445">
        <f>Inputs!N23</f>
        <v>0</v>
      </c>
      <c r="E19" s="446">
        <f t="shared" si="1"/>
        <v>0</v>
      </c>
      <c r="F19" s="447">
        <f t="array" ref="F19:O19">IF(TRANSPOSE(Inputs!N$10:N$19)=0,0,TRANSPOSE(Inputs!N$10:N$19))</f>
        <v>10000</v>
      </c>
      <c r="G19" s="448">
        <v>10000</v>
      </c>
      <c r="H19" s="448">
        <v>10000</v>
      </c>
      <c r="I19" s="448">
        <v>10000</v>
      </c>
      <c r="J19" s="448">
        <v>0</v>
      </c>
      <c r="K19" s="448">
        <v>0</v>
      </c>
      <c r="L19" s="448">
        <v>0</v>
      </c>
      <c r="M19" s="448">
        <v>0</v>
      </c>
      <c r="N19" s="448">
        <v>0</v>
      </c>
      <c r="O19" s="445">
        <v>0</v>
      </c>
      <c r="P19" s="449">
        <f t="shared" si="2"/>
        <v>40000</v>
      </c>
      <c r="Q19" s="440">
        <f t="shared" si="3"/>
        <v>40000</v>
      </c>
      <c r="R19" s="441">
        <f t="shared" si="4"/>
        <v>1.2804097311139562E-3</v>
      </c>
      <c r="S19" s="441">
        <f t="shared" si="5"/>
        <v>1.2804097311139564E-3</v>
      </c>
      <c r="T19" s="442">
        <f>T38</f>
        <v>40000</v>
      </c>
      <c r="V19" s="26"/>
      <c r="W19" s="26"/>
      <c r="X19" s="26"/>
      <c r="Y19" s="26"/>
    </row>
    <row r="20" spans="2:26" outlineLevel="1" x14ac:dyDescent="0.2">
      <c r="B20" s="450" t="s">
        <v>35</v>
      </c>
      <c r="C20" s="451">
        <f t="shared" ref="C20:E20" si="7">SUM(C10:C18)</f>
        <v>0</v>
      </c>
      <c r="D20" s="452">
        <f t="shared" si="7"/>
        <v>0</v>
      </c>
      <c r="E20" s="453">
        <f t="shared" si="7"/>
        <v>0</v>
      </c>
      <c r="F20" s="454">
        <f>SUM(F10:F19)</f>
        <v>5010000</v>
      </c>
      <c r="G20" s="455">
        <f t="shared" ref="G20:O20" si="8">SUM(G10:G19)</f>
        <v>5010000</v>
      </c>
      <c r="H20" s="455">
        <f t="shared" si="8"/>
        <v>6010000</v>
      </c>
      <c r="I20" s="455">
        <f t="shared" si="8"/>
        <v>10010000</v>
      </c>
      <c r="J20" s="455">
        <f t="shared" si="8"/>
        <v>0</v>
      </c>
      <c r="K20" s="455">
        <f t="shared" si="8"/>
        <v>0</v>
      </c>
      <c r="L20" s="455">
        <f t="shared" si="8"/>
        <v>0</v>
      </c>
      <c r="M20" s="455">
        <f t="shared" si="8"/>
        <v>0</v>
      </c>
      <c r="N20" s="455">
        <f t="shared" si="8"/>
        <v>0</v>
      </c>
      <c r="O20" s="452">
        <f t="shared" si="8"/>
        <v>0</v>
      </c>
      <c r="P20" s="453">
        <f>SUM(P10:P19)</f>
        <v>26040000.000000007</v>
      </c>
      <c r="Q20" s="456">
        <f t="shared" ref="Q20:R20" si="9">SUM(Q10:Q19)</f>
        <v>26040000.000000007</v>
      </c>
      <c r="R20" s="457">
        <f t="shared" si="9"/>
        <v>0.83354673495518561</v>
      </c>
      <c r="S20" s="457">
        <f>SUM(S10:S19)</f>
        <v>0.83354673495518583</v>
      </c>
      <c r="T20" s="458">
        <f>SUM(T10:T19)</f>
        <v>50040000</v>
      </c>
      <c r="W20" s="26"/>
      <c r="X20" s="26"/>
      <c r="Y20" s="26"/>
    </row>
    <row r="21" spans="2:26" outlineLevel="1" x14ac:dyDescent="0.2">
      <c r="B21" s="424"/>
      <c r="C21" s="459"/>
      <c r="D21" s="460"/>
      <c r="E21" s="461"/>
      <c r="F21" s="462"/>
      <c r="G21" s="459"/>
      <c r="H21" s="459"/>
      <c r="I21" s="459"/>
      <c r="J21" s="459"/>
      <c r="K21" s="459"/>
      <c r="L21" s="459"/>
      <c r="M21" s="459"/>
      <c r="N21" s="459"/>
      <c r="O21" s="460"/>
      <c r="P21" s="461"/>
      <c r="Q21" s="463"/>
      <c r="R21" s="464"/>
      <c r="S21" s="464"/>
      <c r="T21" s="465"/>
      <c r="U21"/>
      <c r="Z21"/>
    </row>
    <row r="22" spans="2:26" outlineLevel="1" x14ac:dyDescent="0.2">
      <c r="B22" s="424" t="str">
        <f>Inputs!D40</f>
        <v>Management</v>
      </c>
      <c r="C22" s="466">
        <f>IF(C$7=0,0,Inputs!P40)</f>
        <v>5200000</v>
      </c>
      <c r="D22" s="467">
        <f>IF(D$7=0,0,Inputs!Q40)</f>
        <v>0</v>
      </c>
      <c r="E22" s="468">
        <f>SUM(C22:D22)</f>
        <v>5200000</v>
      </c>
      <c r="F22" s="469"/>
      <c r="G22" s="469"/>
      <c r="H22" s="469"/>
      <c r="I22" s="469"/>
      <c r="J22" s="469"/>
      <c r="K22" s="469"/>
      <c r="L22" s="469"/>
      <c r="M22" s="469"/>
      <c r="N22" s="469"/>
      <c r="O22" s="467"/>
      <c r="P22" s="461">
        <f>SUM(F22:O22)</f>
        <v>0</v>
      </c>
      <c r="Q22" s="463">
        <f>P22+E22</f>
        <v>5200000</v>
      </c>
      <c r="R22" s="464">
        <f>Q22/Q$26</f>
        <v>0.16645326504481431</v>
      </c>
      <c r="S22" s="464">
        <f>(F22*$F$51+G22*$G$51+H22*$H$51+I22*$I$51+J22*$J$51+K22*$K$51+L22*$L$51+M22*$M$51+N22*$N$51+O22*$O$51+E22)/($F$53+$E$26)</f>
        <v>0.16645326504481434</v>
      </c>
      <c r="T22" s="470">
        <f t="shared" ref="T22" si="10">$F$7*F22+$G$7*G22+$H$7*H22+$I$7*I22+$J$7*J22+$K$7*K22+$L$7*L22+$M$7*M22+$N$7*N22+$O$7*O22</f>
        <v>0</v>
      </c>
      <c r="U22"/>
      <c r="Z22"/>
    </row>
    <row r="23" spans="2:26" ht="13.5" outlineLevel="1" thickBot="1" x14ac:dyDescent="0.25">
      <c r="B23" s="471"/>
      <c r="C23" s="472"/>
      <c r="D23" s="473"/>
      <c r="E23" s="461"/>
      <c r="F23" s="474"/>
      <c r="G23" s="472"/>
      <c r="H23" s="472"/>
      <c r="I23" s="472"/>
      <c r="J23" s="472"/>
      <c r="K23" s="472"/>
      <c r="L23" s="472"/>
      <c r="M23" s="472"/>
      <c r="N23" s="472"/>
      <c r="O23" s="473"/>
      <c r="P23" s="449"/>
      <c r="Q23" s="475"/>
      <c r="R23" s="464"/>
      <c r="S23" s="464"/>
      <c r="T23" s="476"/>
      <c r="U23"/>
      <c r="Z23"/>
    </row>
    <row r="24" spans="2:26" outlineLevel="1" x14ac:dyDescent="0.2">
      <c r="B24" s="477" t="s">
        <v>36</v>
      </c>
      <c r="C24" s="451">
        <f t="shared" ref="C24:T24" si="11">SUM(C22:C23)</f>
        <v>5200000</v>
      </c>
      <c r="D24" s="452">
        <f t="shared" si="11"/>
        <v>0</v>
      </c>
      <c r="E24" s="453">
        <f t="shared" si="11"/>
        <v>5200000</v>
      </c>
      <c r="F24" s="454">
        <f t="shared" si="11"/>
        <v>0</v>
      </c>
      <c r="G24" s="455">
        <f t="shared" si="11"/>
        <v>0</v>
      </c>
      <c r="H24" s="455">
        <f t="shared" si="11"/>
        <v>0</v>
      </c>
      <c r="I24" s="455">
        <f t="shared" si="11"/>
        <v>0</v>
      </c>
      <c r="J24" s="455">
        <f t="shared" si="11"/>
        <v>0</v>
      </c>
      <c r="K24" s="455">
        <f t="shared" si="11"/>
        <v>0</v>
      </c>
      <c r="L24" s="455">
        <f t="shared" si="11"/>
        <v>0</v>
      </c>
      <c r="M24" s="455">
        <f t="shared" si="11"/>
        <v>0</v>
      </c>
      <c r="N24" s="455">
        <f t="shared" si="11"/>
        <v>0</v>
      </c>
      <c r="O24" s="452">
        <f t="shared" si="11"/>
        <v>0</v>
      </c>
      <c r="P24" s="453">
        <f>SUM(P22:P23)</f>
        <v>0</v>
      </c>
      <c r="Q24" s="463">
        <f t="shared" si="11"/>
        <v>5200000</v>
      </c>
      <c r="R24" s="457">
        <f t="shared" si="11"/>
        <v>0.16645326504481431</v>
      </c>
      <c r="S24" s="457">
        <f t="shared" si="11"/>
        <v>0.16645326504481434</v>
      </c>
      <c r="T24" s="470">
        <f t="shared" si="11"/>
        <v>0</v>
      </c>
      <c r="U24"/>
      <c r="Z24"/>
    </row>
    <row r="25" spans="2:26" ht="13.5" outlineLevel="1" thickBot="1" x14ac:dyDescent="0.25">
      <c r="B25" s="424"/>
      <c r="C25" s="478"/>
      <c r="D25" s="479"/>
      <c r="E25" s="461"/>
      <c r="F25" s="480"/>
      <c r="G25" s="478"/>
      <c r="H25" s="478"/>
      <c r="I25" s="478"/>
      <c r="J25" s="478"/>
      <c r="K25" s="478"/>
      <c r="L25" s="478"/>
      <c r="M25" s="478"/>
      <c r="N25" s="478"/>
      <c r="O25" s="479"/>
      <c r="P25" s="461"/>
      <c r="Q25" s="463"/>
      <c r="R25" s="464"/>
      <c r="S25" s="464"/>
      <c r="T25" s="470"/>
      <c r="U25"/>
      <c r="Z25"/>
    </row>
    <row r="26" spans="2:26" ht="15" customHeight="1" outlineLevel="1" thickBot="1" x14ac:dyDescent="0.25">
      <c r="B26" s="481" t="s">
        <v>8</v>
      </c>
      <c r="C26" s="482">
        <f t="shared" ref="C26:S26" si="12">C20+C24</f>
        <v>5200000</v>
      </c>
      <c r="D26" s="483">
        <f t="shared" si="12"/>
        <v>0</v>
      </c>
      <c r="E26" s="484">
        <f t="shared" si="12"/>
        <v>5200000</v>
      </c>
      <c r="F26" s="485">
        <f t="shared" si="12"/>
        <v>5010000</v>
      </c>
      <c r="G26" s="486">
        <f t="shared" si="12"/>
        <v>5010000</v>
      </c>
      <c r="H26" s="486">
        <f t="shared" si="12"/>
        <v>6010000</v>
      </c>
      <c r="I26" s="486">
        <f t="shared" si="12"/>
        <v>10010000</v>
      </c>
      <c r="J26" s="486">
        <f t="shared" si="12"/>
        <v>0</v>
      </c>
      <c r="K26" s="486">
        <f t="shared" si="12"/>
        <v>0</v>
      </c>
      <c r="L26" s="486">
        <f t="shared" si="12"/>
        <v>0</v>
      </c>
      <c r="M26" s="486">
        <f t="shared" si="12"/>
        <v>0</v>
      </c>
      <c r="N26" s="486">
        <f t="shared" si="12"/>
        <v>0</v>
      </c>
      <c r="O26" s="483">
        <f t="shared" si="12"/>
        <v>0</v>
      </c>
      <c r="P26" s="484">
        <f>P20+P24</f>
        <v>26040000.000000007</v>
      </c>
      <c r="Q26" s="487">
        <f t="shared" si="12"/>
        <v>31240000.000000007</v>
      </c>
      <c r="R26" s="488">
        <f t="shared" si="12"/>
        <v>0.99999999999999989</v>
      </c>
      <c r="S26" s="488">
        <f t="shared" si="12"/>
        <v>1.0000000000000002</v>
      </c>
      <c r="T26" s="489"/>
      <c r="U26"/>
      <c r="Z26"/>
    </row>
    <row r="27" spans="2:26" ht="6.75" customHeight="1" x14ac:dyDescent="0.2">
      <c r="B27" s="490"/>
      <c r="C27" s="491"/>
      <c r="D27" s="491"/>
      <c r="E27" s="491"/>
      <c r="F27" s="492"/>
      <c r="G27" s="491"/>
      <c r="H27" s="491"/>
      <c r="I27" s="491"/>
      <c r="J27" s="491"/>
      <c r="K27" s="491"/>
      <c r="L27" s="491"/>
      <c r="M27" s="491"/>
      <c r="N27" s="491"/>
      <c r="O27" s="491"/>
      <c r="P27" s="493"/>
      <c r="Q27" s="494"/>
      <c r="R27" s="495"/>
      <c r="S27" s="495"/>
      <c r="T27" s="493"/>
      <c r="U27"/>
      <c r="Z27"/>
    </row>
    <row r="28" spans="2:26" ht="13.5" outlineLevel="1" thickBot="1" x14ac:dyDescent="0.25">
      <c r="C28" s="962" t="s">
        <v>64</v>
      </c>
      <c r="D28" s="962"/>
      <c r="E28" s="962"/>
      <c r="F28" s="962"/>
      <c r="G28" s="962"/>
      <c r="H28" s="962"/>
      <c r="I28" s="962"/>
      <c r="J28" s="962"/>
      <c r="K28" s="962"/>
      <c r="L28" s="962"/>
      <c r="M28" s="962"/>
      <c r="N28" s="962"/>
      <c r="O28" s="962"/>
      <c r="T28" s="496"/>
      <c r="U28"/>
      <c r="Z28"/>
    </row>
    <row r="29" spans="2:26" outlineLevel="1" x14ac:dyDescent="0.2">
      <c r="B29" s="413" t="str">
        <f>IF(Inputs!E31=0,Inputs!D31,CONCATENATE(Inputs!D31," (",Inputs!E31,")"))</f>
        <v>HTGC</v>
      </c>
      <c r="C29" s="497">
        <f>IF(C$7="","",Inputs!P31*C$7)</f>
        <v>0</v>
      </c>
      <c r="D29" s="497">
        <f>IF(D$7="","",Inputs!Q31*D$7)</f>
        <v>0</v>
      </c>
      <c r="E29" s="498">
        <f t="shared" ref="E29:E37" si="13">SUM(C29:D29)</f>
        <v>0</v>
      </c>
      <c r="F29" s="499">
        <f>IF(F$7="","",Inputs!F31*F$7)</f>
        <v>1000000</v>
      </c>
      <c r="G29" s="500">
        <f>IF(G$7="","",Inputs!G31*G$7)</f>
        <v>2000000</v>
      </c>
      <c r="H29" s="500">
        <f>IF(H$7="","",Inputs!H31*H$7)</f>
        <v>0</v>
      </c>
      <c r="I29" s="500">
        <f>IF(I$7="","",Inputs!I31*I$7)</f>
        <v>0</v>
      </c>
      <c r="J29" s="500">
        <f>IF(J$7="","",Inputs!J31*J$7)</f>
        <v>0</v>
      </c>
      <c r="K29" s="500">
        <f>IF(K$7="","",Inputs!K31*K$7)</f>
        <v>0</v>
      </c>
      <c r="L29" s="500">
        <f>IF(L$7="","",Inputs!L31*L$7)</f>
        <v>0</v>
      </c>
      <c r="M29" s="500">
        <f>IF(M$7="","",Inputs!M31*M$7)</f>
        <v>0</v>
      </c>
      <c r="N29" s="500">
        <f>IF(N$7="","",Inputs!N31*N$7)</f>
        <v>0</v>
      </c>
      <c r="O29" s="501">
        <f>IF(O$7="","",Inputs!O31*O$7)</f>
        <v>0</v>
      </c>
      <c r="P29" s="498">
        <f t="shared" ref="P29:P38" si="14">SUM(F29:O29)</f>
        <v>3000000</v>
      </c>
      <c r="Q29" s="419">
        <f>'Pro Forma Cap Table'!Q10</f>
        <v>2000000</v>
      </c>
      <c r="R29" s="420">
        <f>Q29/$Q$26</f>
        <v>6.4020486555697809E-2</v>
      </c>
      <c r="S29" s="420">
        <f>'Pro Forma Cap Table'!S10</f>
        <v>6.4020486555697823E-2</v>
      </c>
      <c r="T29" s="422">
        <f t="shared" ref="T29:T37" si="15">SUM(F29:O29)</f>
        <v>3000000</v>
      </c>
      <c r="V29" s="423"/>
      <c r="W29" s="26"/>
      <c r="X29" s="26"/>
      <c r="Y29" s="26"/>
    </row>
    <row r="30" spans="2:26" outlineLevel="1" x14ac:dyDescent="0.2">
      <c r="B30" s="424" t="str">
        <f>IF(Inputs!E32=0,Inputs!D32,CONCATENATE(Inputs!D32," (",Inputs!E32,")"))</f>
        <v>Inv B</v>
      </c>
      <c r="C30" s="502">
        <f>IF(C$7="","",Inputs!P32*C$7)</f>
        <v>0</v>
      </c>
      <c r="D30" s="502">
        <f>IF(D$7="","",Inputs!Q32*D$7)</f>
        <v>0</v>
      </c>
      <c r="E30" s="503">
        <f t="shared" si="13"/>
        <v>0</v>
      </c>
      <c r="F30" s="504">
        <f>IF(F$7="","",Inputs!F32*F$7)</f>
        <v>1000000</v>
      </c>
      <c r="G30" s="505">
        <f>IF(G$7="","",Inputs!G32*G$7)</f>
        <v>2000000</v>
      </c>
      <c r="H30" s="505">
        <f>IF(H$7="","",Inputs!H32*H$7)</f>
        <v>0</v>
      </c>
      <c r="I30" s="505">
        <f>IF(I$7="","",Inputs!I32*I$7)</f>
        <v>0</v>
      </c>
      <c r="J30" s="505">
        <f>IF(J$7="","",Inputs!J32*J$7)</f>
        <v>0</v>
      </c>
      <c r="K30" s="505">
        <f>IF(K$7="","",Inputs!K32*K$7)</f>
        <v>0</v>
      </c>
      <c r="L30" s="505">
        <f>IF(L$7="","",Inputs!L32*L$7)</f>
        <v>0</v>
      </c>
      <c r="M30" s="505">
        <f>IF(M$7="","",Inputs!M32*M$7)</f>
        <v>0</v>
      </c>
      <c r="N30" s="505">
        <f>IF(N$7="","",Inputs!N32*N$7)</f>
        <v>0</v>
      </c>
      <c r="O30" s="506">
        <f>IF(O$7="","",Inputs!O32*O$7)</f>
        <v>0</v>
      </c>
      <c r="P30" s="503">
        <f t="shared" si="14"/>
        <v>3000000</v>
      </c>
      <c r="Q30" s="430">
        <f>'Pro Forma Cap Table'!Q11</f>
        <v>2000000</v>
      </c>
      <c r="R30" s="431">
        <f t="shared" ref="R30:R38" si="16">Q30/$Q$26</f>
        <v>6.4020486555697809E-2</v>
      </c>
      <c r="S30" s="431">
        <f>'Pro Forma Cap Table'!S11</f>
        <v>6.4020486555697823E-2</v>
      </c>
      <c r="T30" s="432">
        <f t="shared" si="15"/>
        <v>3000000</v>
      </c>
      <c r="V30" s="423"/>
      <c r="W30" s="26"/>
      <c r="X30" s="26"/>
      <c r="Y30" s="26"/>
    </row>
    <row r="31" spans="2:26" outlineLevel="1" x14ac:dyDescent="0.2">
      <c r="B31" s="424" t="str">
        <f>IF(Inputs!E33=0,Inputs!D33,CONCATENATE(Inputs!D33," (",Inputs!E33,")"))</f>
        <v>Inv C</v>
      </c>
      <c r="C31" s="502">
        <f>IF(C$7="","",Inputs!P33*C$7)</f>
        <v>0</v>
      </c>
      <c r="D31" s="502">
        <f>IF(D$7="","",Inputs!Q33*D$7)</f>
        <v>0</v>
      </c>
      <c r="E31" s="503">
        <f t="shared" si="13"/>
        <v>0</v>
      </c>
      <c r="F31" s="504">
        <f>IF(F$7="","",Inputs!F33*F$7)</f>
        <v>1000000</v>
      </c>
      <c r="G31" s="505">
        <f>IF(G$7="","",Inputs!G33*G$7)</f>
        <v>2000000</v>
      </c>
      <c r="H31" s="505">
        <f>IF(H$7="","",Inputs!H33*H$7)</f>
        <v>2500000</v>
      </c>
      <c r="I31" s="505">
        <f>IF(I$7="","",Inputs!I33*I$7)</f>
        <v>0</v>
      </c>
      <c r="J31" s="505">
        <f>IF(J$7="","",Inputs!J33*J$7)</f>
        <v>0</v>
      </c>
      <c r="K31" s="505">
        <f>IF(K$7="","",Inputs!K33*K$7)</f>
        <v>0</v>
      </c>
      <c r="L31" s="505">
        <f>IF(L$7="","",Inputs!L33*L$7)</f>
        <v>0</v>
      </c>
      <c r="M31" s="505">
        <f>IF(M$7="","",Inputs!M33*M$7)</f>
        <v>0</v>
      </c>
      <c r="N31" s="505">
        <f>IF(N$7="","",Inputs!N33*N$7)</f>
        <v>0</v>
      </c>
      <c r="O31" s="506">
        <f>IF(O$7="","",Inputs!O33*O$7)</f>
        <v>0</v>
      </c>
      <c r="P31" s="503">
        <f t="shared" si="14"/>
        <v>5500000</v>
      </c>
      <c r="Q31" s="430">
        <f>'Pro Forma Cap Table'!Q12</f>
        <v>3000000</v>
      </c>
      <c r="R31" s="431">
        <f t="shared" si="16"/>
        <v>9.6030729833546713E-2</v>
      </c>
      <c r="S31" s="431">
        <f>'Pro Forma Cap Table'!S12</f>
        <v>9.6030729833546741E-2</v>
      </c>
      <c r="T31" s="432">
        <f t="shared" si="15"/>
        <v>5500000</v>
      </c>
      <c r="V31" s="433"/>
      <c r="W31" s="26"/>
      <c r="X31" s="26"/>
      <c r="Y31" s="26"/>
    </row>
    <row r="32" spans="2:26" ht="12" customHeight="1" outlineLevel="1" x14ac:dyDescent="0.2">
      <c r="B32" s="424" t="str">
        <f>IF(Inputs!E34=0,Inputs!D34,CONCATENATE(Inputs!D34," (",Inputs!E34,")"))</f>
        <v>Inv D</v>
      </c>
      <c r="C32" s="502">
        <f>IF(C$7="","",Inputs!P34*C$7)</f>
        <v>0</v>
      </c>
      <c r="D32" s="502">
        <f>IF(D$7="","",Inputs!Q34*D$7)</f>
        <v>0</v>
      </c>
      <c r="E32" s="503">
        <f t="shared" si="13"/>
        <v>0</v>
      </c>
      <c r="F32" s="504">
        <f>IF(F$7="","",Inputs!F34*F$7)</f>
        <v>1000000</v>
      </c>
      <c r="G32" s="505">
        <f>IF(G$7="","",Inputs!G34*G$7)</f>
        <v>2000000</v>
      </c>
      <c r="H32" s="505">
        <f>IF(H$7="","",Inputs!H34*H$7)</f>
        <v>2500000</v>
      </c>
      <c r="I32" s="505">
        <f>IF(I$7="","",Inputs!I34*I$7)</f>
        <v>0</v>
      </c>
      <c r="J32" s="505">
        <f>IF(J$7="","",Inputs!J34*J$7)</f>
        <v>0</v>
      </c>
      <c r="K32" s="505">
        <f>IF(K$7="","",Inputs!K34*K$7)</f>
        <v>0</v>
      </c>
      <c r="L32" s="505">
        <f>IF(L$7="","",Inputs!L34*L$7)</f>
        <v>0</v>
      </c>
      <c r="M32" s="505">
        <f>IF(M$7="","",Inputs!M34*M$7)</f>
        <v>0</v>
      </c>
      <c r="N32" s="505">
        <f>IF(N$7="","",Inputs!N34*N$7)</f>
        <v>0</v>
      </c>
      <c r="O32" s="506">
        <f>IF(O$7="","",Inputs!O34*O$7)</f>
        <v>0</v>
      </c>
      <c r="P32" s="503">
        <f t="shared" si="14"/>
        <v>5500000</v>
      </c>
      <c r="Q32" s="430">
        <f>'Pro Forma Cap Table'!Q13</f>
        <v>3000000</v>
      </c>
      <c r="R32" s="431">
        <f t="shared" si="16"/>
        <v>9.6030729833546713E-2</v>
      </c>
      <c r="S32" s="431">
        <f>'Pro Forma Cap Table'!S13</f>
        <v>9.6030729833546741E-2</v>
      </c>
      <c r="T32" s="432">
        <f t="shared" si="15"/>
        <v>5500000</v>
      </c>
      <c r="V32" s="423"/>
      <c r="W32" s="26"/>
      <c r="X32" s="26"/>
      <c r="Y32" s="26"/>
    </row>
    <row r="33" spans="2:41" ht="12" customHeight="1" outlineLevel="1" x14ac:dyDescent="0.2">
      <c r="B33" s="424" t="str">
        <f>IF(Inputs!E35=0,Inputs!D35,CONCATENATE(Inputs!D35," (",Inputs!E35,")"))</f>
        <v>Inv E</v>
      </c>
      <c r="C33" s="502">
        <f>IF(C$7="","",Inputs!P35*C$7)</f>
        <v>0</v>
      </c>
      <c r="D33" s="502">
        <f>IF(D$7="","",Inputs!Q35*D$7)</f>
        <v>0</v>
      </c>
      <c r="E33" s="503">
        <f t="shared" si="13"/>
        <v>0</v>
      </c>
      <c r="F33" s="504">
        <f>IF(F$7="","",Inputs!F35*F$7)</f>
        <v>1000000</v>
      </c>
      <c r="G33" s="505">
        <f>IF(G$7="","",Inputs!G35*G$7)</f>
        <v>2000000</v>
      </c>
      <c r="H33" s="505">
        <f>IF(H$7="","",Inputs!H35*H$7)</f>
        <v>2500000</v>
      </c>
      <c r="I33" s="505">
        <f>IF(I$7="","",Inputs!I35*I$7)</f>
        <v>0</v>
      </c>
      <c r="J33" s="505">
        <f>IF(J$7="","",Inputs!J35*J$7)</f>
        <v>0</v>
      </c>
      <c r="K33" s="505">
        <f>IF(K$7="","",Inputs!K35*K$7)</f>
        <v>0</v>
      </c>
      <c r="L33" s="505">
        <f>IF(L$7="","",Inputs!L35*L$7)</f>
        <v>0</v>
      </c>
      <c r="M33" s="505">
        <f>IF(M$7="","",Inputs!M35*M$7)</f>
        <v>0</v>
      </c>
      <c r="N33" s="505">
        <f>IF(N$7="","",Inputs!N35*N$7)</f>
        <v>0</v>
      </c>
      <c r="O33" s="506">
        <f>IF(O$7="","",Inputs!O35*O$7)</f>
        <v>0</v>
      </c>
      <c r="P33" s="503">
        <f t="shared" si="14"/>
        <v>5500000</v>
      </c>
      <c r="Q33" s="430">
        <f>'Pro Forma Cap Table'!Q14</f>
        <v>3000000</v>
      </c>
      <c r="R33" s="431">
        <f t="shared" si="16"/>
        <v>9.6030729833546713E-2</v>
      </c>
      <c r="S33" s="431">
        <f>'Pro Forma Cap Table'!S14</f>
        <v>9.6030729833546741E-2</v>
      </c>
      <c r="T33" s="432">
        <f t="shared" si="15"/>
        <v>5500000</v>
      </c>
      <c r="V33" s="423"/>
      <c r="W33" s="26"/>
      <c r="X33" s="26"/>
      <c r="Y33" s="26"/>
    </row>
    <row r="34" spans="2:41" ht="12" customHeight="1" outlineLevel="1" x14ac:dyDescent="0.2">
      <c r="B34" s="424" t="str">
        <f>IF(Inputs!E36=0,Inputs!D36,CONCATENATE(Inputs!D36," (",Inputs!E36,")"))</f>
        <v>Inv F</v>
      </c>
      <c r="C34" s="502">
        <f>IF(C$7="","",Inputs!P36*C$7)</f>
        <v>0</v>
      </c>
      <c r="D34" s="502">
        <f>IF(D$7="","",Inputs!Q36*D$7)</f>
        <v>0</v>
      </c>
      <c r="E34" s="503">
        <f t="shared" si="13"/>
        <v>0</v>
      </c>
      <c r="F34" s="504">
        <f>IF(F$7="","",Inputs!F36*F$7)</f>
        <v>0</v>
      </c>
      <c r="G34" s="505">
        <f>IF(G$7="","",Inputs!G36*G$7)</f>
        <v>0</v>
      </c>
      <c r="H34" s="505">
        <f>IF(H$7="","",Inputs!H36*H$7)</f>
        <v>2500000</v>
      </c>
      <c r="I34" s="505">
        <f>IF(I$7="","",Inputs!I36*I$7)</f>
        <v>6666666.666666667</v>
      </c>
      <c r="J34" s="505">
        <f>IF(J$7="","",Inputs!J36*J$7)</f>
        <v>0</v>
      </c>
      <c r="K34" s="505">
        <f>IF(K$7="","",Inputs!K36*K$7)</f>
        <v>0</v>
      </c>
      <c r="L34" s="505">
        <f>IF(L$7="","",Inputs!L36*L$7)</f>
        <v>0</v>
      </c>
      <c r="M34" s="505">
        <f>IF(M$7="","",Inputs!M36*M$7)</f>
        <v>0</v>
      </c>
      <c r="N34" s="505">
        <f>IF(N$7="","",Inputs!N36*N$7)</f>
        <v>0</v>
      </c>
      <c r="O34" s="506">
        <f>IF(O$7="","",Inputs!O36*O$7)</f>
        <v>0</v>
      </c>
      <c r="P34" s="503">
        <f t="shared" si="14"/>
        <v>9166666.6666666679</v>
      </c>
      <c r="Q34" s="430">
        <f>'Pro Forma Cap Table'!Q15</f>
        <v>4333333.333333334</v>
      </c>
      <c r="R34" s="431">
        <f t="shared" si="16"/>
        <v>0.13871105420401195</v>
      </c>
      <c r="S34" s="431">
        <f>'Pro Forma Cap Table'!S15</f>
        <v>0.13871105420401197</v>
      </c>
      <c r="T34" s="432">
        <f t="shared" si="15"/>
        <v>9166666.6666666679</v>
      </c>
      <c r="V34" s="423"/>
      <c r="W34" s="26"/>
      <c r="X34" s="26"/>
      <c r="Y34" s="26"/>
    </row>
    <row r="35" spans="2:41" ht="12" customHeight="1" outlineLevel="1" x14ac:dyDescent="0.2">
      <c r="B35" s="424" t="str">
        <f>IF(Inputs!E37=0,Inputs!D37,CONCATENATE(Inputs!D37," (",Inputs!E37,")"))</f>
        <v>Inv G</v>
      </c>
      <c r="C35" s="502">
        <f>IF(C$7="","",Inputs!P37*C$7)</f>
        <v>0</v>
      </c>
      <c r="D35" s="502">
        <f>IF(D$7="","",Inputs!Q37*D$7)</f>
        <v>0</v>
      </c>
      <c r="E35" s="503">
        <f t="shared" si="13"/>
        <v>0</v>
      </c>
      <c r="F35" s="504">
        <f>IF(F$7="","",Inputs!F37*F$7)</f>
        <v>0</v>
      </c>
      <c r="G35" s="505">
        <f>IF(G$7="","",Inputs!G37*G$7)</f>
        <v>0</v>
      </c>
      <c r="H35" s="505">
        <f>IF(H$7="","",Inputs!H37*H$7)</f>
        <v>2500000</v>
      </c>
      <c r="I35" s="505">
        <f>IF(I$7="","",Inputs!I37*I$7)</f>
        <v>6666666.666666667</v>
      </c>
      <c r="J35" s="505">
        <f>IF(J$7="","",Inputs!J37*J$7)</f>
        <v>0</v>
      </c>
      <c r="K35" s="505">
        <f>IF(K$7="","",Inputs!K37*K$7)</f>
        <v>0</v>
      </c>
      <c r="L35" s="505">
        <f>IF(L$7="","",Inputs!L37*L$7)</f>
        <v>0</v>
      </c>
      <c r="M35" s="505">
        <f>IF(M$7="","",Inputs!M37*M$7)</f>
        <v>0</v>
      </c>
      <c r="N35" s="505">
        <f>IF(N$7="","",Inputs!N37*N$7)</f>
        <v>0</v>
      </c>
      <c r="O35" s="506">
        <f>IF(O$7="","",Inputs!O37*O$7)</f>
        <v>0</v>
      </c>
      <c r="P35" s="503">
        <f t="shared" si="14"/>
        <v>9166666.6666666679</v>
      </c>
      <c r="Q35" s="430">
        <f>'Pro Forma Cap Table'!Q16</f>
        <v>4333333.333333334</v>
      </c>
      <c r="R35" s="431">
        <f t="shared" si="16"/>
        <v>0.13871105420401195</v>
      </c>
      <c r="S35" s="431">
        <f>'Pro Forma Cap Table'!S16</f>
        <v>0.13871105420401197</v>
      </c>
      <c r="T35" s="432">
        <f t="shared" si="15"/>
        <v>9166666.6666666679</v>
      </c>
      <c r="V35" s="423"/>
      <c r="W35" s="26"/>
      <c r="X35" s="26"/>
      <c r="Y35" s="26"/>
    </row>
    <row r="36" spans="2:41" ht="12" customHeight="1" outlineLevel="1" x14ac:dyDescent="0.2">
      <c r="B36" s="424" t="str">
        <f>IF(Inputs!E38=0,Inputs!D38,CONCATENATE(Inputs!D38," (",Inputs!E38,")"))</f>
        <v>Inv H</v>
      </c>
      <c r="C36" s="502">
        <f>IF(C$7="","",Inputs!P38*C$7)</f>
        <v>0</v>
      </c>
      <c r="D36" s="502">
        <f>IF(D$7="","",Inputs!Q38*D$7)</f>
        <v>0</v>
      </c>
      <c r="E36" s="503">
        <f t="shared" si="13"/>
        <v>0</v>
      </c>
      <c r="F36" s="504">
        <f>IF(F$7="","",Inputs!F38*F$7)</f>
        <v>0</v>
      </c>
      <c r="G36" s="505">
        <f>IF(G$7="","",Inputs!G38*G$7)</f>
        <v>0</v>
      </c>
      <c r="H36" s="505">
        <f>IF(H$7="","",Inputs!H38*H$7)</f>
        <v>2500000</v>
      </c>
      <c r="I36" s="505">
        <f>IF(I$7="","",Inputs!I38*I$7)</f>
        <v>6666666.666666667</v>
      </c>
      <c r="J36" s="505">
        <f>IF(J$7="","",Inputs!J38*J$7)</f>
        <v>0</v>
      </c>
      <c r="K36" s="505">
        <f>IF(K$7="","",Inputs!K38*K$7)</f>
        <v>0</v>
      </c>
      <c r="L36" s="505">
        <f>IF(L$7="","",Inputs!L38*L$7)</f>
        <v>0</v>
      </c>
      <c r="M36" s="505">
        <f>IF(M$7="","",Inputs!M38*M$7)</f>
        <v>0</v>
      </c>
      <c r="N36" s="505">
        <f>IF(N$7="","",Inputs!N38*N$7)</f>
        <v>0</v>
      </c>
      <c r="O36" s="506">
        <f>IF(O$7="","",Inputs!O38*O$7)</f>
        <v>0</v>
      </c>
      <c r="P36" s="503">
        <f t="shared" si="14"/>
        <v>9166666.6666666679</v>
      </c>
      <c r="Q36" s="430">
        <f>'Pro Forma Cap Table'!Q17</f>
        <v>4333333.333333334</v>
      </c>
      <c r="R36" s="431">
        <f t="shared" si="16"/>
        <v>0.13871105420401195</v>
      </c>
      <c r="S36" s="431">
        <f>'Pro Forma Cap Table'!S17</f>
        <v>0.13871105420401197</v>
      </c>
      <c r="T36" s="432">
        <f t="shared" si="15"/>
        <v>9166666.6666666679</v>
      </c>
      <c r="V36" s="26"/>
      <c r="W36" s="26"/>
      <c r="X36" s="26"/>
      <c r="Y36" s="26"/>
    </row>
    <row r="37" spans="2:41" outlineLevel="1" x14ac:dyDescent="0.2">
      <c r="B37" s="424" t="str">
        <f>Inputs!D39</f>
        <v>Other Investors</v>
      </c>
      <c r="C37" s="507">
        <f>IF(C$7="","",Inputs!P39*C$7)</f>
        <v>0</v>
      </c>
      <c r="D37" s="507">
        <f>IF(D$7="","",Inputs!Q39*D$7)</f>
        <v>0</v>
      </c>
      <c r="E37" s="508">
        <f t="shared" si="13"/>
        <v>0</v>
      </c>
      <c r="F37" s="509">
        <f>IF(F$7="","",Inputs!F39*F$7)</f>
        <v>0</v>
      </c>
      <c r="G37" s="510">
        <f>IF(G$7="","",Inputs!G39*G$7)</f>
        <v>0</v>
      </c>
      <c r="H37" s="510">
        <f>IF(H$7="","",Inputs!H39*H$7)</f>
        <v>0</v>
      </c>
      <c r="I37" s="510">
        <f>IF(I$7="","",Inputs!I39*I$7)</f>
        <v>0</v>
      </c>
      <c r="J37" s="510">
        <f>IF(J$7="","",Inputs!J39*J$7)</f>
        <v>0</v>
      </c>
      <c r="K37" s="510">
        <f>IF(K$7="","",Inputs!K39*K$7)</f>
        <v>0</v>
      </c>
      <c r="L37" s="510">
        <f>IF(L$7="","",Inputs!L39*L$7)</f>
        <v>0</v>
      </c>
      <c r="M37" s="510">
        <f>IF(M$7="","",Inputs!M39*M$7)</f>
        <v>0</v>
      </c>
      <c r="N37" s="510">
        <f>IF(N$7="","",Inputs!N39*N$7)</f>
        <v>0</v>
      </c>
      <c r="O37" s="511">
        <f>IF(O$7="","",Inputs!O39*O$7)</f>
        <v>0</v>
      </c>
      <c r="P37" s="512">
        <f t="shared" si="14"/>
        <v>0</v>
      </c>
      <c r="Q37" s="440">
        <f>'Pro Forma Cap Table'!Q18</f>
        <v>0</v>
      </c>
      <c r="R37" s="441">
        <f t="shared" si="16"/>
        <v>0</v>
      </c>
      <c r="S37" s="441">
        <f>'Pro Forma Cap Table'!S18</f>
        <v>0</v>
      </c>
      <c r="T37" s="513">
        <f t="shared" si="15"/>
        <v>0</v>
      </c>
      <c r="V37" s="26"/>
      <c r="W37" s="26"/>
      <c r="X37" s="26"/>
      <c r="Y37" s="26"/>
    </row>
    <row r="38" spans="2:41" ht="13.5" outlineLevel="1" thickBot="1" x14ac:dyDescent="0.25">
      <c r="B38" s="443" t="s">
        <v>54</v>
      </c>
      <c r="C38" s="514">
        <f>C19*Inputs!$K$20</f>
        <v>0</v>
      </c>
      <c r="D38" s="515">
        <f>D19*Inputs!$K$20</f>
        <v>0</v>
      </c>
      <c r="E38" s="516"/>
      <c r="F38" s="622">
        <f>F19*Inputs!O10</f>
        <v>10000</v>
      </c>
      <c r="G38" s="623">
        <f>G19*Inputs!$O11</f>
        <v>10000</v>
      </c>
      <c r="H38" s="623">
        <f>H19*Inputs!$O12</f>
        <v>10000</v>
      </c>
      <c r="I38" s="623">
        <f>I19*Inputs!$O13</f>
        <v>10000</v>
      </c>
      <c r="J38" s="623">
        <f>J19*Inputs!$O14</f>
        <v>0</v>
      </c>
      <c r="K38" s="623">
        <f>K19*Inputs!$O15</f>
        <v>0</v>
      </c>
      <c r="L38" s="623">
        <f>L19*Inputs!$O16</f>
        <v>0</v>
      </c>
      <c r="M38" s="623">
        <f>M19*Inputs!$O17</f>
        <v>0</v>
      </c>
      <c r="N38" s="623">
        <f>N19*Inputs!$O18</f>
        <v>0</v>
      </c>
      <c r="O38" s="624">
        <f>O19*Inputs!$O19</f>
        <v>0</v>
      </c>
      <c r="P38" s="449">
        <f t="shared" si="14"/>
        <v>40000</v>
      </c>
      <c r="Q38" s="440">
        <f>'Pro Forma Cap Table'!Q19</f>
        <v>40000</v>
      </c>
      <c r="R38" s="441">
        <f t="shared" si="16"/>
        <v>1.2804097311139562E-3</v>
      </c>
      <c r="S38" s="441">
        <f>'Pro Forma Cap Table'!S19</f>
        <v>1.2804097311139564E-3</v>
      </c>
      <c r="T38" s="516">
        <f>SUM(F38:O38)</f>
        <v>40000</v>
      </c>
      <c r="V38" s="26"/>
      <c r="W38" s="26"/>
      <c r="X38" s="26"/>
      <c r="Y38" s="26"/>
    </row>
    <row r="39" spans="2:41" outlineLevel="1" x14ac:dyDescent="0.2">
      <c r="B39" s="450" t="s">
        <v>35</v>
      </c>
      <c r="C39" s="517">
        <f>SUM(C29:C37)</f>
        <v>0</v>
      </c>
      <c r="D39" s="518">
        <f>SUM(D29:D37)</f>
        <v>0</v>
      </c>
      <c r="E39" s="458">
        <f>SUM(E29:E37)</f>
        <v>0</v>
      </c>
      <c r="F39" s="519">
        <f t="shared" ref="F39:Q39" si="17">SUM(F29:F38)</f>
        <v>5010000</v>
      </c>
      <c r="G39" s="520">
        <f t="shared" si="17"/>
        <v>10010000</v>
      </c>
      <c r="H39" s="520">
        <f t="shared" si="17"/>
        <v>15010000</v>
      </c>
      <c r="I39" s="520">
        <f t="shared" si="17"/>
        <v>20010000</v>
      </c>
      <c r="J39" s="520">
        <f t="shared" si="17"/>
        <v>0</v>
      </c>
      <c r="K39" s="520">
        <f t="shared" si="17"/>
        <v>0</v>
      </c>
      <c r="L39" s="520">
        <f t="shared" si="17"/>
        <v>0</v>
      </c>
      <c r="M39" s="520">
        <f t="shared" si="17"/>
        <v>0</v>
      </c>
      <c r="N39" s="520">
        <f t="shared" si="17"/>
        <v>0</v>
      </c>
      <c r="O39" s="518">
        <f t="shared" si="17"/>
        <v>0</v>
      </c>
      <c r="P39" s="458">
        <f>SUM(P29:P38)</f>
        <v>50040000</v>
      </c>
      <c r="Q39" s="456">
        <f t="shared" si="17"/>
        <v>26040000.000000007</v>
      </c>
      <c r="R39" s="457">
        <f t="shared" ref="R39" si="18">SUM(R29:R38)</f>
        <v>0.83354673495518561</v>
      </c>
      <c r="S39" s="457">
        <f>SUM(S29:S38)</f>
        <v>0.83354673495518583</v>
      </c>
      <c r="T39" s="458">
        <f t="shared" ref="T39" si="19">SUM(T29:T38)</f>
        <v>50040000</v>
      </c>
      <c r="W39" s="26"/>
      <c r="X39" s="26"/>
      <c r="Y39" s="26"/>
    </row>
    <row r="40" spans="2:41" outlineLevel="1" x14ac:dyDescent="0.2">
      <c r="B40" s="424"/>
      <c r="C40" s="521"/>
      <c r="D40" s="522"/>
      <c r="E40" s="465"/>
      <c r="F40" s="462"/>
      <c r="G40" s="459"/>
      <c r="H40" s="459"/>
      <c r="I40" s="459"/>
      <c r="J40" s="459"/>
      <c r="K40" s="459"/>
      <c r="L40" s="459"/>
      <c r="M40" s="459"/>
      <c r="N40" s="459"/>
      <c r="O40" s="460"/>
      <c r="P40" s="461"/>
      <c r="Q40" s="463"/>
      <c r="R40" s="464"/>
      <c r="S40" s="464"/>
      <c r="T40" s="465"/>
      <c r="U40"/>
      <c r="Z40"/>
    </row>
    <row r="41" spans="2:41" outlineLevel="1" x14ac:dyDescent="0.2">
      <c r="B41" s="424" t="str">
        <f>Inputs!D40</f>
        <v>Management</v>
      </c>
      <c r="C41" s="523">
        <f>IF(C$7=0,0,Inputs!M22*C7)</f>
        <v>5.2000000000000005E-2</v>
      </c>
      <c r="D41" s="524">
        <f>IF(D$7=0,0,Inputs!M23*D7)</f>
        <v>0</v>
      </c>
      <c r="E41" s="525">
        <f>SUM(C41:D41)</f>
        <v>5.2000000000000005E-2</v>
      </c>
      <c r="F41" s="574">
        <f>IF(F$7=0,0,Inputs!F40*F$7)</f>
        <v>0</v>
      </c>
      <c r="G41" s="574">
        <f>IF(G$7=0,0,Inputs!G40*G$7)</f>
        <v>0</v>
      </c>
      <c r="H41" s="574">
        <f>IF(H$7=0,0,Inputs!H40*H$7)</f>
        <v>0</v>
      </c>
      <c r="I41" s="574">
        <f>IF(I$7=0,0,Inputs!I40*I$7)</f>
        <v>0</v>
      </c>
      <c r="J41" s="574">
        <f>IF(J$7=0,0,Inputs!J40*J$7)</f>
        <v>0</v>
      </c>
      <c r="K41" s="574">
        <f>IF(K$7=0,0,Inputs!K40*K$7)</f>
        <v>0</v>
      </c>
      <c r="L41" s="574">
        <f>IF(L$7=0,0,Inputs!L40*L$7)</f>
        <v>0</v>
      </c>
      <c r="M41" s="574">
        <f>IF(M$7=0,0,Inputs!M40*M$7)</f>
        <v>0</v>
      </c>
      <c r="N41" s="574">
        <f>IF(N$7=0,0,Inputs!N40*N$7)</f>
        <v>0</v>
      </c>
      <c r="O41" s="524">
        <f>IF(O$7=0,0,Inputs!O40*O$7)</f>
        <v>0</v>
      </c>
      <c r="P41" s="461">
        <f>SUM(F41:O41)</f>
        <v>0</v>
      </c>
      <c r="Q41" s="463">
        <f>Q22</f>
        <v>5200000</v>
      </c>
      <c r="R41" s="464">
        <f>Q41/Q$26</f>
        <v>0.16645326504481431</v>
      </c>
      <c r="S41" s="464">
        <f>'Pro Forma Cap Table'!S22</f>
        <v>0.16645326504481434</v>
      </c>
      <c r="T41" s="470">
        <f>T22</f>
        <v>0</v>
      </c>
      <c r="U41"/>
      <c r="Z41"/>
    </row>
    <row r="42" spans="2:41" ht="13.5" outlineLevel="1" thickBot="1" x14ac:dyDescent="0.25">
      <c r="B42" s="471"/>
      <c r="C42" s="526"/>
      <c r="D42" s="527"/>
      <c r="E42" s="465"/>
      <c r="F42" s="575"/>
      <c r="G42" s="526"/>
      <c r="H42" s="526"/>
      <c r="I42" s="526"/>
      <c r="J42" s="526"/>
      <c r="K42" s="526"/>
      <c r="L42" s="526"/>
      <c r="M42" s="526"/>
      <c r="N42" s="526"/>
      <c r="O42" s="527"/>
      <c r="P42" s="449"/>
      <c r="Q42" s="475"/>
      <c r="R42" s="464"/>
      <c r="S42" s="464"/>
      <c r="T42" s="476"/>
      <c r="U42"/>
      <c r="Z42"/>
    </row>
    <row r="43" spans="2:41" outlineLevel="1" x14ac:dyDescent="0.2">
      <c r="B43" s="477" t="s">
        <v>36</v>
      </c>
      <c r="C43" s="517">
        <f t="shared" ref="C43:T43" si="20">SUM(C41:C42)</f>
        <v>5.2000000000000005E-2</v>
      </c>
      <c r="D43" s="518">
        <f t="shared" si="20"/>
        <v>0</v>
      </c>
      <c r="E43" s="458">
        <f t="shared" si="20"/>
        <v>5.2000000000000005E-2</v>
      </c>
      <c r="F43" s="519">
        <f t="shared" si="20"/>
        <v>0</v>
      </c>
      <c r="G43" s="520">
        <f t="shared" si="20"/>
        <v>0</v>
      </c>
      <c r="H43" s="520">
        <f t="shared" si="20"/>
        <v>0</v>
      </c>
      <c r="I43" s="520">
        <f t="shared" si="20"/>
        <v>0</v>
      </c>
      <c r="J43" s="520">
        <f t="shared" si="20"/>
        <v>0</v>
      </c>
      <c r="K43" s="520">
        <f t="shared" si="20"/>
        <v>0</v>
      </c>
      <c r="L43" s="520">
        <f t="shared" si="20"/>
        <v>0</v>
      </c>
      <c r="M43" s="520">
        <f t="shared" si="20"/>
        <v>0</v>
      </c>
      <c r="N43" s="520">
        <f t="shared" si="20"/>
        <v>0</v>
      </c>
      <c r="O43" s="518">
        <f t="shared" si="20"/>
        <v>0</v>
      </c>
      <c r="P43" s="453">
        <f>SUM(P41:P42)</f>
        <v>0</v>
      </c>
      <c r="Q43" s="463">
        <f t="shared" si="20"/>
        <v>5200000</v>
      </c>
      <c r="R43" s="457">
        <f t="shared" si="20"/>
        <v>0.16645326504481431</v>
      </c>
      <c r="S43" s="457">
        <f t="shared" si="20"/>
        <v>0.16645326504481434</v>
      </c>
      <c r="T43" s="470">
        <f t="shared" si="20"/>
        <v>0</v>
      </c>
      <c r="U43"/>
      <c r="Z43"/>
    </row>
    <row r="44" spans="2:41" ht="13.5" outlineLevel="1" thickBot="1" x14ac:dyDescent="0.25">
      <c r="B44" s="424"/>
      <c r="C44" s="528"/>
      <c r="D44" s="529"/>
      <c r="E44" s="465"/>
      <c r="F44" s="480"/>
      <c r="G44" s="478"/>
      <c r="H44" s="478"/>
      <c r="I44" s="478"/>
      <c r="J44" s="478"/>
      <c r="K44" s="478"/>
      <c r="L44" s="478"/>
      <c r="M44" s="478"/>
      <c r="N44" s="478"/>
      <c r="O44" s="479"/>
      <c r="P44" s="461"/>
      <c r="Q44" s="463"/>
      <c r="R44" s="464"/>
      <c r="S44" s="464"/>
      <c r="T44" s="470"/>
      <c r="U44"/>
      <c r="Z44"/>
    </row>
    <row r="45" spans="2:41" ht="15" customHeight="1" outlineLevel="1" thickBot="1" x14ac:dyDescent="0.25">
      <c r="B45" s="481" t="s">
        <v>9</v>
      </c>
      <c r="C45" s="530">
        <f>C91*C7</f>
        <v>5.2000000000000005E-2</v>
      </c>
      <c r="D45" s="531">
        <f>D91*D7</f>
        <v>0</v>
      </c>
      <c r="E45" s="532">
        <f>SUM(C45:D45)</f>
        <v>5.2000000000000005E-2</v>
      </c>
      <c r="F45" s="533">
        <f>IF(F7=0,"N/A",F$91*F$7)</f>
        <v>5000000</v>
      </c>
      <c r="G45" s="534">
        <f t="shared" ref="G45:O45" si="21">IF(G7=0,"N/A",G$91*G$7)</f>
        <v>10000000</v>
      </c>
      <c r="H45" s="534">
        <f t="shared" si="21"/>
        <v>15000000</v>
      </c>
      <c r="I45" s="534">
        <f t="shared" si="21"/>
        <v>20000000</v>
      </c>
      <c r="J45" s="534" t="str">
        <f t="shared" si="21"/>
        <v>N/A</v>
      </c>
      <c r="K45" s="534" t="str">
        <f t="shared" si="21"/>
        <v>N/A</v>
      </c>
      <c r="L45" s="534" t="str">
        <f t="shared" si="21"/>
        <v>N/A</v>
      </c>
      <c r="M45" s="534" t="str">
        <f t="shared" si="21"/>
        <v>N/A</v>
      </c>
      <c r="N45" s="534" t="str">
        <f t="shared" si="21"/>
        <v>N/A</v>
      </c>
      <c r="O45" s="531" t="str">
        <f t="shared" si="21"/>
        <v>N/A</v>
      </c>
      <c r="P45" s="532">
        <f>SUM(F45:O45)</f>
        <v>50000000</v>
      </c>
      <c r="Q45" s="535"/>
      <c r="R45" s="488">
        <f t="shared" ref="R45:S45" si="22">R39+R43</f>
        <v>0.99999999999999989</v>
      </c>
      <c r="S45" s="488">
        <f t="shared" si="22"/>
        <v>1.0000000000000002</v>
      </c>
      <c r="T45" s="489">
        <f>T39+T43</f>
        <v>50040000</v>
      </c>
      <c r="U45"/>
      <c r="Z45"/>
    </row>
    <row r="46" spans="2:41" ht="13.5" thickBot="1" x14ac:dyDescent="0.25">
      <c r="C46" s="47"/>
      <c r="D46" s="536" t="s">
        <v>43</v>
      </c>
      <c r="E46" s="537"/>
      <c r="F46" s="538" t="str">
        <f t="array" ref="F46:O46">IF(TRANSPOSE(Inputs!F$10:F$19)=0,"N/A",TRANSPOSE(Inputs!F$10:F$19))</f>
        <v>N/A</v>
      </c>
      <c r="G46" s="534" t="str">
        <v>N/A</v>
      </c>
      <c r="H46" s="534" t="str">
        <v>N/A</v>
      </c>
      <c r="I46" s="534" t="str">
        <v>N/A</v>
      </c>
      <c r="J46" s="534" t="str">
        <v>N/A</v>
      </c>
      <c r="K46" s="534" t="str">
        <v>N/A</v>
      </c>
      <c r="L46" s="534" t="str">
        <v>N/A</v>
      </c>
      <c r="M46" s="534" t="str">
        <v>N/A</v>
      </c>
      <c r="N46" s="534" t="str">
        <v>N/A</v>
      </c>
      <c r="O46" s="531" t="str">
        <v>N/A</v>
      </c>
      <c r="Q46" s="539" t="s">
        <v>66</v>
      </c>
      <c r="R46" s="540"/>
      <c r="S46" s="540"/>
      <c r="T46" s="541">
        <f>F92*F47+G92*G47+H92*H47+I92*I47+J92*J47+K92*K47+L92*L47+M92*M47+N92*N47+O92*O47</f>
        <v>50000000</v>
      </c>
      <c r="U46"/>
      <c r="Z46"/>
    </row>
    <row r="47" spans="2:41" ht="14.25" customHeight="1" x14ac:dyDescent="0.2">
      <c r="B47" s="26"/>
      <c r="C47" s="47"/>
      <c r="D47" s="542" t="s">
        <v>61</v>
      </c>
      <c r="E47" s="543"/>
      <c r="F47" s="298">
        <f t="array" ref="F47:O47">IF(TRANSPOSE(Inputs!G$10:G$19)=0,0,TRANSPOSE(Inputs!G$10:G$19))</f>
        <v>1</v>
      </c>
      <c r="G47" s="299">
        <v>1</v>
      </c>
      <c r="H47" s="299">
        <v>1</v>
      </c>
      <c r="I47" s="299">
        <v>1</v>
      </c>
      <c r="J47" s="544">
        <v>1</v>
      </c>
      <c r="K47" s="544">
        <v>1</v>
      </c>
      <c r="L47" s="544">
        <v>1</v>
      </c>
      <c r="M47" s="544">
        <v>1</v>
      </c>
      <c r="N47" s="544">
        <v>1</v>
      </c>
      <c r="O47" s="545">
        <v>1</v>
      </c>
      <c r="P47" s="26"/>
      <c r="Q47" s="539" t="str">
        <f>IF(G7=0,F6,IF(H7=0,G6,IF(I7=0,H6,IF(J7=0,I6,IF(K7=0,J6,IF(L7=0,K6,IF(M7=0,L6,IF(N7=0,M6,IF(O7=0,N6,O6)))))))))</f>
        <v>Series D</v>
      </c>
      <c r="R47" s="546" t="s">
        <v>70</v>
      </c>
      <c r="S47" s="547"/>
      <c r="T47" s="548">
        <f>R48*Q26</f>
        <v>62480000.000000015</v>
      </c>
      <c r="U47"/>
      <c r="Z47"/>
      <c r="AA47"/>
      <c r="AO47" s="26"/>
    </row>
    <row r="48" spans="2:41" s="26" customFormat="1" ht="13.5" thickBot="1" x14ac:dyDescent="0.25">
      <c r="C48" s="47"/>
      <c r="D48" s="549" t="s">
        <v>45</v>
      </c>
      <c r="E48" s="550"/>
      <c r="F48" s="302">
        <f t="array" ref="F48:O48">IF(TRANSPOSE(Inputs!H$10:H$19)=0,0,TRANSPOSE(Inputs!H$10:H$19))</f>
        <v>2</v>
      </c>
      <c r="G48" s="303">
        <v>2</v>
      </c>
      <c r="H48" s="303">
        <v>2</v>
      </c>
      <c r="I48" s="303">
        <v>2</v>
      </c>
      <c r="J48" s="551">
        <v>2</v>
      </c>
      <c r="K48" s="551">
        <v>2</v>
      </c>
      <c r="L48" s="551">
        <v>2</v>
      </c>
      <c r="M48" s="551">
        <v>2</v>
      </c>
      <c r="N48" s="551">
        <v>2</v>
      </c>
      <c r="O48" s="552">
        <v>2</v>
      </c>
      <c r="Q48" s="553" t="s">
        <v>32</v>
      </c>
      <c r="R48" s="554">
        <f>IF(G7=0,F7,IF(H7=0,G7,IF(I7=0,H7,IF(J7=0,I7,IF(K7=0,J7,IF(L7=0,K7,IF(M7=0,L7,IF(N7=0,M7,IF(O7=0,N7,O7)))))))))</f>
        <v>2</v>
      </c>
      <c r="S48" s="269" t="s">
        <v>34</v>
      </c>
      <c r="T48" s="270"/>
      <c r="U48"/>
    </row>
    <row r="49" spans="2:21" s="26" customFormat="1" ht="13.5" thickBot="1" x14ac:dyDescent="0.25">
      <c r="C49" s="47"/>
      <c r="D49" s="549" t="s">
        <v>53</v>
      </c>
      <c r="E49" s="550"/>
      <c r="F49" s="181" t="str">
        <f t="shared" ref="F49:O49" si="23">IF(F47=0,"",IF(F48&lt;=F47,"No","Yes"))</f>
        <v>Yes</v>
      </c>
      <c r="G49" s="182" t="str">
        <f t="shared" si="23"/>
        <v>Yes</v>
      </c>
      <c r="H49" s="182" t="str">
        <f t="shared" si="23"/>
        <v>Yes</v>
      </c>
      <c r="I49" s="182" t="str">
        <f t="shared" si="23"/>
        <v>Yes</v>
      </c>
      <c r="J49" s="555" t="str">
        <f t="shared" si="23"/>
        <v>Yes</v>
      </c>
      <c r="K49" s="555" t="str">
        <f t="shared" si="23"/>
        <v>Yes</v>
      </c>
      <c r="L49" s="555" t="str">
        <f t="shared" si="23"/>
        <v>Yes</v>
      </c>
      <c r="M49" s="555" t="str">
        <f t="shared" si="23"/>
        <v>Yes</v>
      </c>
      <c r="N49" s="555" t="str">
        <f t="shared" si="23"/>
        <v>Yes</v>
      </c>
      <c r="O49" s="556" t="str">
        <f t="shared" si="23"/>
        <v>Yes</v>
      </c>
      <c r="Q49" s="557" t="s">
        <v>46</v>
      </c>
      <c r="R49" s="558"/>
      <c r="S49" s="558"/>
      <c r="T49" s="559"/>
      <c r="U49"/>
    </row>
    <row r="50" spans="2:21" s="26" customFormat="1" ht="23.25" customHeight="1" x14ac:dyDescent="0.2">
      <c r="C50" s="47"/>
      <c r="D50" s="549" t="s">
        <v>62</v>
      </c>
      <c r="E50" s="550"/>
      <c r="F50" s="236">
        <f t="array" ref="F50:O50">IF(TRANSPOSE(Inputs!I$10:I$19)=0,"",TRANSPOSE(Inputs!I$10:I$19))</f>
        <v>10</v>
      </c>
      <c r="G50" s="237">
        <v>10</v>
      </c>
      <c r="H50" s="237">
        <v>2</v>
      </c>
      <c r="I50" s="237">
        <v>1</v>
      </c>
      <c r="J50" s="560">
        <v>10</v>
      </c>
      <c r="K50" s="560">
        <v>10</v>
      </c>
      <c r="L50" s="560">
        <v>10</v>
      </c>
      <c r="M50" s="560">
        <v>10</v>
      </c>
      <c r="N50" s="560">
        <v>10</v>
      </c>
      <c r="O50" s="561">
        <v>10</v>
      </c>
      <c r="Q50" s="967" t="str">
        <f>IF(Inputs!E45="Text Here","HIDE ROW", CONCATENATE(Inputs!D45, Inputs!E45))</f>
        <v>*</v>
      </c>
      <c r="R50" s="968"/>
      <c r="S50" s="968"/>
      <c r="T50" s="969"/>
      <c r="U50"/>
    </row>
    <row r="51" spans="2:21" s="26" customFormat="1" ht="13.5" thickBot="1" x14ac:dyDescent="0.25">
      <c r="D51" s="562" t="s">
        <v>58</v>
      </c>
      <c r="E51" s="563"/>
      <c r="F51" s="564">
        <f t="array" ref="F51:O51">IF(TRANSPOSE(Inputs!J$10:J$19)=0,0,TRANSPOSE(Inputs!J$10:J$19))</f>
        <v>1</v>
      </c>
      <c r="G51" s="565">
        <v>1</v>
      </c>
      <c r="H51" s="565">
        <v>1</v>
      </c>
      <c r="I51" s="565">
        <v>1</v>
      </c>
      <c r="J51" s="566">
        <v>1</v>
      </c>
      <c r="K51" s="566">
        <v>1</v>
      </c>
      <c r="L51" s="566">
        <v>1</v>
      </c>
      <c r="M51" s="566">
        <v>1</v>
      </c>
      <c r="N51" s="566">
        <v>1</v>
      </c>
      <c r="O51" s="567">
        <v>1</v>
      </c>
      <c r="Q51" s="970" t="str">
        <f>IF(Inputs!E46="Text Here","HIDE ROW", CONCATENATE(Inputs!D46, Inputs!E46))</f>
        <v>**</v>
      </c>
      <c r="R51" s="971"/>
      <c r="S51" s="971"/>
      <c r="T51" s="972"/>
    </row>
    <row r="52" spans="2:21" s="26" customFormat="1" x14ac:dyDescent="0.2">
      <c r="Q52" s="970" t="str">
        <f>IF(Inputs!E47="Text Here","HIDE ROW", CONCATENATE(Inputs!D47," ",Inputs!E47))</f>
        <v xml:space="preserve">*** </v>
      </c>
      <c r="R52" s="971"/>
      <c r="S52" s="971"/>
      <c r="T52" s="972"/>
    </row>
    <row r="53" spans="2:21" s="26" customFormat="1" ht="13.5" customHeight="1" thickBot="1" x14ac:dyDescent="0.25">
      <c r="F53" s="248">
        <f>SUM(F90:O90)</f>
        <v>26040000</v>
      </c>
      <c r="P53"/>
      <c r="Q53" s="959" t="str">
        <f>IF(Inputs!E48="Text Here","HIDE ROW", CONCATENATE(Inputs!D48," ",Inputs!E48))</f>
        <v xml:space="preserve">**** </v>
      </c>
      <c r="R53" s="960"/>
      <c r="S53" s="960"/>
      <c r="T53" s="961"/>
    </row>
    <row r="54" spans="2:21" s="26" customFormat="1" x14ac:dyDescent="0.2">
      <c r="P54"/>
    </row>
    <row r="55" spans="2:21" s="26" customFormat="1" x14ac:dyDescent="0.2"/>
    <row r="56" spans="2:21" s="26" customFormat="1" x14ac:dyDescent="0.2"/>
    <row r="57" spans="2:21" s="26" customFormat="1" x14ac:dyDescent="0.2"/>
    <row r="58" spans="2:21" s="26" customFormat="1" x14ac:dyDescent="0.2">
      <c r="E58" s="44"/>
    </row>
    <row r="59" spans="2:21" s="26" customFormat="1" x14ac:dyDescent="0.2">
      <c r="B59" s="51"/>
    </row>
    <row r="60" spans="2:21" s="26" customFormat="1" x14ac:dyDescent="0.2"/>
    <row r="61" spans="2:21" s="26" customFormat="1" x14ac:dyDescent="0.2"/>
    <row r="62" spans="2:21" s="26" customFormat="1" x14ac:dyDescent="0.2">
      <c r="D62"/>
      <c r="E62"/>
      <c r="F62"/>
      <c r="G62"/>
      <c r="H62"/>
      <c r="I62"/>
      <c r="J62"/>
      <c r="K62"/>
      <c r="L62"/>
      <c r="M62"/>
      <c r="N62"/>
      <c r="O62"/>
    </row>
    <row r="63" spans="2:21" s="26" customFormat="1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2:21" customFormat="1" x14ac:dyDescent="0.2">
      <c r="Q64" s="26"/>
      <c r="R64" s="26"/>
      <c r="S64" s="26"/>
      <c r="T64" s="26"/>
    </row>
    <row r="77" ht="15" customHeight="1" x14ac:dyDescent="0.2"/>
    <row r="88" spans="1:40" hidden="1" x14ac:dyDescent="0.2"/>
    <row r="89" spans="1:40" hidden="1" x14ac:dyDescent="0.2"/>
    <row r="90" spans="1:40" ht="13.5" hidden="1" thickBot="1" x14ac:dyDescent="0.25">
      <c r="A90"/>
      <c r="D90" s="562" t="s">
        <v>56</v>
      </c>
      <c r="E90" s="563"/>
      <c r="F90" s="568">
        <f t="shared" ref="F90:O90" si="24">IFERROR(F51*F26,"")</f>
        <v>5010000</v>
      </c>
      <c r="G90" s="569">
        <f t="shared" si="24"/>
        <v>5010000</v>
      </c>
      <c r="H90" s="569">
        <f t="shared" si="24"/>
        <v>6010000</v>
      </c>
      <c r="I90" s="569">
        <f t="shared" si="24"/>
        <v>10010000</v>
      </c>
      <c r="J90" s="570">
        <f t="shared" si="24"/>
        <v>0</v>
      </c>
      <c r="K90" s="570">
        <f t="shared" si="24"/>
        <v>0</v>
      </c>
      <c r="L90" s="570">
        <f t="shared" si="24"/>
        <v>0</v>
      </c>
      <c r="M90" s="570">
        <f t="shared" si="24"/>
        <v>0</v>
      </c>
      <c r="N90" s="570">
        <f t="shared" si="24"/>
        <v>0</v>
      </c>
      <c r="O90" s="571">
        <f t="shared" si="24"/>
        <v>0</v>
      </c>
      <c r="U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</row>
    <row r="91" spans="1:40" ht="13.5" hidden="1" thickBot="1" x14ac:dyDescent="0.25">
      <c r="A91"/>
      <c r="B91" s="481" t="s">
        <v>8</v>
      </c>
      <c r="C91" s="482">
        <f>C20+C24</f>
        <v>5200000</v>
      </c>
      <c r="D91" s="483">
        <f t="shared" ref="D91:E91" si="25">D20+D24</f>
        <v>0</v>
      </c>
      <c r="E91" s="484">
        <f t="shared" si="25"/>
        <v>5200000</v>
      </c>
      <c r="F91" s="572">
        <f>'Pro Forma Cap Table'!F26-'Pro Forma Cap Table'!F19</f>
        <v>5000000</v>
      </c>
      <c r="G91" s="486">
        <f>'Pro Forma Cap Table'!G26-'Pro Forma Cap Table'!G19</f>
        <v>5000000</v>
      </c>
      <c r="H91" s="486">
        <f>'Pro Forma Cap Table'!H26-'Pro Forma Cap Table'!H19</f>
        <v>6000000</v>
      </c>
      <c r="I91" s="486">
        <f>'Pro Forma Cap Table'!I26-'Pro Forma Cap Table'!I19</f>
        <v>10000000</v>
      </c>
      <c r="J91" s="486">
        <f>'Pro Forma Cap Table'!J26-'Pro Forma Cap Table'!J19</f>
        <v>0</v>
      </c>
      <c r="K91" s="486">
        <f>'Pro Forma Cap Table'!K26-'Pro Forma Cap Table'!K19</f>
        <v>0</v>
      </c>
      <c r="L91" s="486">
        <f>'Pro Forma Cap Table'!L26-'Pro Forma Cap Table'!L19</f>
        <v>0</v>
      </c>
      <c r="M91" s="486">
        <f>'Pro Forma Cap Table'!M26-'Pro Forma Cap Table'!M19</f>
        <v>0</v>
      </c>
      <c r="N91" s="486">
        <f>'Pro Forma Cap Table'!N26-'Pro Forma Cap Table'!N19</f>
        <v>0</v>
      </c>
      <c r="O91" s="483">
        <f>'Pro Forma Cap Table'!O26-'Pro Forma Cap Table'!O19</f>
        <v>0</v>
      </c>
      <c r="P91" s="573">
        <f>P26</f>
        <v>26040000.000000007</v>
      </c>
      <c r="Q91" s="487">
        <f>Q39+Q43</f>
        <v>31240000.000000007</v>
      </c>
      <c r="R91" s="488">
        <f>R39+R43</f>
        <v>0.99999999999999989</v>
      </c>
      <c r="S91" s="488">
        <f>S39+S43</f>
        <v>1.0000000000000002</v>
      </c>
      <c r="T91" s="489"/>
      <c r="U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</row>
    <row r="92" spans="1:40" ht="13.5" hidden="1" thickBot="1" x14ac:dyDescent="0.25">
      <c r="B92" s="481" t="s">
        <v>9</v>
      </c>
      <c r="C92" s="530">
        <f>C26*C7</f>
        <v>5.2000000000000005E-2</v>
      </c>
      <c r="D92" s="531">
        <f>D26*D7</f>
        <v>0</v>
      </c>
      <c r="E92" s="532">
        <f>SUM(C92:D92)</f>
        <v>5.2000000000000005E-2</v>
      </c>
      <c r="F92" s="538">
        <f t="shared" ref="F92:O92" si="26">(F26-F19)*F7</f>
        <v>5000000</v>
      </c>
      <c r="G92" s="534">
        <f t="shared" si="26"/>
        <v>10000000</v>
      </c>
      <c r="H92" s="534">
        <f t="shared" si="26"/>
        <v>15000000</v>
      </c>
      <c r="I92" s="534">
        <f t="shared" si="26"/>
        <v>20000000</v>
      </c>
      <c r="J92" s="534">
        <f t="shared" si="26"/>
        <v>0</v>
      </c>
      <c r="K92" s="534">
        <f t="shared" si="26"/>
        <v>0</v>
      </c>
      <c r="L92" s="534">
        <f t="shared" si="26"/>
        <v>0</v>
      </c>
      <c r="M92" s="534">
        <f t="shared" si="26"/>
        <v>0</v>
      </c>
      <c r="N92" s="534">
        <f t="shared" si="26"/>
        <v>0</v>
      </c>
      <c r="O92" s="531">
        <f t="shared" si="26"/>
        <v>0</v>
      </c>
      <c r="P92" s="532">
        <f>SUM(F92:O92)</f>
        <v>50000000</v>
      </c>
      <c r="Q92" s="487"/>
      <c r="R92" s="488"/>
      <c r="S92" s="488"/>
      <c r="T92" s="489">
        <f>P92+E92</f>
        <v>50000000.052000001</v>
      </c>
    </row>
    <row r="93" spans="1:40" hidden="1" x14ac:dyDescent="0.2"/>
  </sheetData>
  <sheetProtection formatCells="0" formatColumns="0" formatRows="0"/>
  <mergeCells count="9">
    <mergeCell ref="Q53:T53"/>
    <mergeCell ref="C28:O28"/>
    <mergeCell ref="C9:O9"/>
    <mergeCell ref="B2:U2"/>
    <mergeCell ref="B1:U1"/>
    <mergeCell ref="B3:U3"/>
    <mergeCell ref="Q50:T50"/>
    <mergeCell ref="Q51:T51"/>
    <mergeCell ref="Q52:T52"/>
  </mergeCells>
  <phoneticPr fontId="0" type="noConversion"/>
  <pageMargins left="0.45" right="0.46" top="0.77" bottom="0.77" header="0.5" footer="0.5"/>
  <pageSetup scale="58" orientation="landscape" r:id="rId1"/>
  <headerFooter alignWithMargins="0">
    <oddFooter>&amp;CCONFIDENTIAL - HTGC</oddFooter>
  </headerFooter>
  <ignoredErrors>
    <ignoredError sqref="C7:D7 F29:O37 C39:O40 C38:E38 B29:B41 B22 B18 B11:B17 B19:O21 E18:O18 B23:O23 E22 F5:O8 B10 E10 H10:O10 E11:O13 D10:D18 C10:C18 C29:D37 E15:O17 E14:M14 O14 C42:O42 C41 E4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8"/>
  <sheetViews>
    <sheetView showGridLines="0" workbookViewId="0">
      <selection activeCell="P37" sqref="P37"/>
    </sheetView>
  </sheetViews>
  <sheetFormatPr defaultRowHeight="12.75" x14ac:dyDescent="0.2"/>
  <cols>
    <col min="1" max="1" width="4.140625" style="26" customWidth="1"/>
    <col min="2" max="2" width="23.7109375" customWidth="1"/>
    <col min="3" max="3" width="9.85546875" bestFit="1" customWidth="1"/>
    <col min="4" max="4" width="9.85546875" customWidth="1"/>
    <col min="5" max="5" width="14.7109375" customWidth="1"/>
    <col min="6" max="15" width="10.7109375" customWidth="1"/>
    <col min="16" max="16" width="11.28515625" bestFit="1" customWidth="1"/>
    <col min="17" max="17" width="1.28515625" customWidth="1"/>
    <col min="18" max="18" width="13" customWidth="1"/>
    <col min="19" max="19" width="11.28515625" customWidth="1"/>
    <col min="20" max="20" width="13.7109375" customWidth="1"/>
    <col min="21" max="21" width="12.140625" bestFit="1" customWidth="1"/>
    <col min="22" max="22" width="12.140625" style="26" bestFit="1" customWidth="1"/>
    <col min="23" max="23" width="9.28515625" bestFit="1" customWidth="1"/>
    <col min="26" max="26" width="8.140625" bestFit="1" customWidth="1"/>
    <col min="27" max="41" width="9.140625" style="26"/>
  </cols>
  <sheetData>
    <row r="1" spans="2:42" s="26" customFormat="1" ht="18" x14ac:dyDescent="0.25">
      <c r="B1" s="973" t="str">
        <f>Inputs!I6</f>
        <v>Company Name</v>
      </c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213"/>
    </row>
    <row r="2" spans="2:42" s="26" customFormat="1" ht="18" customHeight="1" x14ac:dyDescent="0.25">
      <c r="B2" s="974" t="s">
        <v>41</v>
      </c>
      <c r="C2" s="975"/>
      <c r="D2" s="975"/>
      <c r="E2" s="975"/>
      <c r="F2" s="975"/>
      <c r="G2" s="975"/>
      <c r="H2" s="975"/>
      <c r="I2" s="975"/>
      <c r="J2" s="975"/>
      <c r="K2" s="975"/>
      <c r="L2" s="975"/>
      <c r="M2" s="975"/>
      <c r="N2" s="975"/>
      <c r="O2" s="975"/>
      <c r="P2" s="975"/>
      <c r="Q2" s="975"/>
      <c r="R2" s="975"/>
      <c r="S2" s="975"/>
      <c r="T2" s="975"/>
      <c r="U2" s="214"/>
    </row>
    <row r="3" spans="2:42" s="26" customFormat="1" ht="18" x14ac:dyDescent="0.25">
      <c r="D3" s="29"/>
      <c r="E3" s="30"/>
      <c r="F3" s="29"/>
      <c r="G3" s="29"/>
      <c r="H3" s="31"/>
      <c r="I3" s="32"/>
      <c r="J3" s="32"/>
      <c r="K3" s="32"/>
      <c r="L3" s="32"/>
      <c r="M3" s="32"/>
      <c r="N3" s="32"/>
      <c r="O3" s="32"/>
      <c r="P3" s="30"/>
      <c r="Q3" s="30"/>
      <c r="R3" s="30"/>
      <c r="S3" s="33"/>
      <c r="T3" s="34"/>
      <c r="U3" s="34"/>
    </row>
    <row r="4" spans="2:42" s="26" customFormat="1" ht="16.5" thickBot="1" x14ac:dyDescent="0.3">
      <c r="C4" s="35"/>
      <c r="D4" s="36"/>
      <c r="E4" s="35"/>
      <c r="F4" s="35"/>
      <c r="G4" s="37"/>
      <c r="H4" s="38"/>
      <c r="I4" s="38"/>
      <c r="J4" s="38"/>
      <c r="K4" s="38"/>
      <c r="L4" s="38"/>
      <c r="M4" s="38"/>
      <c r="N4" s="38"/>
      <c r="O4" s="38"/>
      <c r="P4" s="35"/>
      <c r="Q4" s="35"/>
      <c r="R4" s="35"/>
      <c r="S4" s="39"/>
      <c r="T4" s="34"/>
      <c r="U4" s="34"/>
    </row>
    <row r="5" spans="2:42" ht="16.5" thickBot="1" x14ac:dyDescent="0.3">
      <c r="B5" s="26"/>
      <c r="C5" s="36"/>
      <c r="D5" s="35"/>
      <c r="E5" s="40"/>
      <c r="F5" s="109">
        <f t="array" ref="F5:O5">IF(TRANSPOSE(Inputs!E$10:E$19)=0,"",TRANSPOSE(Inputs!E$10:E$19))</f>
        <v>39113</v>
      </c>
      <c r="G5" s="109">
        <v>39478</v>
      </c>
      <c r="H5" s="109">
        <v>39843</v>
      </c>
      <c r="I5" s="109">
        <v>39843</v>
      </c>
      <c r="J5" s="109">
        <v>39843</v>
      </c>
      <c r="K5" s="109">
        <v>39843</v>
      </c>
      <c r="L5" s="109">
        <v>39843</v>
      </c>
      <c r="M5" s="109">
        <v>39843</v>
      </c>
      <c r="N5" s="109">
        <v>39843</v>
      </c>
      <c r="O5" s="109">
        <v>39843</v>
      </c>
      <c r="R5" s="40"/>
      <c r="S5" s="40"/>
      <c r="T5" s="41"/>
      <c r="U5" s="41"/>
      <c r="V5" s="34"/>
      <c r="W5" s="26"/>
      <c r="X5" s="26"/>
      <c r="Y5" s="26"/>
      <c r="Z5" s="26"/>
      <c r="AP5" s="26"/>
    </row>
    <row r="30" spans="3:42" ht="7.5" customHeight="1" thickBot="1" x14ac:dyDescent="0.25">
      <c r="V30"/>
      <c r="AA30"/>
      <c r="AB30"/>
      <c r="AP30" s="26"/>
    </row>
    <row r="31" spans="3:42" ht="14.25" customHeight="1" thickBot="1" x14ac:dyDescent="0.25">
      <c r="C31" s="47"/>
      <c r="D31" s="203" t="s">
        <v>43</v>
      </c>
      <c r="E31" s="234"/>
      <c r="F31" s="121" t="str">
        <f t="array" ref="F31:O31">IF(TRANSPOSE(Inputs!F$10:F$19)=0,"N/A",TRANSPOSE(Inputs!F$10:F$19))</f>
        <v>N/A</v>
      </c>
      <c r="G31" s="124" t="str">
        <v>N/A</v>
      </c>
      <c r="H31" s="124" t="str">
        <v>N/A</v>
      </c>
      <c r="I31" s="124" t="str">
        <v>N/A</v>
      </c>
      <c r="J31" s="124" t="str">
        <v>N/A</v>
      </c>
      <c r="K31" s="124" t="str">
        <v>N/A</v>
      </c>
      <c r="L31" s="124" t="str">
        <v>N/A</v>
      </c>
      <c r="M31" s="124" t="str">
        <v>N/A</v>
      </c>
      <c r="N31" s="124" t="str">
        <v>N/A</v>
      </c>
      <c r="O31" s="128" t="str">
        <v>N/A</v>
      </c>
      <c r="R31" s="110" t="e">
        <f>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Table'!#REF!,'Pro Forma Cap Table'!#REF!)))))))))</f>
        <v>#REF!</v>
      </c>
      <c r="S31" s="111" t="s">
        <v>33</v>
      </c>
      <c r="T31" s="111"/>
      <c r="U31" s="194" t="e">
        <f>S32*'Pro Forma Cap Table'!Q91</f>
        <v>#REF!</v>
      </c>
      <c r="V31" s="195"/>
      <c r="AA31"/>
      <c r="AB31"/>
      <c r="AP31" s="26"/>
    </row>
    <row r="32" spans="3:42" s="26" customFormat="1" ht="13.5" thickBot="1" x14ac:dyDescent="0.25">
      <c r="C32" s="47"/>
      <c r="D32" s="204" t="s">
        <v>44</v>
      </c>
      <c r="E32" s="205"/>
      <c r="F32" s="177">
        <f t="array" ref="F32:O32">IF(TRANSPOSE(Inputs!G$10:G$19)=0,"",TRANSPOSE(Inputs!G$10:G$19))</f>
        <v>1</v>
      </c>
      <c r="G32" s="178">
        <v>1</v>
      </c>
      <c r="H32" s="178">
        <v>1</v>
      </c>
      <c r="I32" s="178">
        <v>1</v>
      </c>
      <c r="J32" s="179">
        <v>1</v>
      </c>
      <c r="K32" s="179">
        <v>1</v>
      </c>
      <c r="L32" s="179">
        <v>1</v>
      </c>
      <c r="M32" s="179">
        <v>1</v>
      </c>
      <c r="N32" s="179">
        <v>1</v>
      </c>
      <c r="O32" s="180">
        <v>1</v>
      </c>
      <c r="P32"/>
      <c r="Q32"/>
      <c r="R32" s="112" t="s">
        <v>32</v>
      </c>
      <c r="S32" s="193" t="e">
        <f>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Table'!#REF!,IF('Pro Forma Cap Table'!#REF!=0,'Pro Forma Cap Table'!#REF!,'Pro Forma Cap Table'!#REF!)))))))))</f>
        <v>#REF!</v>
      </c>
      <c r="T32" s="113" t="s">
        <v>34</v>
      </c>
      <c r="U32" s="113"/>
      <c r="V32" s="114"/>
      <c r="Y32" s="44"/>
    </row>
    <row r="33" spans="2:21" s="26" customFormat="1" ht="13.5" thickBot="1" x14ac:dyDescent="0.25">
      <c r="C33" s="47"/>
      <c r="D33" s="206" t="s">
        <v>45</v>
      </c>
      <c r="E33" s="207"/>
      <c r="F33" s="185">
        <f t="array" ref="F33:O33">IF(TRANSPOSE(Inputs!H$10:H$19)=0,"",TRANSPOSE(Inputs!H$10:H$19))</f>
        <v>2</v>
      </c>
      <c r="G33" s="186">
        <v>2</v>
      </c>
      <c r="H33" s="186">
        <v>2</v>
      </c>
      <c r="I33" s="186">
        <v>2</v>
      </c>
      <c r="J33" s="187">
        <v>2</v>
      </c>
      <c r="K33" s="187">
        <v>2</v>
      </c>
      <c r="L33" s="187">
        <v>2</v>
      </c>
      <c r="M33" s="187">
        <v>2</v>
      </c>
      <c r="N33" s="187">
        <v>2</v>
      </c>
      <c r="O33" s="188">
        <v>2</v>
      </c>
      <c r="P33"/>
      <c r="Q33"/>
    </row>
    <row r="34" spans="2:21" s="26" customFormat="1" ht="13.5" thickBot="1" x14ac:dyDescent="0.25">
      <c r="C34" s="47"/>
      <c r="D34" s="206" t="s">
        <v>53</v>
      </c>
      <c r="E34" s="207"/>
      <c r="F34" s="181" t="str">
        <f>IF(F32="","",IF(F33&lt;=F32,"No","Yes"))</f>
        <v>Yes</v>
      </c>
      <c r="G34" s="182" t="str">
        <f t="shared" ref="G34:O34" si="0">IF(G32="","",IF(G33&lt;=G32,"No","Yes"))</f>
        <v>Yes</v>
      </c>
      <c r="H34" s="182" t="str">
        <f t="shared" si="0"/>
        <v>Yes</v>
      </c>
      <c r="I34" s="182" t="str">
        <f t="shared" si="0"/>
        <v>Yes</v>
      </c>
      <c r="J34" s="183" t="str">
        <f t="shared" si="0"/>
        <v>Yes</v>
      </c>
      <c r="K34" s="183" t="str">
        <f t="shared" si="0"/>
        <v>Yes</v>
      </c>
      <c r="L34" s="183" t="str">
        <f t="shared" si="0"/>
        <v>Yes</v>
      </c>
      <c r="M34" s="183" t="str">
        <f t="shared" si="0"/>
        <v>Yes</v>
      </c>
      <c r="N34" s="183" t="str">
        <f t="shared" si="0"/>
        <v>Yes</v>
      </c>
      <c r="O34" s="184" t="str">
        <f t="shared" si="0"/>
        <v>Yes</v>
      </c>
      <c r="P34"/>
      <c r="Q34"/>
      <c r="R34" s="125" t="s">
        <v>46</v>
      </c>
      <c r="S34" s="126"/>
      <c r="T34" s="126"/>
      <c r="U34" s="127"/>
    </row>
    <row r="35" spans="2:21" s="26" customFormat="1" ht="13.5" thickBot="1" x14ac:dyDescent="0.25">
      <c r="C35" s="47"/>
      <c r="D35" s="208" t="s">
        <v>51</v>
      </c>
      <c r="E35" s="209"/>
      <c r="F35" s="189">
        <f t="array" ref="F35:O35">IF(TRANSPOSE(Inputs!I$10:I$19)=0,"",TRANSPOSE(Inputs!I$10:I$19))</f>
        <v>10</v>
      </c>
      <c r="G35" s="190">
        <v>10</v>
      </c>
      <c r="H35" s="190">
        <v>2</v>
      </c>
      <c r="I35" s="190">
        <v>1</v>
      </c>
      <c r="J35" s="191">
        <v>10</v>
      </c>
      <c r="K35" s="191">
        <v>10</v>
      </c>
      <c r="L35" s="191">
        <v>10</v>
      </c>
      <c r="M35" s="191">
        <v>10</v>
      </c>
      <c r="N35" s="191">
        <v>10</v>
      </c>
      <c r="O35" s="192">
        <v>10</v>
      </c>
      <c r="P35" s="176"/>
      <c r="Q35"/>
      <c r="R35" s="52" t="str">
        <f>IF(Inputs!E45="Text Here","HIDE ROW", CONCATENATE(Inputs!D45, Inputs!E45))</f>
        <v>*</v>
      </c>
      <c r="S35" s="53"/>
      <c r="T35" s="53"/>
      <c r="U35" s="54"/>
    </row>
    <row r="36" spans="2:21" s="26" customFormat="1" x14ac:dyDescent="0.2">
      <c r="D36" s="204" t="s">
        <v>58</v>
      </c>
      <c r="E36" s="205"/>
      <c r="F36" s="230">
        <f t="array" ref="F36:O36">IF(TRANSPOSE(Inputs!J$10:J$19)=0,0,TRANSPOSE(Inputs!J$10:J$19))</f>
        <v>1</v>
      </c>
      <c r="G36" s="231">
        <v>1</v>
      </c>
      <c r="H36" s="231">
        <v>1</v>
      </c>
      <c r="I36" s="231">
        <v>1</v>
      </c>
      <c r="J36" s="232">
        <v>1</v>
      </c>
      <c r="K36" s="232">
        <v>1</v>
      </c>
      <c r="L36" s="232">
        <v>1</v>
      </c>
      <c r="M36" s="232">
        <v>1</v>
      </c>
      <c r="N36" s="232">
        <v>1</v>
      </c>
      <c r="O36" s="233">
        <v>1</v>
      </c>
      <c r="P36" s="176"/>
      <c r="Q36"/>
      <c r="R36" s="57" t="str">
        <f>IF(Inputs!E46="Text Here","HIDE ROW", CONCATENATE(Inputs!D46, Inputs!E46))</f>
        <v>**</v>
      </c>
      <c r="S36" s="55"/>
      <c r="T36" s="55"/>
      <c r="U36" s="56"/>
    </row>
    <row r="37" spans="2:21" s="26" customFormat="1" ht="13.5" thickBot="1" x14ac:dyDescent="0.25">
      <c r="D37" s="208" t="s">
        <v>56</v>
      </c>
      <c r="E37" s="209"/>
      <c r="F37" s="223">
        <f>IFERROR(F36*'Pro Forma Cap Table'!F91,"")</f>
        <v>5000000</v>
      </c>
      <c r="G37" s="224">
        <f>IFERROR(G36*'Pro Forma Cap Table'!G91,"")</f>
        <v>5000000</v>
      </c>
      <c r="H37" s="224">
        <f>IFERROR(H36*'Pro Forma Cap Table'!H91,"")</f>
        <v>6000000</v>
      </c>
      <c r="I37" s="224">
        <f>IFERROR(I36*'Pro Forma Cap Table'!I91,"")</f>
        <v>10000000</v>
      </c>
      <c r="J37" s="225">
        <f>IFERROR(J36*'Pro Forma Cap Table'!J91,"")</f>
        <v>0</v>
      </c>
      <c r="K37" s="225">
        <f>IFERROR(K36*'Pro Forma Cap Table'!K91,"")</f>
        <v>0</v>
      </c>
      <c r="L37" s="225">
        <f>IFERROR(L36*'Pro Forma Cap Table'!L91,"")</f>
        <v>0</v>
      </c>
      <c r="M37" s="225">
        <f>IFERROR(M36*'Pro Forma Cap Table'!M91,"")</f>
        <v>0</v>
      </c>
      <c r="N37" s="225">
        <f>IFERROR(N36*'Pro Forma Cap Table'!N91,"")</f>
        <v>0</v>
      </c>
      <c r="O37" s="226">
        <f>IFERROR(O36*'Pro Forma Cap Table'!O91,"")</f>
        <v>0</v>
      </c>
      <c r="P37" s="211">
        <f>SUM(F37:O37)</f>
        <v>26000000</v>
      </c>
      <c r="Q37"/>
      <c r="R37" s="58" t="str">
        <f>IF(Inputs!E47="Text Here","HIDE ROW", CONCATENATE(Inputs!D47," ",Inputs!E47))</f>
        <v xml:space="preserve">*** </v>
      </c>
      <c r="S37" s="59"/>
      <c r="T37" s="59"/>
      <c r="U37" s="60"/>
    </row>
    <row r="38" spans="2:21" s="26" customFormat="1" ht="13.5" hidden="1" thickBot="1" x14ac:dyDescent="0.25">
      <c r="D38" s="210" t="s">
        <v>55</v>
      </c>
      <c r="E38" s="209"/>
      <c r="F38" s="219">
        <f>F37/(F37+'Pro Forma Cap Table'!$Q$43)</f>
        <v>0.49019607843137253</v>
      </c>
      <c r="G38" s="220">
        <f>G37/(G37+'Pro Forma Cap Table'!$Q$43)</f>
        <v>0.49019607843137253</v>
      </c>
      <c r="H38" s="220">
        <f>H37/(H37+'Pro Forma Cap Table'!$Q$43)</f>
        <v>0.5357142857142857</v>
      </c>
      <c r="I38" s="220">
        <f>I37/(I37+'Pro Forma Cap Table'!$Q$43)</f>
        <v>0.65789473684210531</v>
      </c>
      <c r="J38" s="221">
        <f>J37/(J37+'Pro Forma Cap Table'!$Q$43)</f>
        <v>0</v>
      </c>
      <c r="K38" s="221">
        <f>K37/(K37+'Pro Forma Cap Table'!$Q$43)</f>
        <v>0</v>
      </c>
      <c r="L38" s="221">
        <f>L37/(L37+'Pro Forma Cap Table'!$Q$43)</f>
        <v>0</v>
      </c>
      <c r="M38" s="221">
        <f>M37/(M37+'Pro Forma Cap Table'!$Q$43)</f>
        <v>0</v>
      </c>
      <c r="N38" s="221">
        <f>N37/(N37+'Pro Forma Cap Table'!$Q$43)</f>
        <v>0</v>
      </c>
      <c r="O38" s="222">
        <f>O37/(O37+'Pro Forma Cap Table'!$Q$43)</f>
        <v>0</v>
      </c>
      <c r="P38" s="176"/>
      <c r="Q38"/>
      <c r="R38" s="227" t="str">
        <f>IF(Inputs!E48="Text Here","HIDE ROW", CONCATENATE(Inputs!D48," ",Inputs!E48))</f>
        <v xml:space="preserve">**** </v>
      </c>
      <c r="S38" s="228"/>
      <c r="T38" s="228"/>
      <c r="U38" s="229"/>
    </row>
    <row r="39" spans="2:21" s="26" customFormat="1" x14ac:dyDescent="0.2">
      <c r="P39"/>
      <c r="Q39"/>
    </row>
    <row r="40" spans="2:21" s="26" customFormat="1" x14ac:dyDescent="0.2"/>
    <row r="41" spans="2:21" s="26" customFormat="1" x14ac:dyDescent="0.2"/>
    <row r="42" spans="2:21" s="26" customFormat="1" x14ac:dyDescent="0.2"/>
    <row r="43" spans="2:21" s="26" customFormat="1" x14ac:dyDescent="0.2"/>
    <row r="44" spans="2:21" s="26" customFormat="1" x14ac:dyDescent="0.2">
      <c r="B44" s="51"/>
      <c r="E44" s="44"/>
    </row>
    <row r="45" spans="2:21" s="26" customFormat="1" x14ac:dyDescent="0.2"/>
    <row r="46" spans="2:21" s="26" customFormat="1" x14ac:dyDescent="0.2"/>
    <row r="47" spans="2:21" s="26" customFormat="1" x14ac:dyDescent="0.2"/>
    <row r="48" spans="2:21" x14ac:dyDescent="0.2">
      <c r="P48" s="26"/>
      <c r="Q48" s="26"/>
      <c r="R48" s="26"/>
      <c r="S48" s="26"/>
      <c r="T48" s="26"/>
      <c r="U48" s="26"/>
    </row>
  </sheetData>
  <mergeCells count="2">
    <mergeCell ref="B1:T1"/>
    <mergeCell ref="B2:T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2122"/>
  <sheetViews>
    <sheetView topLeftCell="H47" zoomScale="85" zoomScaleNormal="85" workbookViewId="0">
      <selection activeCell="T47" sqref="T47"/>
    </sheetView>
  </sheetViews>
  <sheetFormatPr defaultColWidth="9.140625" defaultRowHeight="15" outlineLevelRow="1" x14ac:dyDescent="0.25"/>
  <cols>
    <col min="1" max="1" width="4.140625" style="669" customWidth="1"/>
    <col min="2" max="2" width="37.85546875" style="663" customWidth="1"/>
    <col min="3" max="5" width="17" style="663" customWidth="1"/>
    <col min="6" max="6" width="18.5703125" style="663" customWidth="1"/>
    <col min="7" max="7" width="20.140625" style="663" customWidth="1"/>
    <col min="8" max="11" width="17" style="663" customWidth="1"/>
    <col min="12" max="12" width="17.28515625" style="663" customWidth="1"/>
    <col min="13" max="13" width="19.28515625" style="663" customWidth="1"/>
    <col min="14" max="14" width="20.42578125" style="663" customWidth="1"/>
    <col min="15" max="15" width="15.5703125" style="663" customWidth="1"/>
    <col min="16" max="16" width="12" style="663" customWidth="1"/>
    <col min="17" max="17" width="13.7109375" style="663" customWidth="1"/>
    <col min="18" max="18" width="15.140625" style="663" customWidth="1"/>
    <col min="19" max="19" width="13.42578125" style="663" hidden="1" customWidth="1"/>
    <col min="20" max="20" width="15" style="663" customWidth="1"/>
    <col min="21" max="21" width="12.85546875" style="669" customWidth="1"/>
    <col min="22" max="22" width="13.5703125" style="663" customWidth="1"/>
    <col min="23" max="24" width="16" style="663" bestFit="1" customWidth="1"/>
    <col min="25" max="25" width="8.140625" style="663" bestFit="1" customWidth="1"/>
    <col min="26" max="26" width="9.140625" style="669"/>
    <col min="27" max="27" width="13.85546875" style="669" bestFit="1" customWidth="1"/>
    <col min="28" max="38" width="9.140625" style="669"/>
    <col min="39" max="39" width="11.7109375" style="669" bestFit="1" customWidth="1"/>
    <col min="40" max="40" width="9.140625" style="669"/>
    <col min="41" max="50" width="9.140625" style="663"/>
    <col min="51" max="51" width="11.7109375" style="663" bestFit="1" customWidth="1"/>
    <col min="52" max="62" width="9.140625" style="663"/>
    <col min="63" max="63" width="11.7109375" style="663" bestFit="1" customWidth="1"/>
    <col min="64" max="74" width="9.140625" style="663"/>
    <col min="75" max="75" width="11.7109375" style="663" bestFit="1" customWidth="1"/>
    <col min="76" max="86" width="9.140625" style="663"/>
    <col min="87" max="87" width="11.7109375" style="663" bestFit="1" customWidth="1"/>
    <col min="88" max="98" width="9.140625" style="663"/>
    <col min="99" max="99" width="11.7109375" style="663" bestFit="1" customWidth="1"/>
    <col min="100" max="110" width="9.140625" style="663"/>
    <col min="111" max="111" width="12.7109375" style="663" bestFit="1" customWidth="1"/>
    <col min="112" max="115" width="9.140625" style="663"/>
    <col min="116" max="116" width="12.7109375" style="663" customWidth="1"/>
    <col min="117" max="16384" width="9.140625" style="663"/>
  </cols>
  <sheetData>
    <row r="1" spans="1:41" s="669" customFormat="1" x14ac:dyDescent="0.25">
      <c r="B1" s="987" t="str">
        <f>Inputs!I6</f>
        <v>Company Name</v>
      </c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  <c r="S1" s="987"/>
      <c r="T1" s="987"/>
      <c r="U1" s="987"/>
    </row>
    <row r="2" spans="1:41" s="669" customFormat="1" ht="18" customHeight="1" x14ac:dyDescent="0.25">
      <c r="B2" s="987" t="s">
        <v>41</v>
      </c>
      <c r="C2" s="987"/>
      <c r="D2" s="987"/>
      <c r="E2" s="987"/>
      <c r="F2" s="987"/>
      <c r="G2" s="987"/>
      <c r="H2" s="987"/>
      <c r="I2" s="987"/>
      <c r="J2" s="987"/>
      <c r="K2" s="987"/>
      <c r="L2" s="987"/>
      <c r="M2" s="987"/>
      <c r="N2" s="987"/>
      <c r="O2" s="987"/>
      <c r="P2" s="987"/>
      <c r="Q2" s="987"/>
      <c r="R2" s="987"/>
      <c r="S2" s="987"/>
      <c r="T2" s="987"/>
      <c r="U2" s="987"/>
    </row>
    <row r="3" spans="1:41" s="669" customFormat="1" x14ac:dyDescent="0.25">
      <c r="B3" s="988">
        <f>Inputs!I7</f>
        <v>39813</v>
      </c>
      <c r="C3" s="989"/>
      <c r="D3" s="989"/>
      <c r="E3" s="989"/>
      <c r="F3" s="989"/>
      <c r="G3" s="989"/>
      <c r="H3" s="989"/>
      <c r="I3" s="989"/>
      <c r="J3" s="989"/>
      <c r="K3" s="989"/>
      <c r="L3" s="989"/>
      <c r="M3" s="989"/>
      <c r="N3" s="989"/>
      <c r="O3" s="989"/>
      <c r="P3" s="989"/>
      <c r="Q3" s="989"/>
      <c r="R3" s="989"/>
      <c r="S3" s="989"/>
      <c r="T3" s="989"/>
      <c r="U3" s="989"/>
    </row>
    <row r="4" spans="1:41" s="669" customFormat="1" ht="6" customHeight="1" thickBot="1" x14ac:dyDescent="0.3">
      <c r="C4" s="670"/>
      <c r="D4" s="671"/>
      <c r="E4" s="670"/>
      <c r="F4" s="670"/>
      <c r="G4" s="672"/>
      <c r="H4" s="670"/>
      <c r="I4" s="670"/>
      <c r="J4" s="670"/>
      <c r="K4" s="670"/>
      <c r="L4" s="670"/>
      <c r="M4" s="670"/>
      <c r="N4" s="670"/>
      <c r="O4" s="670"/>
      <c r="P4" s="670"/>
      <c r="Q4" s="670"/>
      <c r="R4" s="673"/>
      <c r="S4" s="674"/>
      <c r="T4" s="674"/>
    </row>
    <row r="5" spans="1:41" ht="15.75" thickBot="1" x14ac:dyDescent="0.3">
      <c r="B5" s="669"/>
      <c r="C5" s="671"/>
      <c r="D5" s="670"/>
      <c r="E5" s="670"/>
      <c r="F5" s="675">
        <f t="array" ref="F5:O5">IF(TRANSPOSE(Inputs!E$10:E$19)=0,"",TRANSPOSE(Inputs!E$10:E$19))</f>
        <v>39113</v>
      </c>
      <c r="G5" s="675">
        <v>39478</v>
      </c>
      <c r="H5" s="675">
        <v>39843</v>
      </c>
      <c r="I5" s="675">
        <v>39843</v>
      </c>
      <c r="J5" s="675">
        <v>39843</v>
      </c>
      <c r="K5" s="675">
        <v>39843</v>
      </c>
      <c r="L5" s="675">
        <v>39843</v>
      </c>
      <c r="M5" s="675">
        <v>39843</v>
      </c>
      <c r="N5" s="675">
        <v>39843</v>
      </c>
      <c r="O5" s="675">
        <v>39843</v>
      </c>
      <c r="Q5" s="670"/>
      <c r="R5" s="670"/>
      <c r="S5" s="673"/>
      <c r="T5" s="673"/>
      <c r="U5" s="674"/>
      <c r="V5" s="669"/>
      <c r="W5" s="669"/>
      <c r="X5" s="669"/>
      <c r="Y5" s="669"/>
      <c r="AO5" s="669"/>
    </row>
    <row r="6" spans="1:41" x14ac:dyDescent="0.25">
      <c r="B6" s="676"/>
      <c r="C6" s="677" t="s">
        <v>0</v>
      </c>
      <c r="D6" s="678" t="s">
        <v>27</v>
      </c>
      <c r="E6" s="678" t="s">
        <v>2</v>
      </c>
      <c r="F6" s="677" t="str">
        <f t="array" ref="F6:O6">IF(TRANSPOSE(Inputs!D$10:D$19)=0,"",TRANSPOSE(Inputs!D$10:D$19))</f>
        <v>Series A</v>
      </c>
      <c r="G6" s="678" t="str">
        <v>Series B</v>
      </c>
      <c r="H6" s="678" t="str">
        <v>Series C</v>
      </c>
      <c r="I6" s="678" t="str">
        <v>Series D</v>
      </c>
      <c r="J6" s="678" t="str">
        <v>-</v>
      </c>
      <c r="K6" s="678" t="str">
        <v>-</v>
      </c>
      <c r="L6" s="678" t="str">
        <v>-</v>
      </c>
      <c r="M6" s="678" t="str">
        <v>-</v>
      </c>
      <c r="N6" s="678" t="str">
        <v>-</v>
      </c>
      <c r="O6" s="678" t="str">
        <v>-</v>
      </c>
      <c r="P6" s="678" t="s">
        <v>60</v>
      </c>
      <c r="Q6" s="677" t="s">
        <v>69</v>
      </c>
      <c r="R6" s="679" t="s">
        <v>67</v>
      </c>
      <c r="S6" s="680" t="s">
        <v>68</v>
      </c>
      <c r="T6" s="681" t="s">
        <v>2</v>
      </c>
      <c r="V6" s="669"/>
      <c r="W6" s="669"/>
      <c r="X6" s="669"/>
      <c r="Y6" s="669"/>
    </row>
    <row r="7" spans="1:41" s="688" customFormat="1" x14ac:dyDescent="0.25">
      <c r="A7" s="682"/>
      <c r="B7" s="683" t="s">
        <v>59</v>
      </c>
      <c r="C7" s="684">
        <f>Inputs!K22</f>
        <v>1E-8</v>
      </c>
      <c r="D7" s="685">
        <f>Inputs!K23</f>
        <v>9.9999999999999995E-8</v>
      </c>
      <c r="E7" s="683" t="s">
        <v>0</v>
      </c>
      <c r="F7" s="684">
        <f t="array" ref="F7:O7">IF(TRANSPOSE(Inputs!K$10:K$19)=0,0,TRANSPOSE(Inputs!K$10:K$19))</f>
        <v>1</v>
      </c>
      <c r="G7" s="684">
        <v>2</v>
      </c>
      <c r="H7" s="684">
        <v>2.5</v>
      </c>
      <c r="I7" s="685">
        <v>2</v>
      </c>
      <c r="J7" s="685">
        <v>0</v>
      </c>
      <c r="K7" s="685">
        <v>0</v>
      </c>
      <c r="L7" s="685">
        <v>0</v>
      </c>
      <c r="M7" s="685">
        <v>0</v>
      </c>
      <c r="N7" s="685">
        <v>0</v>
      </c>
      <c r="O7" s="685">
        <v>0</v>
      </c>
      <c r="P7" s="683" t="s">
        <v>4</v>
      </c>
      <c r="Q7" s="686" t="s">
        <v>13</v>
      </c>
      <c r="R7" s="683" t="s">
        <v>5</v>
      </c>
      <c r="S7" s="686" t="s">
        <v>5</v>
      </c>
      <c r="T7" s="687" t="s">
        <v>17</v>
      </c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682"/>
      <c r="AF7" s="682"/>
      <c r="AG7" s="682"/>
      <c r="AH7" s="682"/>
      <c r="AI7" s="682"/>
      <c r="AJ7" s="682"/>
      <c r="AK7" s="682"/>
      <c r="AL7" s="682"/>
      <c r="AM7" s="682"/>
      <c r="AN7" s="682"/>
    </row>
    <row r="8" spans="1:41" ht="15.75" thickBot="1" x14ac:dyDescent="0.3">
      <c r="B8" s="689"/>
      <c r="C8" s="690" t="s">
        <v>12</v>
      </c>
      <c r="D8" s="689" t="s">
        <v>1</v>
      </c>
      <c r="E8" s="689" t="s">
        <v>26</v>
      </c>
      <c r="F8" s="691" t="str">
        <f t="shared" ref="F8:O8" si="0">IF(F7=0,"","Preferred")</f>
        <v>Preferred</v>
      </c>
      <c r="G8" s="691" t="str">
        <f t="shared" si="0"/>
        <v>Preferred</v>
      </c>
      <c r="H8" s="691" t="str">
        <f t="shared" si="0"/>
        <v>Preferred</v>
      </c>
      <c r="I8" s="691" t="str">
        <f t="shared" si="0"/>
        <v>Preferred</v>
      </c>
      <c r="J8" s="691" t="str">
        <f t="shared" si="0"/>
        <v/>
      </c>
      <c r="K8" s="691" t="str">
        <f t="shared" si="0"/>
        <v/>
      </c>
      <c r="L8" s="691" t="str">
        <f t="shared" si="0"/>
        <v/>
      </c>
      <c r="M8" s="691" t="str">
        <f t="shared" si="0"/>
        <v/>
      </c>
      <c r="N8" s="691" t="str">
        <f t="shared" si="0"/>
        <v/>
      </c>
      <c r="O8" s="691" t="str">
        <f t="shared" si="0"/>
        <v/>
      </c>
      <c r="P8" s="689" t="s">
        <v>12</v>
      </c>
      <c r="Q8" s="690" t="s">
        <v>15</v>
      </c>
      <c r="R8" s="692" t="s">
        <v>16</v>
      </c>
      <c r="S8" s="693" t="s">
        <v>16</v>
      </c>
      <c r="T8" s="694" t="s">
        <v>6</v>
      </c>
      <c r="V8" s="669"/>
      <c r="W8" s="669"/>
      <c r="X8" s="669"/>
      <c r="Y8" s="669"/>
    </row>
    <row r="9" spans="1:41" ht="15.75" thickBot="1" x14ac:dyDescent="0.3">
      <c r="A9" s="663"/>
      <c r="C9" s="990" t="s">
        <v>135</v>
      </c>
      <c r="D9" s="990"/>
      <c r="E9" s="990"/>
      <c r="F9" s="990"/>
      <c r="G9" s="990"/>
      <c r="H9" s="990"/>
      <c r="I9" s="990"/>
      <c r="J9" s="990"/>
      <c r="K9" s="990"/>
      <c r="L9" s="990"/>
      <c r="M9" s="990"/>
      <c r="N9" s="990"/>
      <c r="O9" s="990"/>
      <c r="U9" s="663"/>
      <c r="Z9" s="663"/>
      <c r="AA9" s="663"/>
      <c r="AB9" s="663"/>
      <c r="AC9" s="663"/>
      <c r="AD9" s="663"/>
      <c r="AE9" s="663"/>
      <c r="AF9" s="663"/>
      <c r="AG9" s="663"/>
      <c r="AH9" s="663"/>
      <c r="AI9" s="663"/>
      <c r="AJ9" s="663"/>
      <c r="AK9" s="663"/>
      <c r="AL9" s="663"/>
      <c r="AM9" s="663"/>
      <c r="AN9" s="663"/>
    </row>
    <row r="10" spans="1:41" x14ac:dyDescent="0.25">
      <c r="B10" s="695" t="str">
        <f>IF(Inputs!E31=0,Inputs!D31,CONCATENATE(Inputs!D31," (",Inputs!E31,")"))</f>
        <v>HTGC</v>
      </c>
      <c r="C10" s="696">
        <f>IF(C$7="",0,Inputs!P31)</f>
        <v>0</v>
      </c>
      <c r="D10" s="697">
        <f>IF(D$7="",0,Inputs!Q31)</f>
        <v>0</v>
      </c>
      <c r="E10" s="698">
        <f t="shared" ref="E10:E19" si="1">SUM(C10:D10)</f>
        <v>0</v>
      </c>
      <c r="F10" s="699">
        <f>IF(F$7="",0,Inputs!F31)</f>
        <v>1000000</v>
      </c>
      <c r="G10" s="700">
        <f>IF(G$7="",0,Inputs!G31)</f>
        <v>1000000</v>
      </c>
      <c r="H10" s="700">
        <f>IF(H$7="",0,Inputs!H31)</f>
        <v>0</v>
      </c>
      <c r="I10" s="700">
        <f>IF(I$7="",0,Inputs!I31)</f>
        <v>0</v>
      </c>
      <c r="J10" s="700">
        <f>IF(J$7="",0,Inputs!J31)</f>
        <v>0</v>
      </c>
      <c r="K10" s="700">
        <f>IF(K$7="",0,Inputs!K31)</f>
        <v>0</v>
      </c>
      <c r="L10" s="700">
        <f>IF(L$7="",0,Inputs!L31)</f>
        <v>0</v>
      </c>
      <c r="M10" s="700">
        <f>IF(M$7="",0,Inputs!M31)</f>
        <v>0</v>
      </c>
      <c r="N10" s="700">
        <f>IF(N$7="",0,Inputs!N31)</f>
        <v>0</v>
      </c>
      <c r="O10" s="697">
        <f>IF(O$7="",0,Inputs!O31)</f>
        <v>0</v>
      </c>
      <c r="P10" s="698">
        <f t="shared" ref="P10:P19" si="2">SUM(F10:O10)</f>
        <v>2000000</v>
      </c>
      <c r="Q10" s="701">
        <f t="shared" ref="Q10:Q19" si="3">P10+E10</f>
        <v>2000000</v>
      </c>
      <c r="R10" s="702">
        <f t="shared" ref="R10:R19" si="4">Q10/Q$26</f>
        <v>6.4020486555697809E-2</v>
      </c>
      <c r="S10" s="702">
        <f t="shared" ref="S10:S19" si="5">(F10*$F$51+G10*$G$51+H10*$H$51+I10*$I$51+J10*$J$51+K10*$K$51+L10*$L$51+M10*$M$51+N10*$N$51+O10*$O$51+E10)/($F$53+$E$26)</f>
        <v>3.6182722749886931E-2</v>
      </c>
      <c r="T10" s="703">
        <f t="shared" ref="T10:T18" si="6">$F$7*F10+$G$7*G10+$H$7*H10+$I$7*I10+$J$7*J10+$K$7*K10+$L$7*L10+$M$7*M10+$N$7*N10+$O$7*O10</f>
        <v>3000000</v>
      </c>
      <c r="V10" s="704"/>
      <c r="W10" s="669"/>
      <c r="X10" s="669"/>
      <c r="Y10" s="669"/>
    </row>
    <row r="11" spans="1:41" x14ac:dyDescent="0.25">
      <c r="B11" s="705" t="str">
        <f>IF(Inputs!E32=0,Inputs!D32,CONCATENATE(Inputs!D32," (",Inputs!E32,")"))</f>
        <v>Inv B</v>
      </c>
      <c r="C11" s="706">
        <f>IF(C$7="",0,Inputs!P32)</f>
        <v>0</v>
      </c>
      <c r="D11" s="707">
        <f>IF(D$7="",0,Inputs!Q32)</f>
        <v>0</v>
      </c>
      <c r="E11" s="708">
        <f t="shared" si="1"/>
        <v>0</v>
      </c>
      <c r="F11" s="709">
        <f>IF(F$7="",0,Inputs!F32)</f>
        <v>1000000</v>
      </c>
      <c r="G11" s="710">
        <f>IF(G$7="",0,Inputs!G32)</f>
        <v>1000000</v>
      </c>
      <c r="H11" s="710">
        <f>IF(H$7="",0,Inputs!H32)</f>
        <v>0</v>
      </c>
      <c r="I11" s="710">
        <f>IF(I$7="",0,Inputs!I32)</f>
        <v>0</v>
      </c>
      <c r="J11" s="710">
        <f>IF(J$7="",0,Inputs!J32)</f>
        <v>0</v>
      </c>
      <c r="K11" s="710">
        <f>IF(K$7="",0,Inputs!K32)</f>
        <v>0</v>
      </c>
      <c r="L11" s="710">
        <f>IF(L$7="",0,Inputs!L32)</f>
        <v>0</v>
      </c>
      <c r="M11" s="710">
        <f>IF(M$7="",0,Inputs!M32)</f>
        <v>0</v>
      </c>
      <c r="N11" s="710">
        <f>IF(N$7="",0,Inputs!N32)</f>
        <v>0</v>
      </c>
      <c r="O11" s="707">
        <f>IF(O$7="",0,Inputs!O32)</f>
        <v>0</v>
      </c>
      <c r="P11" s="708">
        <f t="shared" si="2"/>
        <v>2000000</v>
      </c>
      <c r="Q11" s="711">
        <f>P11+E11</f>
        <v>2000000</v>
      </c>
      <c r="R11" s="712">
        <f t="shared" si="4"/>
        <v>6.4020486555697809E-2</v>
      </c>
      <c r="S11" s="712">
        <f t="shared" si="5"/>
        <v>3.6182722749886931E-2</v>
      </c>
      <c r="T11" s="713">
        <f t="shared" si="6"/>
        <v>3000000</v>
      </c>
      <c r="V11" s="704"/>
      <c r="W11" s="669"/>
      <c r="X11" s="669"/>
      <c r="Y11" s="669"/>
    </row>
    <row r="12" spans="1:41" x14ac:dyDescent="0.25">
      <c r="B12" s="705" t="str">
        <f>IF(Inputs!E33=0,Inputs!D33,CONCATENATE(Inputs!D33," (",Inputs!E33,")"))</f>
        <v>Inv C</v>
      </c>
      <c r="C12" s="706">
        <f>IF(C$7="",0,Inputs!P33)</f>
        <v>0</v>
      </c>
      <c r="D12" s="707">
        <f>IF(D$7="",0,Inputs!Q33)</f>
        <v>0</v>
      </c>
      <c r="E12" s="708">
        <f t="shared" si="1"/>
        <v>0</v>
      </c>
      <c r="F12" s="709">
        <f>IF(F$7="",0,Inputs!F33)</f>
        <v>1000000</v>
      </c>
      <c r="G12" s="710">
        <f>IF(G$7="",0,Inputs!G33)</f>
        <v>1000000</v>
      </c>
      <c r="H12" s="710">
        <f>IF(H$7="",0,Inputs!H33)</f>
        <v>1000000</v>
      </c>
      <c r="I12" s="710">
        <f>IF(I$7="",0,Inputs!I33)</f>
        <v>0</v>
      </c>
      <c r="J12" s="710">
        <f>IF(J$7="",0,Inputs!J33)</f>
        <v>0</v>
      </c>
      <c r="K12" s="710">
        <f>IF(K$7="",0,Inputs!K33)</f>
        <v>0</v>
      </c>
      <c r="L12" s="710">
        <f>IF(L$7="",0,Inputs!L33)</f>
        <v>0</v>
      </c>
      <c r="M12" s="710">
        <f>IF(M$7="",0,Inputs!M33)</f>
        <v>0</v>
      </c>
      <c r="N12" s="710">
        <f>IF(N$7="",0,Inputs!N33)</f>
        <v>0</v>
      </c>
      <c r="O12" s="707">
        <f>IF(O$7="",0,Inputs!O33)</f>
        <v>0</v>
      </c>
      <c r="P12" s="708">
        <f t="shared" si="2"/>
        <v>3000000</v>
      </c>
      <c r="Q12" s="711">
        <f t="shared" si="3"/>
        <v>3000000</v>
      </c>
      <c r="R12" s="712">
        <f t="shared" si="4"/>
        <v>9.6030729833546713E-2</v>
      </c>
      <c r="S12" s="712">
        <f t="shared" si="5"/>
        <v>5.4274084124830396E-2</v>
      </c>
      <c r="T12" s="713">
        <f t="shared" si="6"/>
        <v>5500000</v>
      </c>
      <c r="V12" s="714"/>
      <c r="W12" s="669"/>
      <c r="X12" s="669"/>
      <c r="Y12" s="669"/>
    </row>
    <row r="13" spans="1:41" ht="12" customHeight="1" x14ac:dyDescent="0.25">
      <c r="B13" s="705" t="str">
        <f>IF(Inputs!E34=0,Inputs!D34,CONCATENATE(Inputs!D34," (",Inputs!E34,")"))</f>
        <v>Inv D</v>
      </c>
      <c r="C13" s="706">
        <f>IF(C$7="",0,Inputs!P34)</f>
        <v>0</v>
      </c>
      <c r="D13" s="707">
        <f>IF(D$7="",0,Inputs!Q34)</f>
        <v>0</v>
      </c>
      <c r="E13" s="708">
        <f t="shared" si="1"/>
        <v>0</v>
      </c>
      <c r="F13" s="709">
        <f>IF(F$7="",0,Inputs!F34)</f>
        <v>1000000</v>
      </c>
      <c r="G13" s="710">
        <f>IF(G$7="",0,Inputs!G34)</f>
        <v>1000000</v>
      </c>
      <c r="H13" s="710">
        <f>IF(H$7="",0,Inputs!H34)</f>
        <v>1000000</v>
      </c>
      <c r="I13" s="710">
        <f>IF(I$7="",0,Inputs!I34)</f>
        <v>0</v>
      </c>
      <c r="J13" s="710">
        <f>IF(J$7="",0,Inputs!J34)</f>
        <v>0</v>
      </c>
      <c r="K13" s="710">
        <f>IF(K$7="",0,Inputs!K34)</f>
        <v>0</v>
      </c>
      <c r="L13" s="710">
        <f>IF(L$7="",0,Inputs!L34)</f>
        <v>0</v>
      </c>
      <c r="M13" s="710">
        <f>IF(M$7="",0,Inputs!M34)</f>
        <v>0</v>
      </c>
      <c r="N13" s="710">
        <f>IF(N$7="",0,Inputs!N34)</f>
        <v>0</v>
      </c>
      <c r="O13" s="707">
        <f>IF(O$7="",0,Inputs!O34)</f>
        <v>0</v>
      </c>
      <c r="P13" s="708">
        <f t="shared" si="2"/>
        <v>3000000</v>
      </c>
      <c r="Q13" s="711">
        <f t="shared" si="3"/>
        <v>3000000</v>
      </c>
      <c r="R13" s="712">
        <f t="shared" si="4"/>
        <v>9.6030729833546713E-2</v>
      </c>
      <c r="S13" s="712">
        <f t="shared" si="5"/>
        <v>5.4274084124830396E-2</v>
      </c>
      <c r="T13" s="713">
        <f t="shared" si="6"/>
        <v>5500000</v>
      </c>
      <c r="V13" s="704"/>
      <c r="W13" s="669"/>
      <c r="X13" s="669"/>
      <c r="Y13" s="669"/>
    </row>
    <row r="14" spans="1:41" ht="12" customHeight="1" x14ac:dyDescent="0.25">
      <c r="B14" s="705" t="str">
        <f>IF(Inputs!E35=0,Inputs!D35,CONCATENATE(Inputs!D35," (",Inputs!E35,")"))</f>
        <v>Inv E</v>
      </c>
      <c r="C14" s="706">
        <f>IF(C$7="",0,Inputs!P35)</f>
        <v>0</v>
      </c>
      <c r="D14" s="707">
        <f>IF(D$7="",0,Inputs!Q35)</f>
        <v>0</v>
      </c>
      <c r="E14" s="708">
        <f t="shared" si="1"/>
        <v>0</v>
      </c>
      <c r="F14" s="709">
        <f>IF(F$7="",0,Inputs!F35)</f>
        <v>1000000</v>
      </c>
      <c r="G14" s="710">
        <f>IF(G$7="",0,Inputs!G35)</f>
        <v>1000000</v>
      </c>
      <c r="H14" s="710">
        <f>IF(H$7="",0,Inputs!H35)</f>
        <v>1000000</v>
      </c>
      <c r="I14" s="710">
        <f>IF(I$7="",0,Inputs!I35)</f>
        <v>0</v>
      </c>
      <c r="J14" s="710">
        <f>IF(J$7="",0,Inputs!J35)</f>
        <v>0</v>
      </c>
      <c r="K14" s="710">
        <f>IF(K$7="",0,Inputs!K35)</f>
        <v>0</v>
      </c>
      <c r="L14" s="710">
        <f>IF(L$7="",0,Inputs!L35)</f>
        <v>0</v>
      </c>
      <c r="M14" s="710">
        <f>IF(M$7="",0,Inputs!M35)</f>
        <v>0</v>
      </c>
      <c r="N14" s="710">
        <f>IF(N$7="",0,Inputs!N35)</f>
        <v>0</v>
      </c>
      <c r="O14" s="707">
        <f>IF(O$7="",0,Inputs!O35)</f>
        <v>0</v>
      </c>
      <c r="P14" s="708">
        <f t="shared" si="2"/>
        <v>3000000</v>
      </c>
      <c r="Q14" s="711">
        <f t="shared" si="3"/>
        <v>3000000</v>
      </c>
      <c r="R14" s="712">
        <f t="shared" si="4"/>
        <v>9.6030729833546713E-2</v>
      </c>
      <c r="S14" s="712">
        <f t="shared" si="5"/>
        <v>5.4274084124830396E-2</v>
      </c>
      <c r="T14" s="713">
        <f t="shared" si="6"/>
        <v>5500000</v>
      </c>
      <c r="V14" s="704"/>
      <c r="W14" s="669"/>
      <c r="X14" s="669"/>
      <c r="Y14" s="669"/>
    </row>
    <row r="15" spans="1:41" ht="12" customHeight="1" x14ac:dyDescent="0.25">
      <c r="B15" s="705" t="str">
        <f>IF(Inputs!E36=0,Inputs!D36,CONCATENATE(Inputs!D36," (",Inputs!E36,")"))</f>
        <v>Inv F</v>
      </c>
      <c r="C15" s="706">
        <f>IF(C$7="",0,Inputs!P36)</f>
        <v>0</v>
      </c>
      <c r="D15" s="707">
        <f>IF(D$7="",0,Inputs!Q36)</f>
        <v>0</v>
      </c>
      <c r="E15" s="708">
        <f t="shared" si="1"/>
        <v>0</v>
      </c>
      <c r="F15" s="709">
        <f>IF(F$7="",0,Inputs!F36)</f>
        <v>0</v>
      </c>
      <c r="G15" s="710">
        <f>IF(G$7="",0,Inputs!G36)</f>
        <v>0</v>
      </c>
      <c r="H15" s="710">
        <f>IF(H$7="",0,Inputs!H36)</f>
        <v>1000000</v>
      </c>
      <c r="I15" s="710">
        <f>IF(I$7="",0,Inputs!I36)</f>
        <v>3333333.3333333335</v>
      </c>
      <c r="J15" s="710">
        <f>IF(J$7="",0,Inputs!J36)</f>
        <v>0</v>
      </c>
      <c r="K15" s="710">
        <f>IF(K$7="",0,Inputs!K36)</f>
        <v>0</v>
      </c>
      <c r="L15" s="710">
        <f>IF(L$7="",0,Inputs!L36)</f>
        <v>0</v>
      </c>
      <c r="M15" s="710">
        <f>IF(M$7="",0,Inputs!M36)</f>
        <v>0</v>
      </c>
      <c r="N15" s="710">
        <f>IF(N$7="",0,Inputs!N36)</f>
        <v>0</v>
      </c>
      <c r="O15" s="707">
        <f>IF(O$7="",0,Inputs!O36)</f>
        <v>0</v>
      </c>
      <c r="P15" s="708">
        <f t="shared" si="2"/>
        <v>4333333.333333334</v>
      </c>
      <c r="Q15" s="711">
        <f t="shared" si="3"/>
        <v>4333333.333333334</v>
      </c>
      <c r="R15" s="712">
        <f t="shared" si="4"/>
        <v>0.13871105420401195</v>
      </c>
      <c r="S15" s="712">
        <f t="shared" si="5"/>
        <v>7.8395899291421697E-2</v>
      </c>
      <c r="T15" s="713">
        <f t="shared" si="6"/>
        <v>9166666.6666666679</v>
      </c>
      <c r="V15" s="704"/>
      <c r="W15" s="669"/>
      <c r="X15" s="669"/>
      <c r="Y15" s="669"/>
    </row>
    <row r="16" spans="1:41" ht="12" customHeight="1" x14ac:dyDescent="0.25">
      <c r="B16" s="705" t="str">
        <f>IF(Inputs!E37=0,Inputs!D37,CONCATENATE(Inputs!D37," (",Inputs!E37,")"))</f>
        <v>Inv G</v>
      </c>
      <c r="C16" s="706">
        <f>IF(C$7="",0,Inputs!P37)</f>
        <v>0</v>
      </c>
      <c r="D16" s="707">
        <f>IF(D$7="",0,Inputs!Q37)</f>
        <v>0</v>
      </c>
      <c r="E16" s="708">
        <f t="shared" si="1"/>
        <v>0</v>
      </c>
      <c r="F16" s="709">
        <f>IF(F$7="",0,Inputs!F37)</f>
        <v>0</v>
      </c>
      <c r="G16" s="710">
        <f>IF(G$7="",0,Inputs!G37)</f>
        <v>0</v>
      </c>
      <c r="H16" s="710">
        <f>IF(H$7="",0,Inputs!H37)</f>
        <v>1000000</v>
      </c>
      <c r="I16" s="710">
        <f>IF(I$7="",0,Inputs!I37)</f>
        <v>3333333.3333333335</v>
      </c>
      <c r="J16" s="710">
        <f>IF(J$7="",0,Inputs!J37)</f>
        <v>0</v>
      </c>
      <c r="K16" s="710">
        <f>IF(K$7="",0,Inputs!K37)</f>
        <v>0</v>
      </c>
      <c r="L16" s="710">
        <f>IF(L$7="",0,Inputs!L37)</f>
        <v>0</v>
      </c>
      <c r="M16" s="710">
        <f>IF(M$7="",0,Inputs!M37)</f>
        <v>0</v>
      </c>
      <c r="N16" s="710">
        <f>IF(N$7="",0,Inputs!N37)</f>
        <v>0</v>
      </c>
      <c r="O16" s="707">
        <f>IF(O$7="",0,Inputs!O37)</f>
        <v>0</v>
      </c>
      <c r="P16" s="708">
        <f t="shared" si="2"/>
        <v>4333333.333333334</v>
      </c>
      <c r="Q16" s="711">
        <f t="shared" si="3"/>
        <v>4333333.333333334</v>
      </c>
      <c r="R16" s="712">
        <f t="shared" si="4"/>
        <v>0.13871105420401195</v>
      </c>
      <c r="S16" s="712">
        <f t="shared" si="5"/>
        <v>7.8395899291421697E-2</v>
      </c>
      <c r="T16" s="713">
        <f t="shared" si="6"/>
        <v>9166666.6666666679</v>
      </c>
      <c r="V16" s="704"/>
      <c r="W16" s="669"/>
      <c r="X16" s="669"/>
      <c r="Y16" s="669"/>
    </row>
    <row r="17" spans="2:26" x14ac:dyDescent="0.25">
      <c r="B17" s="705" t="str">
        <f>IF(Inputs!E38=0,Inputs!D38,CONCATENATE(Inputs!D38," (",Inputs!E38,")"))</f>
        <v>Inv H</v>
      </c>
      <c r="C17" s="706">
        <f>IF(C$7="",0,Inputs!P38)</f>
        <v>0</v>
      </c>
      <c r="D17" s="707">
        <f>IF(D$7="",0,Inputs!Q38)</f>
        <v>0</v>
      </c>
      <c r="E17" s="708">
        <f t="shared" si="1"/>
        <v>0</v>
      </c>
      <c r="F17" s="709">
        <f>IF(F$7="",0,Inputs!F38)</f>
        <v>0</v>
      </c>
      <c r="G17" s="710">
        <f>IF(G$7="",0,Inputs!G38)</f>
        <v>0</v>
      </c>
      <c r="H17" s="710">
        <f>IF(H$7="",0,Inputs!H38)</f>
        <v>1000000</v>
      </c>
      <c r="I17" s="710">
        <f>IF(I$7="",0,Inputs!I38)</f>
        <v>3333333.3333333335</v>
      </c>
      <c r="J17" s="710">
        <f>IF(J$7="",0,Inputs!J38)</f>
        <v>0</v>
      </c>
      <c r="K17" s="710">
        <f>IF(K$7="",0,Inputs!K38)</f>
        <v>0</v>
      </c>
      <c r="L17" s="710">
        <f>IF(L$7="",0,Inputs!L38)</f>
        <v>0</v>
      </c>
      <c r="M17" s="710">
        <f>IF(M$7="",0,Inputs!M38)</f>
        <v>0</v>
      </c>
      <c r="N17" s="710">
        <f>IF(N$7="",0,Inputs!N38)</f>
        <v>0</v>
      </c>
      <c r="O17" s="707">
        <f>IF(O$7="",0,Inputs!O38)</f>
        <v>0</v>
      </c>
      <c r="P17" s="708">
        <f t="shared" si="2"/>
        <v>4333333.333333334</v>
      </c>
      <c r="Q17" s="711">
        <f t="shared" si="3"/>
        <v>4333333.333333334</v>
      </c>
      <c r="R17" s="712">
        <f t="shared" si="4"/>
        <v>0.13871105420401195</v>
      </c>
      <c r="S17" s="712">
        <f t="shared" si="5"/>
        <v>7.8395899291421697E-2</v>
      </c>
      <c r="T17" s="713">
        <f t="shared" si="6"/>
        <v>9166666.6666666679</v>
      </c>
      <c r="V17" s="669"/>
      <c r="W17" s="669"/>
      <c r="X17" s="669"/>
      <c r="Y17" s="669"/>
    </row>
    <row r="18" spans="2:26" x14ac:dyDescent="0.25">
      <c r="B18" s="705" t="str">
        <f>Inputs!D39</f>
        <v>Other Investors</v>
      </c>
      <c r="C18" s="715">
        <f>IF(C$7="",0,Inputs!P39)</f>
        <v>0</v>
      </c>
      <c r="D18" s="716">
        <f>IF(D$7="",0,Inputs!Q39)</f>
        <v>0</v>
      </c>
      <c r="E18" s="717">
        <f t="shared" si="1"/>
        <v>0</v>
      </c>
      <c r="F18" s="718">
        <f>IF(F$7="",0,Inputs!F39)</f>
        <v>0</v>
      </c>
      <c r="G18" s="719">
        <f>IF(G$7="",0,Inputs!G39)</f>
        <v>0</v>
      </c>
      <c r="H18" s="719">
        <f>IF(H$7="",0,Inputs!H39)</f>
        <v>0</v>
      </c>
      <c r="I18" s="719">
        <f>IF(I$7="",0,Inputs!I39)</f>
        <v>0</v>
      </c>
      <c r="J18" s="719">
        <f>IF(J$7="",0,Inputs!J39)</f>
        <v>0</v>
      </c>
      <c r="K18" s="719">
        <f>IF(K$7="",0,Inputs!K39)</f>
        <v>0</v>
      </c>
      <c r="L18" s="719">
        <f>IF(L$7="",0,Inputs!L39)</f>
        <v>0</v>
      </c>
      <c r="M18" s="719">
        <f>IF(M$7="",0,Inputs!M39)</f>
        <v>0</v>
      </c>
      <c r="N18" s="719">
        <f>IF(N$7="",0,Inputs!N39)</f>
        <v>0</v>
      </c>
      <c r="O18" s="716">
        <f>IF(O$7="",0,Inputs!O39)</f>
        <v>0</v>
      </c>
      <c r="P18" s="720">
        <f t="shared" si="2"/>
        <v>0</v>
      </c>
      <c r="Q18" s="721">
        <f t="shared" si="3"/>
        <v>0</v>
      </c>
      <c r="R18" s="722">
        <f t="shared" si="4"/>
        <v>0</v>
      </c>
      <c r="S18" s="722">
        <f t="shared" si="5"/>
        <v>0</v>
      </c>
      <c r="T18" s="723">
        <f t="shared" si="6"/>
        <v>0</v>
      </c>
      <c r="V18" s="669"/>
      <c r="W18" s="669"/>
      <c r="X18" s="669"/>
      <c r="Y18" s="669"/>
    </row>
    <row r="19" spans="2:26" ht="15.75" thickBot="1" x14ac:dyDescent="0.3">
      <c r="B19" s="724" t="s">
        <v>54</v>
      </c>
      <c r="C19" s="725">
        <f>Inputs!N22</f>
        <v>0</v>
      </c>
      <c r="D19" s="726">
        <f>Inputs!N23</f>
        <v>0</v>
      </c>
      <c r="E19" s="727">
        <f t="shared" si="1"/>
        <v>0</v>
      </c>
      <c r="F19" s="728">
        <f t="array" ref="F19:O19">IF(TRANSPOSE(Inputs!N$10:N$19)=0,0,TRANSPOSE(Inputs!N$10:N$19))</f>
        <v>10000</v>
      </c>
      <c r="G19" s="729">
        <v>10000</v>
      </c>
      <c r="H19" s="729">
        <v>10000</v>
      </c>
      <c r="I19" s="729">
        <v>10000</v>
      </c>
      <c r="J19" s="729">
        <v>0</v>
      </c>
      <c r="K19" s="729">
        <v>0</v>
      </c>
      <c r="L19" s="729">
        <v>0</v>
      </c>
      <c r="M19" s="729">
        <v>0</v>
      </c>
      <c r="N19" s="729">
        <v>0</v>
      </c>
      <c r="O19" s="726">
        <v>0</v>
      </c>
      <c r="P19" s="730">
        <f t="shared" si="2"/>
        <v>40000</v>
      </c>
      <c r="Q19" s="721">
        <f t="shared" si="3"/>
        <v>40000</v>
      </c>
      <c r="R19" s="722">
        <f t="shared" si="4"/>
        <v>1.2804097311139562E-3</v>
      </c>
      <c r="S19" s="722">
        <f t="shared" si="5"/>
        <v>7.236544549977386E-4</v>
      </c>
      <c r="T19" s="723">
        <f>T38</f>
        <v>40000</v>
      </c>
      <c r="V19" s="669"/>
      <c r="W19" s="669"/>
      <c r="X19" s="669"/>
      <c r="Y19" s="669"/>
    </row>
    <row r="20" spans="2:26" x14ac:dyDescent="0.25">
      <c r="B20" s="731" t="s">
        <v>35</v>
      </c>
      <c r="C20" s="732">
        <f t="shared" ref="C20:E20" si="7">SUM(C10:C18)</f>
        <v>0</v>
      </c>
      <c r="D20" s="733">
        <f t="shared" si="7"/>
        <v>0</v>
      </c>
      <c r="E20" s="734">
        <f t="shared" si="7"/>
        <v>0</v>
      </c>
      <c r="F20" s="735">
        <f>SUM(F10:F19)</f>
        <v>5010000</v>
      </c>
      <c r="G20" s="736">
        <f t="shared" ref="G20:O20" si="8">SUM(G10:G19)</f>
        <v>5010000</v>
      </c>
      <c r="H20" s="736">
        <f t="shared" si="8"/>
        <v>6010000</v>
      </c>
      <c r="I20" s="736">
        <f t="shared" si="8"/>
        <v>10010000</v>
      </c>
      <c r="J20" s="736">
        <f t="shared" si="8"/>
        <v>0</v>
      </c>
      <c r="K20" s="736">
        <f t="shared" si="8"/>
        <v>0</v>
      </c>
      <c r="L20" s="736">
        <f t="shared" si="8"/>
        <v>0</v>
      </c>
      <c r="M20" s="736">
        <f t="shared" si="8"/>
        <v>0</v>
      </c>
      <c r="N20" s="736">
        <f t="shared" si="8"/>
        <v>0</v>
      </c>
      <c r="O20" s="733">
        <f t="shared" si="8"/>
        <v>0</v>
      </c>
      <c r="P20" s="734">
        <f>SUM(P10:P19)</f>
        <v>26040000.000000007</v>
      </c>
      <c r="Q20" s="737">
        <f t="shared" ref="Q20:R20" si="9">SUM(Q10:Q19)</f>
        <v>26040000.000000007</v>
      </c>
      <c r="R20" s="738">
        <f t="shared" si="9"/>
        <v>0.83354673495518561</v>
      </c>
      <c r="S20" s="738">
        <f>SUM(S10:S19)</f>
        <v>0.47109905020352788</v>
      </c>
      <c r="T20" s="739">
        <f>SUM(T10:T19)</f>
        <v>50040000</v>
      </c>
      <c r="W20" s="669"/>
      <c r="X20" s="669"/>
      <c r="Y20" s="669"/>
    </row>
    <row r="21" spans="2:26" x14ac:dyDescent="0.25">
      <c r="B21" s="705"/>
      <c r="C21" s="740"/>
      <c r="D21" s="741"/>
      <c r="E21" s="742"/>
      <c r="F21" s="743"/>
      <c r="G21" s="740"/>
      <c r="H21" s="740"/>
      <c r="I21" s="740"/>
      <c r="J21" s="740"/>
      <c r="K21" s="740"/>
      <c r="L21" s="740"/>
      <c r="M21" s="740"/>
      <c r="N21" s="740"/>
      <c r="O21" s="741"/>
      <c r="P21" s="742"/>
      <c r="Q21" s="744"/>
      <c r="R21" s="745"/>
      <c r="S21" s="745"/>
      <c r="T21" s="746"/>
      <c r="U21" s="663"/>
      <c r="Z21" s="663"/>
    </row>
    <row r="22" spans="2:26" x14ac:dyDescent="0.25">
      <c r="B22" s="705" t="str">
        <f>Inputs!D40</f>
        <v>Management</v>
      </c>
      <c r="C22" s="747">
        <f>IF(C$7=0,0,Inputs!P40)</f>
        <v>5200000</v>
      </c>
      <c r="D22" s="748">
        <f>IF(D$7=0,0,Inputs!Q40)</f>
        <v>0</v>
      </c>
      <c r="E22" s="742">
        <f>SUM(C22:D22)</f>
        <v>5200000</v>
      </c>
      <c r="F22" s="749">
        <f>IF(F$7=0,0,Inputs!F40)</f>
        <v>0</v>
      </c>
      <c r="G22" s="749">
        <f>IF(G$7=0,0,Inputs!G40)</f>
        <v>0</v>
      </c>
      <c r="H22" s="749">
        <f>IF(H$7=0,0,Inputs!H40)</f>
        <v>0</v>
      </c>
      <c r="I22" s="749">
        <f>IF(I$7=0,0,Inputs!I40)</f>
        <v>0</v>
      </c>
      <c r="J22" s="749">
        <f>IF(J$7=0,0,Inputs!J40)</f>
        <v>0</v>
      </c>
      <c r="K22" s="749">
        <f>IF(K$7=0,0,Inputs!K40)</f>
        <v>0</v>
      </c>
      <c r="L22" s="749">
        <f>IF(L$7=0,0,Inputs!L40)</f>
        <v>0</v>
      </c>
      <c r="M22" s="749">
        <f>IF(M$7=0,0,Inputs!M40)</f>
        <v>0</v>
      </c>
      <c r="N22" s="749">
        <f>IF(N$7=0,0,Inputs!N40)</f>
        <v>0</v>
      </c>
      <c r="O22" s="748">
        <f>IF(O$7=0,0,Inputs!O40)</f>
        <v>0</v>
      </c>
      <c r="P22" s="742">
        <f>SUM(F22:O22)</f>
        <v>0</v>
      </c>
      <c r="Q22" s="744">
        <f>P22+E22</f>
        <v>5200000</v>
      </c>
      <c r="R22" s="745">
        <f>Q22/Q$26</f>
        <v>0.16645326504481431</v>
      </c>
      <c r="S22" s="745">
        <f>(F22*$F$51+G22*$G$51+H22*$H$51+I22*$I$51+J22*$J$51+K22*$K$51+L22*$L$51+M22*$M$51+N22*$N$51+O22*$O$51+E22)/($F$53+$E$26)</f>
        <v>9.4075079149706017E-2</v>
      </c>
      <c r="T22" s="750">
        <f t="shared" ref="T22" si="10">$F$7*F22+$G$7*G22+$H$7*H22+$I$7*I22+$J$7*J22+$K$7*K22+$L$7*L22+$M$7*M22+$N$7*N22+$O$7*O22</f>
        <v>0</v>
      </c>
      <c r="U22" s="663"/>
      <c r="Z22" s="663"/>
    </row>
    <row r="23" spans="2:26" ht="15.75" thickBot="1" x14ac:dyDescent="0.3">
      <c r="B23" s="751"/>
      <c r="C23" s="752"/>
      <c r="D23" s="753"/>
      <c r="E23" s="742"/>
      <c r="F23" s="754"/>
      <c r="G23" s="752"/>
      <c r="H23" s="752"/>
      <c r="I23" s="752"/>
      <c r="J23" s="752"/>
      <c r="K23" s="752"/>
      <c r="L23" s="752"/>
      <c r="M23" s="752"/>
      <c r="N23" s="752"/>
      <c r="O23" s="753"/>
      <c r="P23" s="730"/>
      <c r="Q23" s="755"/>
      <c r="R23" s="745"/>
      <c r="S23" s="745"/>
      <c r="T23" s="756"/>
      <c r="U23" s="663"/>
      <c r="Z23" s="663"/>
    </row>
    <row r="24" spans="2:26" x14ac:dyDescent="0.25">
      <c r="B24" s="757" t="s">
        <v>36</v>
      </c>
      <c r="C24" s="732">
        <f t="shared" ref="C24:T24" si="11">SUM(C22:C23)</f>
        <v>5200000</v>
      </c>
      <c r="D24" s="733">
        <f t="shared" si="11"/>
        <v>0</v>
      </c>
      <c r="E24" s="734">
        <f t="shared" si="11"/>
        <v>5200000</v>
      </c>
      <c r="F24" s="735">
        <f t="shared" si="11"/>
        <v>0</v>
      </c>
      <c r="G24" s="736">
        <f t="shared" si="11"/>
        <v>0</v>
      </c>
      <c r="H24" s="736">
        <f t="shared" si="11"/>
        <v>0</v>
      </c>
      <c r="I24" s="736">
        <f t="shared" si="11"/>
        <v>0</v>
      </c>
      <c r="J24" s="736">
        <f t="shared" si="11"/>
        <v>0</v>
      </c>
      <c r="K24" s="736">
        <f t="shared" si="11"/>
        <v>0</v>
      </c>
      <c r="L24" s="736">
        <f t="shared" si="11"/>
        <v>0</v>
      </c>
      <c r="M24" s="736">
        <f t="shared" si="11"/>
        <v>0</v>
      </c>
      <c r="N24" s="736">
        <f t="shared" si="11"/>
        <v>0</v>
      </c>
      <c r="O24" s="733">
        <f t="shared" si="11"/>
        <v>0</v>
      </c>
      <c r="P24" s="734">
        <f>SUM(P22:P23)</f>
        <v>0</v>
      </c>
      <c r="Q24" s="744">
        <f t="shared" si="11"/>
        <v>5200000</v>
      </c>
      <c r="R24" s="738">
        <f t="shared" si="11"/>
        <v>0.16645326504481431</v>
      </c>
      <c r="S24" s="738">
        <f t="shared" si="11"/>
        <v>9.4075079149706017E-2</v>
      </c>
      <c r="T24" s="750">
        <f t="shared" si="11"/>
        <v>0</v>
      </c>
      <c r="U24" s="663"/>
      <c r="Z24" s="663"/>
    </row>
    <row r="25" spans="2:26" ht="15.75" thickBot="1" x14ac:dyDescent="0.3">
      <c r="B25" s="705"/>
      <c r="C25" s="758"/>
      <c r="D25" s="759"/>
      <c r="E25" s="742"/>
      <c r="F25" s="760"/>
      <c r="G25" s="758"/>
      <c r="H25" s="758"/>
      <c r="I25" s="758"/>
      <c r="J25" s="758"/>
      <c r="K25" s="758"/>
      <c r="L25" s="758"/>
      <c r="M25" s="758"/>
      <c r="N25" s="758"/>
      <c r="O25" s="759"/>
      <c r="P25" s="742"/>
      <c r="Q25" s="744"/>
      <c r="R25" s="745"/>
      <c r="S25" s="745"/>
      <c r="T25" s="750"/>
      <c r="U25" s="663"/>
      <c r="Z25" s="663"/>
    </row>
    <row r="26" spans="2:26" ht="15.75" thickBot="1" x14ac:dyDescent="0.3">
      <c r="B26" s="761" t="s">
        <v>8</v>
      </c>
      <c r="C26" s="762">
        <f t="shared" ref="C26:S26" si="12">C20+C24</f>
        <v>5200000</v>
      </c>
      <c r="D26" s="763">
        <f t="shared" si="12"/>
        <v>0</v>
      </c>
      <c r="E26" s="764">
        <f t="shared" si="12"/>
        <v>5200000</v>
      </c>
      <c r="F26" s="765">
        <f t="shared" si="12"/>
        <v>5010000</v>
      </c>
      <c r="G26" s="766">
        <f t="shared" si="12"/>
        <v>5010000</v>
      </c>
      <c r="H26" s="766">
        <f t="shared" si="12"/>
        <v>6010000</v>
      </c>
      <c r="I26" s="766">
        <f t="shared" si="12"/>
        <v>10010000</v>
      </c>
      <c r="J26" s="766">
        <f t="shared" si="12"/>
        <v>0</v>
      </c>
      <c r="K26" s="766">
        <f t="shared" si="12"/>
        <v>0</v>
      </c>
      <c r="L26" s="766">
        <f t="shared" si="12"/>
        <v>0</v>
      </c>
      <c r="M26" s="766">
        <f t="shared" si="12"/>
        <v>0</v>
      </c>
      <c r="N26" s="766">
        <f t="shared" si="12"/>
        <v>0</v>
      </c>
      <c r="O26" s="763">
        <f t="shared" si="12"/>
        <v>0</v>
      </c>
      <c r="P26" s="764">
        <f>P20+P24</f>
        <v>26040000.000000007</v>
      </c>
      <c r="Q26" s="767">
        <f t="shared" si="12"/>
        <v>31240000.000000007</v>
      </c>
      <c r="R26" s="768">
        <f t="shared" si="12"/>
        <v>0.99999999999999989</v>
      </c>
      <c r="S26" s="768">
        <f t="shared" si="12"/>
        <v>0.56517412935323386</v>
      </c>
      <c r="T26" s="769"/>
      <c r="U26" s="663"/>
      <c r="Z26" s="663"/>
    </row>
    <row r="27" spans="2:26" outlineLevel="1" x14ac:dyDescent="0.25">
      <c r="B27" s="770"/>
      <c r="C27" s="771"/>
      <c r="D27" s="771"/>
      <c r="E27" s="771"/>
      <c r="F27" s="772"/>
      <c r="G27" s="771"/>
      <c r="H27" s="771"/>
      <c r="I27" s="771"/>
      <c r="J27" s="771"/>
      <c r="K27" s="771"/>
      <c r="L27" s="771"/>
      <c r="M27" s="771"/>
      <c r="N27" s="771"/>
      <c r="O27" s="771"/>
      <c r="P27" s="773"/>
      <c r="Q27" s="774"/>
      <c r="R27" s="775"/>
      <c r="S27" s="775"/>
      <c r="T27" s="773"/>
      <c r="U27" s="663"/>
      <c r="Z27" s="663"/>
    </row>
    <row r="28" spans="2:26" ht="15.75" outlineLevel="1" thickBot="1" x14ac:dyDescent="0.3">
      <c r="C28" s="990" t="s">
        <v>136</v>
      </c>
      <c r="D28" s="990"/>
      <c r="E28" s="990"/>
      <c r="F28" s="990"/>
      <c r="G28" s="990"/>
      <c r="H28" s="990"/>
      <c r="I28" s="990"/>
      <c r="J28" s="990"/>
      <c r="K28" s="990"/>
      <c r="L28" s="990"/>
      <c r="M28" s="990"/>
      <c r="N28" s="990"/>
      <c r="O28" s="990"/>
      <c r="T28" s="776"/>
      <c r="U28" s="663"/>
      <c r="Z28" s="663"/>
    </row>
    <row r="29" spans="2:26" outlineLevel="1" x14ac:dyDescent="0.25">
      <c r="B29" s="695" t="str">
        <f>IF(Inputs!E31=0,Inputs!D31,CONCATENATE(Inputs!D31," (",Inputs!E31,")"))</f>
        <v>HTGC</v>
      </c>
      <c r="C29" s="777">
        <f>IF(C$7="","",Inputs!P31*C$7)</f>
        <v>0</v>
      </c>
      <c r="D29" s="777">
        <f>IF(D$7="","",Inputs!Q31*D$7)</f>
        <v>0</v>
      </c>
      <c r="E29" s="778">
        <f t="shared" ref="E29:E37" si="13">SUM(C29:D29)</f>
        <v>0</v>
      </c>
      <c r="F29" s="779">
        <f>IF(F$7="","",Inputs!F31*F$7)</f>
        <v>1000000</v>
      </c>
      <c r="G29" s="780">
        <f>IF(G$7="","",Inputs!G31*G$7)</f>
        <v>2000000</v>
      </c>
      <c r="H29" s="780">
        <f>IF(H$7="","",Inputs!H31*H$7)</f>
        <v>0</v>
      </c>
      <c r="I29" s="780">
        <f>IF(I$7="","",Inputs!I31*I$7)</f>
        <v>0</v>
      </c>
      <c r="J29" s="780">
        <f>IF(J$7="","",Inputs!J31*J$7)</f>
        <v>0</v>
      </c>
      <c r="K29" s="780">
        <f>IF(K$7="","",Inputs!K31*K$7)</f>
        <v>0</v>
      </c>
      <c r="L29" s="780">
        <f>IF(L$7="","",Inputs!L31*L$7)</f>
        <v>0</v>
      </c>
      <c r="M29" s="780">
        <f>IF(M$7="","",Inputs!M31*M$7)</f>
        <v>0</v>
      </c>
      <c r="N29" s="780">
        <f>IF(N$7="","",Inputs!N31*N$7)</f>
        <v>0</v>
      </c>
      <c r="O29" s="781">
        <f>IF(O$7="","",Inputs!O31*O$7)</f>
        <v>0</v>
      </c>
      <c r="P29" s="778">
        <f t="shared" ref="P29:P38" si="14">SUM(F29:O29)</f>
        <v>3000000</v>
      </c>
      <c r="Q29" s="701">
        <f>'Pro Forma Cap Table'!Q10</f>
        <v>2000000</v>
      </c>
      <c r="R29" s="702">
        <f>Q29/$Q$26</f>
        <v>6.4020486555697809E-2</v>
      </c>
      <c r="S29" s="702">
        <f>'Pro Forma Cap Table'!S10</f>
        <v>6.4020486555697823E-2</v>
      </c>
      <c r="T29" s="703">
        <f t="shared" ref="T29:T37" si="15">SUM(F29:O29)</f>
        <v>3000000</v>
      </c>
      <c r="V29" s="704"/>
      <c r="W29" s="669"/>
      <c r="X29" s="669"/>
      <c r="Y29" s="669"/>
    </row>
    <row r="30" spans="2:26" outlineLevel="1" x14ac:dyDescent="0.25">
      <c r="B30" s="705" t="str">
        <f>IF(Inputs!E32=0,Inputs!D32,CONCATENATE(Inputs!D32," (",Inputs!E32,")"))</f>
        <v>Inv B</v>
      </c>
      <c r="C30" s="782">
        <f>IF(C$7="","",Inputs!P32*C$7)</f>
        <v>0</v>
      </c>
      <c r="D30" s="782">
        <f>IF(D$7="","",Inputs!Q32*D$7)</f>
        <v>0</v>
      </c>
      <c r="E30" s="783">
        <f t="shared" si="13"/>
        <v>0</v>
      </c>
      <c r="F30" s="784">
        <f>IF(F$7="","",Inputs!F32*F$7)</f>
        <v>1000000</v>
      </c>
      <c r="G30" s="785">
        <f>IF(G$7="","",Inputs!G32*G$7)</f>
        <v>2000000</v>
      </c>
      <c r="H30" s="785">
        <f>IF(H$7="","",Inputs!H32*H$7)</f>
        <v>0</v>
      </c>
      <c r="I30" s="785">
        <f>IF(I$7="","",Inputs!I32*I$7)</f>
        <v>0</v>
      </c>
      <c r="J30" s="785">
        <f>IF(J$7="","",Inputs!J32*J$7)</f>
        <v>0</v>
      </c>
      <c r="K30" s="785">
        <f>IF(K$7="","",Inputs!K32*K$7)</f>
        <v>0</v>
      </c>
      <c r="L30" s="785">
        <f>IF(L$7="","",Inputs!L32*L$7)</f>
        <v>0</v>
      </c>
      <c r="M30" s="785">
        <f>IF(M$7="","",Inputs!M32*M$7)</f>
        <v>0</v>
      </c>
      <c r="N30" s="785">
        <f>IF(N$7="","",Inputs!N32*N$7)</f>
        <v>0</v>
      </c>
      <c r="O30" s="786">
        <f>IF(O$7="","",Inputs!O32*O$7)</f>
        <v>0</v>
      </c>
      <c r="P30" s="783">
        <f t="shared" si="14"/>
        <v>3000000</v>
      </c>
      <c r="Q30" s="711">
        <f>'Pro Forma Cap Table'!Q11</f>
        <v>2000000</v>
      </c>
      <c r="R30" s="712">
        <f t="shared" ref="R30:R38" si="16">Q30/$Q$26</f>
        <v>6.4020486555697809E-2</v>
      </c>
      <c r="S30" s="712">
        <f>'Pro Forma Cap Table'!S11</f>
        <v>6.4020486555697823E-2</v>
      </c>
      <c r="T30" s="713">
        <f t="shared" si="15"/>
        <v>3000000</v>
      </c>
      <c r="V30" s="704"/>
      <c r="W30" s="669"/>
      <c r="X30" s="669"/>
      <c r="Y30" s="669"/>
    </row>
    <row r="31" spans="2:26" outlineLevel="1" x14ac:dyDescent="0.25">
      <c r="B31" s="705" t="str">
        <f>IF(Inputs!E33=0,Inputs!D33,CONCATENATE(Inputs!D33," (",Inputs!E33,")"))</f>
        <v>Inv C</v>
      </c>
      <c r="C31" s="782">
        <f>IF(C$7="","",Inputs!P33*C$7)</f>
        <v>0</v>
      </c>
      <c r="D31" s="782">
        <f>IF(D$7="","",Inputs!Q33*D$7)</f>
        <v>0</v>
      </c>
      <c r="E31" s="783">
        <f t="shared" si="13"/>
        <v>0</v>
      </c>
      <c r="F31" s="784">
        <f>IF(F$7="","",Inputs!F33*F$7)</f>
        <v>1000000</v>
      </c>
      <c r="G31" s="785">
        <f>IF(G$7="","",Inputs!G33*G$7)</f>
        <v>2000000</v>
      </c>
      <c r="H31" s="785">
        <f>IF(H$7="","",Inputs!H33*H$7)</f>
        <v>2500000</v>
      </c>
      <c r="I31" s="785">
        <f>IF(I$7="","",Inputs!I33*I$7)</f>
        <v>0</v>
      </c>
      <c r="J31" s="785">
        <f>IF(J$7="","",Inputs!J33*J$7)</f>
        <v>0</v>
      </c>
      <c r="K31" s="785">
        <f>IF(K$7="","",Inputs!K33*K$7)</f>
        <v>0</v>
      </c>
      <c r="L31" s="785">
        <f>IF(L$7="","",Inputs!L33*L$7)</f>
        <v>0</v>
      </c>
      <c r="M31" s="785">
        <f>IF(M$7="","",Inputs!M33*M$7)</f>
        <v>0</v>
      </c>
      <c r="N31" s="785">
        <f>IF(N$7="","",Inputs!N33*N$7)</f>
        <v>0</v>
      </c>
      <c r="O31" s="786">
        <f>IF(O$7="","",Inputs!O33*O$7)</f>
        <v>0</v>
      </c>
      <c r="P31" s="783">
        <f t="shared" si="14"/>
        <v>5500000</v>
      </c>
      <c r="Q31" s="711">
        <f>'Pro Forma Cap Table'!Q12</f>
        <v>3000000</v>
      </c>
      <c r="R31" s="712">
        <f t="shared" si="16"/>
        <v>9.6030729833546713E-2</v>
      </c>
      <c r="S31" s="712">
        <f>'Pro Forma Cap Table'!S12</f>
        <v>9.6030729833546741E-2</v>
      </c>
      <c r="T31" s="713">
        <f t="shared" si="15"/>
        <v>5500000</v>
      </c>
      <c r="V31" s="714"/>
      <c r="W31" s="669"/>
      <c r="X31" s="669"/>
      <c r="Y31" s="669"/>
    </row>
    <row r="32" spans="2:26" outlineLevel="1" x14ac:dyDescent="0.25">
      <c r="B32" s="705" t="str">
        <f>IF(Inputs!E34=0,Inputs!D34,CONCATENATE(Inputs!D34," (",Inputs!E34,")"))</f>
        <v>Inv D</v>
      </c>
      <c r="C32" s="782">
        <f>IF(C$7="","",Inputs!P34*C$7)</f>
        <v>0</v>
      </c>
      <c r="D32" s="782">
        <f>IF(D$7="","",Inputs!Q34*D$7)</f>
        <v>0</v>
      </c>
      <c r="E32" s="783">
        <f t="shared" si="13"/>
        <v>0</v>
      </c>
      <c r="F32" s="784">
        <f>IF(F$7="","",Inputs!F34*F$7)</f>
        <v>1000000</v>
      </c>
      <c r="G32" s="785">
        <f>IF(G$7="","",Inputs!G34*G$7)</f>
        <v>2000000</v>
      </c>
      <c r="H32" s="785">
        <f>IF(H$7="","",Inputs!H34*H$7)</f>
        <v>2500000</v>
      </c>
      <c r="I32" s="785">
        <f>IF(I$7="","",Inputs!I34*I$7)</f>
        <v>0</v>
      </c>
      <c r="J32" s="785">
        <f>IF(J$7="","",Inputs!J34*J$7)</f>
        <v>0</v>
      </c>
      <c r="K32" s="785">
        <f>IF(K$7="","",Inputs!K34*K$7)</f>
        <v>0</v>
      </c>
      <c r="L32" s="785">
        <f>IF(L$7="","",Inputs!L34*L$7)</f>
        <v>0</v>
      </c>
      <c r="M32" s="785">
        <f>IF(M$7="","",Inputs!M34*M$7)</f>
        <v>0</v>
      </c>
      <c r="N32" s="785">
        <f>IF(N$7="","",Inputs!N34*N$7)</f>
        <v>0</v>
      </c>
      <c r="O32" s="786">
        <f>IF(O$7="","",Inputs!O34*O$7)</f>
        <v>0</v>
      </c>
      <c r="P32" s="783">
        <f t="shared" si="14"/>
        <v>5500000</v>
      </c>
      <c r="Q32" s="711">
        <f>'Pro Forma Cap Table'!Q13</f>
        <v>3000000</v>
      </c>
      <c r="R32" s="712">
        <f t="shared" si="16"/>
        <v>9.6030729833546713E-2</v>
      </c>
      <c r="S32" s="712">
        <f>'Pro Forma Cap Table'!S13</f>
        <v>9.6030729833546741E-2</v>
      </c>
      <c r="T32" s="713">
        <f t="shared" si="15"/>
        <v>5500000</v>
      </c>
      <c r="V32" s="704"/>
      <c r="W32" s="669"/>
      <c r="X32" s="669"/>
      <c r="Y32" s="669"/>
    </row>
    <row r="33" spans="2:41" ht="12" customHeight="1" outlineLevel="1" x14ac:dyDescent="0.25">
      <c r="B33" s="705" t="str">
        <f>IF(Inputs!E35=0,Inputs!D35,CONCATENATE(Inputs!D35," (",Inputs!E35,")"))</f>
        <v>Inv E</v>
      </c>
      <c r="C33" s="782">
        <f>IF(C$7="","",Inputs!P35*C$7)</f>
        <v>0</v>
      </c>
      <c r="D33" s="782">
        <f>IF(D$7="","",Inputs!Q35*D$7)</f>
        <v>0</v>
      </c>
      <c r="E33" s="783">
        <f t="shared" si="13"/>
        <v>0</v>
      </c>
      <c r="F33" s="784">
        <f>IF(F$7="","",Inputs!F35*F$7)</f>
        <v>1000000</v>
      </c>
      <c r="G33" s="785">
        <f>IF(G$7="","",Inputs!G35*G$7)</f>
        <v>2000000</v>
      </c>
      <c r="H33" s="785">
        <f>IF(H$7="","",Inputs!H35*H$7)</f>
        <v>2500000</v>
      </c>
      <c r="I33" s="785">
        <f>IF(I$7="","",Inputs!I35*I$7)</f>
        <v>0</v>
      </c>
      <c r="J33" s="785">
        <f>IF(J$7="","",Inputs!J35*J$7)</f>
        <v>0</v>
      </c>
      <c r="K33" s="785">
        <f>IF(K$7="","",Inputs!K35*K$7)</f>
        <v>0</v>
      </c>
      <c r="L33" s="785">
        <f>IF(L$7="","",Inputs!L35*L$7)</f>
        <v>0</v>
      </c>
      <c r="M33" s="785">
        <f>IF(M$7="","",Inputs!M35*M$7)</f>
        <v>0</v>
      </c>
      <c r="N33" s="785">
        <f>IF(N$7="","",Inputs!N35*N$7)</f>
        <v>0</v>
      </c>
      <c r="O33" s="786">
        <f>IF(O$7="","",Inputs!O35*O$7)</f>
        <v>0</v>
      </c>
      <c r="P33" s="783">
        <f t="shared" si="14"/>
        <v>5500000</v>
      </c>
      <c r="Q33" s="711">
        <f>'Pro Forma Cap Table'!Q14</f>
        <v>3000000</v>
      </c>
      <c r="R33" s="712">
        <f t="shared" si="16"/>
        <v>9.6030729833546713E-2</v>
      </c>
      <c r="S33" s="712">
        <f>'Pro Forma Cap Table'!S14</f>
        <v>9.6030729833546741E-2</v>
      </c>
      <c r="T33" s="713">
        <f t="shared" si="15"/>
        <v>5500000</v>
      </c>
      <c r="V33" s="704"/>
      <c r="W33" s="669"/>
      <c r="X33" s="669"/>
      <c r="Y33" s="669"/>
    </row>
    <row r="34" spans="2:41" ht="12" customHeight="1" outlineLevel="1" x14ac:dyDescent="0.25">
      <c r="B34" s="705" t="str">
        <f>IF(Inputs!E36=0,Inputs!D36,CONCATENATE(Inputs!D36," (",Inputs!E36,")"))</f>
        <v>Inv F</v>
      </c>
      <c r="C34" s="782">
        <f>IF(C$7="","",Inputs!P36*C$7)</f>
        <v>0</v>
      </c>
      <c r="D34" s="782">
        <f>IF(D$7="","",Inputs!Q36*D$7)</f>
        <v>0</v>
      </c>
      <c r="E34" s="783">
        <f t="shared" si="13"/>
        <v>0</v>
      </c>
      <c r="F34" s="784">
        <f>IF(F$7="","",Inputs!F36*F$7)</f>
        <v>0</v>
      </c>
      <c r="G34" s="785">
        <f>IF(G$7="","",Inputs!G36*G$7)</f>
        <v>0</v>
      </c>
      <c r="H34" s="785">
        <f>IF(H$7="","",Inputs!H36*H$7)</f>
        <v>2500000</v>
      </c>
      <c r="I34" s="785">
        <f>IF(I$7="","",Inputs!I36*I$7)</f>
        <v>6666666.666666667</v>
      </c>
      <c r="J34" s="785">
        <f>IF(J$7="","",Inputs!J36*J$7)</f>
        <v>0</v>
      </c>
      <c r="K34" s="785">
        <f>IF(K$7="","",Inputs!K36*K$7)</f>
        <v>0</v>
      </c>
      <c r="L34" s="785">
        <f>IF(L$7="","",Inputs!L36*L$7)</f>
        <v>0</v>
      </c>
      <c r="M34" s="785">
        <f>IF(M$7="","",Inputs!M36*M$7)</f>
        <v>0</v>
      </c>
      <c r="N34" s="785">
        <f>IF(N$7="","",Inputs!N36*N$7)</f>
        <v>0</v>
      </c>
      <c r="O34" s="786">
        <f>IF(O$7="","",Inputs!O36*O$7)</f>
        <v>0</v>
      </c>
      <c r="P34" s="783">
        <f t="shared" si="14"/>
        <v>9166666.6666666679</v>
      </c>
      <c r="Q34" s="711">
        <f>'Pro Forma Cap Table'!Q15</f>
        <v>4333333.333333334</v>
      </c>
      <c r="R34" s="712">
        <f t="shared" si="16"/>
        <v>0.13871105420401195</v>
      </c>
      <c r="S34" s="712">
        <f>'Pro Forma Cap Table'!S15</f>
        <v>0.13871105420401197</v>
      </c>
      <c r="T34" s="713">
        <f t="shared" si="15"/>
        <v>9166666.6666666679</v>
      </c>
      <c r="V34" s="704"/>
      <c r="W34" s="669"/>
      <c r="X34" s="669"/>
      <c r="Y34" s="669"/>
    </row>
    <row r="35" spans="2:41" ht="12" customHeight="1" outlineLevel="1" x14ac:dyDescent="0.25">
      <c r="B35" s="705" t="str">
        <f>IF(Inputs!E37=0,Inputs!D37,CONCATENATE(Inputs!D37," (",Inputs!E37,")"))</f>
        <v>Inv G</v>
      </c>
      <c r="C35" s="782">
        <f>IF(C$7="","",Inputs!P37*C$7)</f>
        <v>0</v>
      </c>
      <c r="D35" s="782">
        <f>IF(D$7="","",Inputs!Q37*D$7)</f>
        <v>0</v>
      </c>
      <c r="E35" s="783">
        <f t="shared" si="13"/>
        <v>0</v>
      </c>
      <c r="F35" s="784">
        <f>IF(F$7="","",Inputs!F37*F$7)</f>
        <v>0</v>
      </c>
      <c r="G35" s="785">
        <f>IF(G$7="","",Inputs!G37*G$7)</f>
        <v>0</v>
      </c>
      <c r="H35" s="785">
        <f>IF(H$7="","",Inputs!H37*H$7)</f>
        <v>2500000</v>
      </c>
      <c r="I35" s="785">
        <f>IF(I$7="","",Inputs!I37*I$7)</f>
        <v>6666666.666666667</v>
      </c>
      <c r="J35" s="785">
        <f>IF(J$7="","",Inputs!J37*J$7)</f>
        <v>0</v>
      </c>
      <c r="K35" s="785">
        <f>IF(K$7="","",Inputs!K37*K$7)</f>
        <v>0</v>
      </c>
      <c r="L35" s="785">
        <f>IF(L$7="","",Inputs!L37*L$7)</f>
        <v>0</v>
      </c>
      <c r="M35" s="785">
        <f>IF(M$7="","",Inputs!M37*M$7)</f>
        <v>0</v>
      </c>
      <c r="N35" s="785">
        <f>IF(N$7="","",Inputs!N37*N$7)</f>
        <v>0</v>
      </c>
      <c r="O35" s="786">
        <f>IF(O$7="","",Inputs!O37*O$7)</f>
        <v>0</v>
      </c>
      <c r="P35" s="783">
        <f t="shared" si="14"/>
        <v>9166666.6666666679</v>
      </c>
      <c r="Q35" s="711">
        <f>'Pro Forma Cap Table'!Q16</f>
        <v>4333333.333333334</v>
      </c>
      <c r="R35" s="712">
        <f t="shared" si="16"/>
        <v>0.13871105420401195</v>
      </c>
      <c r="S35" s="712">
        <f>'Pro Forma Cap Table'!S16</f>
        <v>0.13871105420401197</v>
      </c>
      <c r="T35" s="713">
        <f t="shared" si="15"/>
        <v>9166666.6666666679</v>
      </c>
      <c r="V35" s="704"/>
      <c r="W35" s="669"/>
      <c r="X35" s="669"/>
      <c r="Y35" s="669"/>
    </row>
    <row r="36" spans="2:41" ht="12" customHeight="1" outlineLevel="1" x14ac:dyDescent="0.25">
      <c r="B36" s="705" t="str">
        <f>IF(Inputs!E38=0,Inputs!D38,CONCATENATE(Inputs!D38," (",Inputs!E38,")"))</f>
        <v>Inv H</v>
      </c>
      <c r="C36" s="782">
        <f>IF(C$7="","",Inputs!P38*C$7)</f>
        <v>0</v>
      </c>
      <c r="D36" s="782">
        <f>IF(D$7="","",Inputs!Q38*D$7)</f>
        <v>0</v>
      </c>
      <c r="E36" s="783">
        <f t="shared" si="13"/>
        <v>0</v>
      </c>
      <c r="F36" s="784">
        <f>IF(F$7="","",Inputs!F38*F$7)</f>
        <v>0</v>
      </c>
      <c r="G36" s="785">
        <f>IF(G$7="","",Inputs!G38*G$7)</f>
        <v>0</v>
      </c>
      <c r="H36" s="785">
        <f>IF(H$7="","",Inputs!H38*H$7)</f>
        <v>2500000</v>
      </c>
      <c r="I36" s="785">
        <f>IF(I$7="","",Inputs!I38*I$7)</f>
        <v>6666666.666666667</v>
      </c>
      <c r="J36" s="785">
        <f>IF(J$7="","",Inputs!J38*J$7)</f>
        <v>0</v>
      </c>
      <c r="K36" s="785">
        <f>IF(K$7="","",Inputs!K38*K$7)</f>
        <v>0</v>
      </c>
      <c r="L36" s="785">
        <f>IF(L$7="","",Inputs!L38*L$7)</f>
        <v>0</v>
      </c>
      <c r="M36" s="785">
        <f>IF(M$7="","",Inputs!M38*M$7)</f>
        <v>0</v>
      </c>
      <c r="N36" s="785">
        <f>IF(N$7="","",Inputs!N38*N$7)</f>
        <v>0</v>
      </c>
      <c r="O36" s="786">
        <f>IF(O$7="","",Inputs!O38*O$7)</f>
        <v>0</v>
      </c>
      <c r="P36" s="783">
        <f t="shared" si="14"/>
        <v>9166666.6666666679</v>
      </c>
      <c r="Q36" s="711">
        <f>'Pro Forma Cap Table'!Q17</f>
        <v>4333333.333333334</v>
      </c>
      <c r="R36" s="712">
        <f t="shared" si="16"/>
        <v>0.13871105420401195</v>
      </c>
      <c r="S36" s="712">
        <f>'Pro Forma Cap Table'!S17</f>
        <v>0.13871105420401197</v>
      </c>
      <c r="T36" s="713">
        <f t="shared" si="15"/>
        <v>9166666.6666666679</v>
      </c>
      <c r="V36" s="669"/>
      <c r="W36" s="669"/>
      <c r="X36" s="669"/>
      <c r="Y36" s="669"/>
    </row>
    <row r="37" spans="2:41" outlineLevel="1" x14ac:dyDescent="0.25">
      <c r="B37" s="705" t="str">
        <f>Inputs!D39</f>
        <v>Other Investors</v>
      </c>
      <c r="C37" s="787">
        <f>IF(C$7="","",Inputs!P39*C$7)</f>
        <v>0</v>
      </c>
      <c r="D37" s="787">
        <f>IF(D$7="","",Inputs!Q39*D$7)</f>
        <v>0</v>
      </c>
      <c r="E37" s="788">
        <f t="shared" si="13"/>
        <v>0</v>
      </c>
      <c r="F37" s="789">
        <f>IF(F$7="","",Inputs!F39*F$7)</f>
        <v>0</v>
      </c>
      <c r="G37" s="790">
        <f>IF(G$7="","",Inputs!G39*G$7)</f>
        <v>0</v>
      </c>
      <c r="H37" s="790">
        <f>IF(H$7="","",Inputs!H39*H$7)</f>
        <v>0</v>
      </c>
      <c r="I37" s="790">
        <f>IF(I$7="","",Inputs!I39*I$7)</f>
        <v>0</v>
      </c>
      <c r="J37" s="790">
        <f>IF(J$7="","",Inputs!J39*J$7)</f>
        <v>0</v>
      </c>
      <c r="K37" s="790">
        <f>IF(K$7="","",Inputs!K39*K$7)</f>
        <v>0</v>
      </c>
      <c r="L37" s="790">
        <f>IF(L$7="","",Inputs!L39*L$7)</f>
        <v>0</v>
      </c>
      <c r="M37" s="790">
        <f>IF(M$7="","",Inputs!M39*M$7)</f>
        <v>0</v>
      </c>
      <c r="N37" s="790">
        <f>IF(N$7="","",Inputs!N39*N$7)</f>
        <v>0</v>
      </c>
      <c r="O37" s="791">
        <f>IF(O$7="","",Inputs!O39*O$7)</f>
        <v>0</v>
      </c>
      <c r="P37" s="792">
        <f t="shared" si="14"/>
        <v>0</v>
      </c>
      <c r="Q37" s="721">
        <f>'Pro Forma Cap Table'!Q18</f>
        <v>0</v>
      </c>
      <c r="R37" s="722">
        <f t="shared" si="16"/>
        <v>0</v>
      </c>
      <c r="S37" s="722">
        <f>'Pro Forma Cap Table'!S18</f>
        <v>0</v>
      </c>
      <c r="T37" s="793">
        <f t="shared" si="15"/>
        <v>0</v>
      </c>
      <c r="V37" s="669"/>
      <c r="W37" s="669"/>
      <c r="X37" s="669"/>
      <c r="Y37" s="669"/>
    </row>
    <row r="38" spans="2:41" ht="15.75" outlineLevel="1" thickBot="1" x14ac:dyDescent="0.3">
      <c r="B38" s="724" t="s">
        <v>54</v>
      </c>
      <c r="C38" s="794">
        <f>C19*Inputs!$K$20</f>
        <v>0</v>
      </c>
      <c r="D38" s="795">
        <f>D19*Inputs!$K$20</f>
        <v>0</v>
      </c>
      <c r="E38" s="796"/>
      <c r="F38" s="797">
        <f>F19*Inputs!O10</f>
        <v>10000</v>
      </c>
      <c r="G38" s="798">
        <f>G19*Inputs!$O11</f>
        <v>10000</v>
      </c>
      <c r="H38" s="798">
        <f>H19*Inputs!$O12</f>
        <v>10000</v>
      </c>
      <c r="I38" s="798">
        <f>I19*Inputs!$O13</f>
        <v>10000</v>
      </c>
      <c r="J38" s="798">
        <f>J19*Inputs!$O14</f>
        <v>0</v>
      </c>
      <c r="K38" s="798">
        <f>K19*Inputs!$O15</f>
        <v>0</v>
      </c>
      <c r="L38" s="798">
        <f>L19*Inputs!$O16</f>
        <v>0</v>
      </c>
      <c r="M38" s="798">
        <f>M19*Inputs!$O17</f>
        <v>0</v>
      </c>
      <c r="N38" s="798">
        <f>N19*Inputs!$O18</f>
        <v>0</v>
      </c>
      <c r="O38" s="799">
        <f>O19*Inputs!$O19</f>
        <v>0</v>
      </c>
      <c r="P38" s="730">
        <f t="shared" si="14"/>
        <v>40000</v>
      </c>
      <c r="Q38" s="721">
        <f>'Pro Forma Cap Table'!Q19</f>
        <v>40000</v>
      </c>
      <c r="R38" s="722">
        <f t="shared" si="16"/>
        <v>1.2804097311139562E-3</v>
      </c>
      <c r="S38" s="722">
        <f>'Pro Forma Cap Table'!S19</f>
        <v>1.2804097311139564E-3</v>
      </c>
      <c r="T38" s="796">
        <f>SUM(F38:O38)</f>
        <v>40000</v>
      </c>
      <c r="V38" s="669"/>
      <c r="W38" s="669"/>
      <c r="X38" s="669"/>
      <c r="Y38" s="669"/>
    </row>
    <row r="39" spans="2:41" outlineLevel="1" x14ac:dyDescent="0.25">
      <c r="B39" s="731" t="s">
        <v>35</v>
      </c>
      <c r="C39" s="800">
        <f>SUM(C29:C37)</f>
        <v>0</v>
      </c>
      <c r="D39" s="801">
        <f>SUM(D29:D37)</f>
        <v>0</v>
      </c>
      <c r="E39" s="739">
        <f>SUM(E29:E37)</f>
        <v>0</v>
      </c>
      <c r="F39" s="802">
        <f t="shared" ref="F39:R39" si="17">SUM(F29:F38)</f>
        <v>5010000</v>
      </c>
      <c r="G39" s="803">
        <f t="shared" si="17"/>
        <v>10010000</v>
      </c>
      <c r="H39" s="803">
        <f t="shared" si="17"/>
        <v>15010000</v>
      </c>
      <c r="I39" s="803">
        <f t="shared" si="17"/>
        <v>20010000</v>
      </c>
      <c r="J39" s="803">
        <f t="shared" si="17"/>
        <v>0</v>
      </c>
      <c r="K39" s="803">
        <f t="shared" si="17"/>
        <v>0</v>
      </c>
      <c r="L39" s="803">
        <f t="shared" si="17"/>
        <v>0</v>
      </c>
      <c r="M39" s="803">
        <f t="shared" si="17"/>
        <v>0</v>
      </c>
      <c r="N39" s="803">
        <f t="shared" si="17"/>
        <v>0</v>
      </c>
      <c r="O39" s="801">
        <f t="shared" si="17"/>
        <v>0</v>
      </c>
      <c r="P39" s="739">
        <f>SUM(P29:P38)</f>
        <v>50040000</v>
      </c>
      <c r="Q39" s="737">
        <f t="shared" si="17"/>
        <v>26040000.000000007</v>
      </c>
      <c r="R39" s="738">
        <f t="shared" si="17"/>
        <v>0.83354673495518561</v>
      </c>
      <c r="S39" s="738">
        <f>SUM(S29:S38)</f>
        <v>0.83354673495518583</v>
      </c>
      <c r="T39" s="739">
        <f t="shared" ref="T39" si="18">SUM(T29:T38)</f>
        <v>50040000</v>
      </c>
      <c r="W39" s="669"/>
      <c r="X39" s="669"/>
      <c r="Y39" s="669"/>
    </row>
    <row r="40" spans="2:41" outlineLevel="1" x14ac:dyDescent="0.25">
      <c r="B40" s="705"/>
      <c r="C40" s="804"/>
      <c r="D40" s="805"/>
      <c r="E40" s="746"/>
      <c r="F40" s="743"/>
      <c r="G40" s="740"/>
      <c r="H40" s="740"/>
      <c r="I40" s="740"/>
      <c r="J40" s="740"/>
      <c r="K40" s="740"/>
      <c r="L40" s="740"/>
      <c r="M40" s="740"/>
      <c r="N40" s="740"/>
      <c r="O40" s="741"/>
      <c r="P40" s="742"/>
      <c r="Q40" s="744"/>
      <c r="R40" s="745"/>
      <c r="S40" s="745"/>
      <c r="T40" s="746"/>
      <c r="U40" s="663"/>
      <c r="Z40" s="663"/>
    </row>
    <row r="41" spans="2:41" outlineLevel="1" x14ac:dyDescent="0.25">
      <c r="B41" s="705" t="str">
        <f>Inputs!D40</f>
        <v>Management</v>
      </c>
      <c r="C41" s="806">
        <f>IF(C$7=0,0,Inputs!M22*C7)</f>
        <v>5.2000000000000005E-2</v>
      </c>
      <c r="D41" s="807">
        <f>IF(D$7=0,0,Inputs!M23*D7)</f>
        <v>0</v>
      </c>
      <c r="E41" s="746">
        <f>SUM(C41:D41)</f>
        <v>5.2000000000000005E-2</v>
      </c>
      <c r="F41" s="808">
        <f>IF(F$7=0,0,Inputs!F40*F$7)</f>
        <v>0</v>
      </c>
      <c r="G41" s="808">
        <f>IF(G$7=0,0,Inputs!G40*G$7)</f>
        <v>0</v>
      </c>
      <c r="H41" s="808">
        <f>IF(H$7=0,0,Inputs!H40*H$7)</f>
        <v>0</v>
      </c>
      <c r="I41" s="808">
        <f>IF(I$7=0,0,Inputs!I40*I$7)</f>
        <v>0</v>
      </c>
      <c r="J41" s="808">
        <f>IF(J$7=0,0,Inputs!J40*J$7)</f>
        <v>0</v>
      </c>
      <c r="K41" s="808">
        <f>IF(K$7=0,0,Inputs!K40*K$7)</f>
        <v>0</v>
      </c>
      <c r="L41" s="808">
        <f>IF(L$7=0,0,Inputs!L40*L$7)</f>
        <v>0</v>
      </c>
      <c r="M41" s="808">
        <f>IF(M$7=0,0,Inputs!M40*M$7)</f>
        <v>0</v>
      </c>
      <c r="N41" s="808">
        <f>IF(N$7=0,0,Inputs!N40*N$7)</f>
        <v>0</v>
      </c>
      <c r="O41" s="807">
        <f>IF(O$7=0,0,Inputs!O40*O$7)</f>
        <v>0</v>
      </c>
      <c r="P41" s="742">
        <f>SUM(F41:O41)</f>
        <v>0</v>
      </c>
      <c r="Q41" s="744">
        <f>Q22</f>
        <v>5200000</v>
      </c>
      <c r="R41" s="745">
        <f>Q41/Q$26</f>
        <v>0.16645326504481431</v>
      </c>
      <c r="S41" s="745">
        <f>'Pro Forma Cap Table'!S22</f>
        <v>0.16645326504481434</v>
      </c>
      <c r="T41" s="750">
        <f>T22</f>
        <v>0</v>
      </c>
      <c r="U41" s="663"/>
      <c r="Z41" s="663"/>
    </row>
    <row r="42" spans="2:41" ht="15.75" outlineLevel="1" thickBot="1" x14ac:dyDescent="0.3">
      <c r="B42" s="751"/>
      <c r="C42" s="809"/>
      <c r="D42" s="810"/>
      <c r="E42" s="746"/>
      <c r="F42" s="811"/>
      <c r="G42" s="809"/>
      <c r="H42" s="809"/>
      <c r="I42" s="809"/>
      <c r="J42" s="809"/>
      <c r="K42" s="809"/>
      <c r="L42" s="809"/>
      <c r="M42" s="809"/>
      <c r="N42" s="809"/>
      <c r="O42" s="810"/>
      <c r="P42" s="730"/>
      <c r="Q42" s="755"/>
      <c r="R42" s="745"/>
      <c r="S42" s="745"/>
      <c r="T42" s="756"/>
      <c r="U42" s="663"/>
      <c r="Z42" s="663"/>
    </row>
    <row r="43" spans="2:41" outlineLevel="1" x14ac:dyDescent="0.25">
      <c r="B43" s="757" t="s">
        <v>36</v>
      </c>
      <c r="C43" s="800">
        <f t="shared" ref="C43:T43" si="19">SUM(C41:C42)</f>
        <v>5.2000000000000005E-2</v>
      </c>
      <c r="D43" s="801">
        <f t="shared" si="19"/>
        <v>0</v>
      </c>
      <c r="E43" s="739">
        <f t="shared" si="19"/>
        <v>5.2000000000000005E-2</v>
      </c>
      <c r="F43" s="802">
        <f t="shared" si="19"/>
        <v>0</v>
      </c>
      <c r="G43" s="803">
        <f t="shared" si="19"/>
        <v>0</v>
      </c>
      <c r="H43" s="803">
        <f t="shared" si="19"/>
        <v>0</v>
      </c>
      <c r="I43" s="803">
        <f t="shared" si="19"/>
        <v>0</v>
      </c>
      <c r="J43" s="803">
        <f t="shared" si="19"/>
        <v>0</v>
      </c>
      <c r="K43" s="803">
        <f t="shared" si="19"/>
        <v>0</v>
      </c>
      <c r="L43" s="803">
        <f t="shared" si="19"/>
        <v>0</v>
      </c>
      <c r="M43" s="803">
        <f t="shared" si="19"/>
        <v>0</v>
      </c>
      <c r="N43" s="803">
        <f t="shared" si="19"/>
        <v>0</v>
      </c>
      <c r="O43" s="801">
        <f t="shared" si="19"/>
        <v>0</v>
      </c>
      <c r="P43" s="734">
        <f>SUM(P41:P42)</f>
        <v>0</v>
      </c>
      <c r="Q43" s="744">
        <f t="shared" si="19"/>
        <v>5200000</v>
      </c>
      <c r="R43" s="738">
        <f t="shared" si="19"/>
        <v>0.16645326504481431</v>
      </c>
      <c r="S43" s="738">
        <f t="shared" si="19"/>
        <v>0.16645326504481434</v>
      </c>
      <c r="T43" s="750">
        <f t="shared" si="19"/>
        <v>0</v>
      </c>
      <c r="U43" s="663"/>
      <c r="Z43" s="663"/>
    </row>
    <row r="44" spans="2:41" ht="15.75" outlineLevel="1" thickBot="1" x14ac:dyDescent="0.3">
      <c r="B44" s="705"/>
      <c r="C44" s="812"/>
      <c r="D44" s="813"/>
      <c r="E44" s="746"/>
      <c r="F44" s="760"/>
      <c r="G44" s="758"/>
      <c r="H44" s="758"/>
      <c r="I44" s="758"/>
      <c r="J44" s="758"/>
      <c r="K44" s="758"/>
      <c r="L44" s="758"/>
      <c r="M44" s="758"/>
      <c r="N44" s="758"/>
      <c r="O44" s="759"/>
      <c r="P44" s="742"/>
      <c r="Q44" s="744"/>
      <c r="R44" s="745"/>
      <c r="S44" s="745"/>
      <c r="T44" s="750"/>
      <c r="U44" s="663"/>
      <c r="Z44" s="663"/>
    </row>
    <row r="45" spans="2:41" ht="15" customHeight="1" thickBot="1" x14ac:dyDescent="0.3">
      <c r="B45" s="761" t="s">
        <v>9</v>
      </c>
      <c r="C45" s="814">
        <f>C2120*C7</f>
        <v>5.2000000000000005E-2</v>
      </c>
      <c r="D45" s="815">
        <f>D2120*D7</f>
        <v>0</v>
      </c>
      <c r="E45" s="816">
        <f>SUM(C45:D45)</f>
        <v>5.2000000000000005E-2</v>
      </c>
      <c r="F45" s="817">
        <f t="shared" ref="F45:O45" si="20">IF(F7=0,"N/A",F$2120*F$7)</f>
        <v>5010000</v>
      </c>
      <c r="G45" s="818">
        <f t="shared" si="20"/>
        <v>10020000</v>
      </c>
      <c r="H45" s="818">
        <f t="shared" si="20"/>
        <v>15025000</v>
      </c>
      <c r="I45" s="818">
        <f t="shared" si="20"/>
        <v>20020000</v>
      </c>
      <c r="J45" s="818" t="str">
        <f t="shared" si="20"/>
        <v>N/A</v>
      </c>
      <c r="K45" s="818" t="str">
        <f t="shared" si="20"/>
        <v>N/A</v>
      </c>
      <c r="L45" s="818" t="str">
        <f t="shared" si="20"/>
        <v>N/A</v>
      </c>
      <c r="M45" s="818" t="str">
        <f t="shared" si="20"/>
        <v>N/A</v>
      </c>
      <c r="N45" s="818" t="str">
        <f t="shared" si="20"/>
        <v>N/A</v>
      </c>
      <c r="O45" s="815" t="str">
        <f t="shared" si="20"/>
        <v>N/A</v>
      </c>
      <c r="P45" s="816">
        <f>SUM(F45:O45)</f>
        <v>50075000</v>
      </c>
      <c r="Q45" s="817"/>
      <c r="R45" s="768">
        <f t="shared" ref="R45:S45" si="21">R39+R43</f>
        <v>0.99999999999999989</v>
      </c>
      <c r="S45" s="768">
        <f t="shared" si="21"/>
        <v>1.0000000000000002</v>
      </c>
      <c r="T45" s="769">
        <f>T39+T43</f>
        <v>50040000</v>
      </c>
      <c r="U45" s="663"/>
      <c r="Z45" s="663"/>
    </row>
    <row r="46" spans="2:41" ht="15.75" thickBot="1" x14ac:dyDescent="0.3">
      <c r="C46" s="819"/>
      <c r="D46" s="820" t="s">
        <v>43</v>
      </c>
      <c r="E46" s="821"/>
      <c r="F46" s="822" t="str">
        <f t="array" ref="F46:O46">IF(TRANSPOSE(Inputs!F$10:F$19)=0,"N/A",TRANSPOSE(Inputs!F$10:F$19))</f>
        <v>N/A</v>
      </c>
      <c r="G46" s="818" t="str">
        <v>N/A</v>
      </c>
      <c r="H46" s="818" t="str">
        <v>N/A</v>
      </c>
      <c r="I46" s="818" t="str">
        <v>N/A</v>
      </c>
      <c r="J46" s="818" t="str">
        <v>N/A</v>
      </c>
      <c r="K46" s="818" t="str">
        <v>N/A</v>
      </c>
      <c r="L46" s="818" t="str">
        <v>N/A</v>
      </c>
      <c r="M46" s="818" t="str">
        <v>N/A</v>
      </c>
      <c r="N46" s="818" t="str">
        <v>N/A</v>
      </c>
      <c r="O46" s="815" t="str">
        <v>N/A</v>
      </c>
      <c r="Q46" s="823" t="s">
        <v>66</v>
      </c>
      <c r="R46" s="824"/>
      <c r="S46" s="824"/>
      <c r="T46" s="825">
        <f>F2121*F47+G2121*G47+H2121*H47+I2121*I47+J2121*J47+K2121*K47+L2121*L47+M2121*M47+N2121*N47+O2121*O47</f>
        <v>50075000</v>
      </c>
      <c r="U46" s="663"/>
      <c r="Z46" s="663"/>
    </row>
    <row r="47" spans="2:41" ht="14.25" customHeight="1" x14ac:dyDescent="0.25">
      <c r="B47" s="669"/>
      <c r="C47" s="819"/>
      <c r="D47" s="826" t="s">
        <v>61</v>
      </c>
      <c r="E47" s="827"/>
      <c r="F47" s="828">
        <f t="array" ref="F47:O47">IF(TRANSPOSE(Inputs!G$10:G$19)=0,0,TRANSPOSE(Inputs!G$10:G$19))</f>
        <v>1</v>
      </c>
      <c r="G47" s="829">
        <v>1</v>
      </c>
      <c r="H47" s="829">
        <v>1</v>
      </c>
      <c r="I47" s="829">
        <v>1</v>
      </c>
      <c r="J47" s="830">
        <v>1</v>
      </c>
      <c r="K47" s="830">
        <v>1</v>
      </c>
      <c r="L47" s="830">
        <v>1</v>
      </c>
      <c r="M47" s="830">
        <v>1</v>
      </c>
      <c r="N47" s="830">
        <v>1</v>
      </c>
      <c r="O47" s="831">
        <v>1</v>
      </c>
      <c r="P47" s="669"/>
      <c r="Q47" s="823" t="str">
        <f>IF(G7=0,F6,IF(H7=0,G6,IF(I7=0,H6,IF(J7=0,I6,IF(K7=0,J6,IF(L7=0,K6,IF(M7=0,L6,IF(N7=0,M6,IF(O7=0,N6,O6)))))))))</f>
        <v>Series D</v>
      </c>
      <c r="R47" s="832" t="s">
        <v>70</v>
      </c>
      <c r="S47" s="833"/>
      <c r="T47" s="834">
        <f>R48*Q26</f>
        <v>62480000.000000015</v>
      </c>
      <c r="U47" s="663"/>
      <c r="Z47" s="663"/>
      <c r="AA47" s="663"/>
      <c r="AO47" s="669"/>
    </row>
    <row r="48" spans="2:41" s="669" customFormat="1" ht="15.75" thickBot="1" x14ac:dyDescent="0.3">
      <c r="C48" s="819"/>
      <c r="D48" s="835" t="s">
        <v>45</v>
      </c>
      <c r="E48" s="836"/>
      <c r="F48" s="837">
        <f t="array" ref="F48:O48">IF(TRANSPOSE(Inputs!H$10:H$19)=0,0,TRANSPOSE(Inputs!H$10:H$19))</f>
        <v>2</v>
      </c>
      <c r="G48" s="838">
        <v>2</v>
      </c>
      <c r="H48" s="838">
        <v>2</v>
      </c>
      <c r="I48" s="838">
        <v>2</v>
      </c>
      <c r="J48" s="839">
        <v>2</v>
      </c>
      <c r="K48" s="839">
        <v>2</v>
      </c>
      <c r="L48" s="839">
        <v>2</v>
      </c>
      <c r="M48" s="839">
        <v>2</v>
      </c>
      <c r="N48" s="839">
        <v>2</v>
      </c>
      <c r="O48" s="840">
        <v>2</v>
      </c>
      <c r="Q48" s="841" t="s">
        <v>32</v>
      </c>
      <c r="R48" s="842">
        <f>IF(G7=0,F7,IF(H7=0,G7,IF(I7=0,H7,IF(J7=0,I7,IF(K7=0,J7,IF(L7=0,K7,IF(M7=0,L7,IF(N7=0,M7,IF(O7=0,N7,O7)))))))))</f>
        <v>2</v>
      </c>
      <c r="S48" s="843" t="s">
        <v>34</v>
      </c>
      <c r="T48" s="844"/>
      <c r="U48" s="663"/>
    </row>
    <row r="49" spans="2:21" s="669" customFormat="1" ht="15.75" thickBot="1" x14ac:dyDescent="0.3">
      <c r="C49" s="819"/>
      <c r="D49" s="835" t="s">
        <v>53</v>
      </c>
      <c r="E49" s="836"/>
      <c r="F49" s="845" t="str">
        <f t="shared" ref="F49:O49" si="22">IF(F47=0,"",IF(F48&lt;=F47,"No","Yes"))</f>
        <v>Yes</v>
      </c>
      <c r="G49" s="846" t="str">
        <f t="shared" si="22"/>
        <v>Yes</v>
      </c>
      <c r="H49" s="846" t="str">
        <f t="shared" si="22"/>
        <v>Yes</v>
      </c>
      <c r="I49" s="846" t="str">
        <f t="shared" si="22"/>
        <v>Yes</v>
      </c>
      <c r="J49" s="847" t="str">
        <f t="shared" si="22"/>
        <v>Yes</v>
      </c>
      <c r="K49" s="847" t="str">
        <f t="shared" si="22"/>
        <v>Yes</v>
      </c>
      <c r="L49" s="847" t="str">
        <f t="shared" si="22"/>
        <v>Yes</v>
      </c>
      <c r="M49" s="847" t="str">
        <f t="shared" si="22"/>
        <v>Yes</v>
      </c>
      <c r="N49" s="847" t="str">
        <f t="shared" si="22"/>
        <v>Yes</v>
      </c>
      <c r="O49" s="848" t="str">
        <f t="shared" si="22"/>
        <v>Yes</v>
      </c>
      <c r="Q49" s="849" t="s">
        <v>46</v>
      </c>
      <c r="R49" s="850"/>
      <c r="S49" s="850"/>
      <c r="T49" s="851"/>
      <c r="U49" s="663"/>
    </row>
    <row r="50" spans="2:21" s="669" customFormat="1" x14ac:dyDescent="0.25">
      <c r="C50" s="819"/>
      <c r="D50" s="835" t="s">
        <v>62</v>
      </c>
      <c r="E50" s="836"/>
      <c r="F50" s="852">
        <f t="array" ref="F50:O50">IF(TRANSPOSE(Inputs!I$10:I$19)=0,"",TRANSPOSE(Inputs!I$10:I$19))</f>
        <v>10</v>
      </c>
      <c r="G50" s="853">
        <v>10</v>
      </c>
      <c r="H50" s="853">
        <v>2</v>
      </c>
      <c r="I50" s="853">
        <v>1</v>
      </c>
      <c r="J50" s="854">
        <v>10</v>
      </c>
      <c r="K50" s="854">
        <v>10</v>
      </c>
      <c r="L50" s="854">
        <v>10</v>
      </c>
      <c r="M50" s="854">
        <v>10</v>
      </c>
      <c r="N50" s="854">
        <v>10</v>
      </c>
      <c r="O50" s="855">
        <v>10</v>
      </c>
      <c r="Q50" s="984" t="str">
        <f>IF(Inputs!E45="Text Here","HIDE ROW", CONCATENATE(Inputs!D45, Inputs!E45))</f>
        <v>*</v>
      </c>
      <c r="R50" s="985"/>
      <c r="S50" s="985"/>
      <c r="T50" s="986"/>
      <c r="U50" s="663"/>
    </row>
    <row r="51" spans="2:21" s="669" customFormat="1" ht="15.75" thickBot="1" x14ac:dyDescent="0.3">
      <c r="D51" s="856" t="s">
        <v>58</v>
      </c>
      <c r="E51" s="857"/>
      <c r="F51" s="858">
        <f t="array" ref="F51:O51">IF(TRANSPOSE(Inputs!J$10:J$19)=0,0,TRANSPOSE(Inputs!J$10:J$19))</f>
        <v>1</v>
      </c>
      <c r="G51" s="859">
        <v>1</v>
      </c>
      <c r="H51" s="859">
        <v>1</v>
      </c>
      <c r="I51" s="859">
        <v>1</v>
      </c>
      <c r="J51" s="860">
        <v>1</v>
      </c>
      <c r="K51" s="860">
        <v>1</v>
      </c>
      <c r="L51" s="860">
        <v>1</v>
      </c>
      <c r="M51" s="860">
        <v>1</v>
      </c>
      <c r="N51" s="860">
        <v>1</v>
      </c>
      <c r="O51" s="861">
        <v>1</v>
      </c>
      <c r="Q51" s="978" t="str">
        <f>IF(Inputs!E46="Text Here","HIDE ROW", CONCATENATE(Inputs!D46, Inputs!E46))</f>
        <v>**</v>
      </c>
      <c r="R51" s="979"/>
      <c r="S51" s="979"/>
      <c r="T51" s="980"/>
    </row>
    <row r="52" spans="2:21" s="669" customFormat="1" x14ac:dyDescent="0.25">
      <c r="Q52" s="978" t="str">
        <f>IF(Inputs!E47="Text Here","HIDE ROW", CONCATENATE(Inputs!D47," ",Inputs!E47))</f>
        <v xml:space="preserve">*** </v>
      </c>
      <c r="R52" s="979"/>
      <c r="S52" s="979"/>
      <c r="T52" s="980"/>
    </row>
    <row r="53" spans="2:21" s="669" customFormat="1" ht="15.75" thickBot="1" x14ac:dyDescent="0.3">
      <c r="F53" s="862">
        <f>SUM(F2121:O2121)</f>
        <v>50075000</v>
      </c>
      <c r="P53" s="663"/>
      <c r="Q53" s="981" t="str">
        <f>IF(Inputs!E48="Text Here","HIDE ROW", CONCATENATE(Inputs!D48," ",Inputs!E48))</f>
        <v xml:space="preserve">**** </v>
      </c>
      <c r="R53" s="982"/>
      <c r="S53" s="982"/>
      <c r="T53" s="983"/>
    </row>
    <row r="54" spans="2:21" s="669" customFormat="1" x14ac:dyDescent="0.25">
      <c r="P54" s="663"/>
    </row>
    <row r="55" spans="2:21" s="669" customFormat="1" x14ac:dyDescent="0.25">
      <c r="B55" s="863" t="s">
        <v>116</v>
      </c>
      <c r="C55" s="864">
        <v>40999</v>
      </c>
      <c r="P55" s="663"/>
    </row>
    <row r="56" spans="2:21" s="669" customFormat="1" ht="15.75" thickBot="1" x14ac:dyDescent="0.3">
      <c r="B56" s="865" t="s">
        <v>117</v>
      </c>
      <c r="C56" s="866">
        <v>180</v>
      </c>
      <c r="P56" s="663"/>
    </row>
    <row r="57" spans="2:21" s="669" customFormat="1" x14ac:dyDescent="0.25">
      <c r="P57" s="663"/>
    </row>
    <row r="58" spans="2:21" s="669" customFormat="1" x14ac:dyDescent="0.25">
      <c r="P58" s="663"/>
    </row>
    <row r="59" spans="2:21" s="669" customFormat="1" hidden="1" x14ac:dyDescent="0.25">
      <c r="P59" s="663"/>
    </row>
    <row r="60" spans="2:21" s="669" customFormat="1" hidden="1" x14ac:dyDescent="0.25">
      <c r="P60" s="663"/>
    </row>
    <row r="61" spans="2:21" s="669" customFormat="1" hidden="1" x14ac:dyDescent="0.25">
      <c r="E61" s="669" t="s">
        <v>81</v>
      </c>
      <c r="F61" s="867">
        <f>Inputs!$O10</f>
        <v>1</v>
      </c>
      <c r="G61" s="867">
        <f>Inputs!$O11</f>
        <v>1</v>
      </c>
      <c r="H61" s="867">
        <f>Inputs!$O12</f>
        <v>1</v>
      </c>
      <c r="I61" s="867">
        <f>Inputs!$O13</f>
        <v>1</v>
      </c>
      <c r="J61" s="867">
        <f>Inputs!$O14</f>
        <v>0</v>
      </c>
      <c r="K61" s="867">
        <f>Inputs!$O15</f>
        <v>0</v>
      </c>
      <c r="L61" s="867">
        <f>Inputs!$O16</f>
        <v>0</v>
      </c>
      <c r="M61" s="867">
        <f>Inputs!$O17</f>
        <v>0</v>
      </c>
      <c r="N61" s="867">
        <f>Inputs!$O18</f>
        <v>0</v>
      </c>
      <c r="O61" s="867">
        <f>Inputs!$O19</f>
        <v>0</v>
      </c>
    </row>
    <row r="62" spans="2:21" s="669" customFormat="1" hidden="1" x14ac:dyDescent="0.25">
      <c r="E62" s="669" t="s">
        <v>82</v>
      </c>
      <c r="F62" s="868">
        <f>F47*SUM(F10:F18)*F7</f>
        <v>5000000</v>
      </c>
      <c r="G62" s="868">
        <f t="shared" ref="G62:O62" si="23">G47*SUM(G10:G18)*G7</f>
        <v>10000000</v>
      </c>
      <c r="H62" s="868">
        <f t="shared" si="23"/>
        <v>15000000</v>
      </c>
      <c r="I62" s="868">
        <f t="shared" si="23"/>
        <v>20000000</v>
      </c>
      <c r="J62" s="868">
        <f t="shared" si="23"/>
        <v>0</v>
      </c>
      <c r="K62" s="868">
        <f t="shared" si="23"/>
        <v>0</v>
      </c>
      <c r="L62" s="868">
        <f t="shared" si="23"/>
        <v>0</v>
      </c>
      <c r="M62" s="868">
        <f t="shared" si="23"/>
        <v>0</v>
      </c>
      <c r="N62" s="868">
        <f t="shared" si="23"/>
        <v>0</v>
      </c>
      <c r="O62" s="868">
        <f t="shared" si="23"/>
        <v>0</v>
      </c>
    </row>
    <row r="63" spans="2:21" s="669" customFormat="1" hidden="1" x14ac:dyDescent="0.25">
      <c r="E63" s="669" t="s">
        <v>83</v>
      </c>
      <c r="F63" s="868">
        <f>MAX(0,(F47*F61*F19-F7*F19))</f>
        <v>0</v>
      </c>
      <c r="G63" s="868">
        <f t="shared" ref="G63:O63" si="24">MAX(0,(G47*G61*G19-G7*G19))</f>
        <v>0</v>
      </c>
      <c r="H63" s="868">
        <f t="shared" si="24"/>
        <v>0</v>
      </c>
      <c r="I63" s="868">
        <f t="shared" si="24"/>
        <v>0</v>
      </c>
      <c r="J63" s="868">
        <f t="shared" si="24"/>
        <v>0</v>
      </c>
      <c r="K63" s="868">
        <f t="shared" si="24"/>
        <v>0</v>
      </c>
      <c r="L63" s="868">
        <f>MAX(0,(L47*L61*L19-L7*L19))</f>
        <v>0</v>
      </c>
      <c r="M63" s="868">
        <f t="shared" si="24"/>
        <v>0</v>
      </c>
      <c r="N63" s="868">
        <f t="shared" si="24"/>
        <v>0</v>
      </c>
      <c r="O63" s="868">
        <f t="shared" si="24"/>
        <v>0</v>
      </c>
    </row>
    <row r="64" spans="2:21" s="669" customFormat="1" hidden="1" x14ac:dyDescent="0.25"/>
    <row r="65" spans="2:15" s="669" customFormat="1" hidden="1" x14ac:dyDescent="0.25"/>
    <row r="66" spans="2:15" s="669" customFormat="1" hidden="1" x14ac:dyDescent="0.25">
      <c r="F66" s="869" t="str">
        <f>B129</f>
        <v>Series A</v>
      </c>
      <c r="G66" s="869" t="str">
        <f>B130</f>
        <v>Series B</v>
      </c>
      <c r="H66" s="869" t="str">
        <f>B131</f>
        <v>Series C</v>
      </c>
      <c r="I66" s="869" t="str">
        <f>B132</f>
        <v>Series D</v>
      </c>
      <c r="J66" s="869" t="str">
        <f>B133</f>
        <v>-</v>
      </c>
      <c r="K66" s="869" t="str">
        <f>B134</f>
        <v>-</v>
      </c>
      <c r="L66" s="869" t="str">
        <f>B135</f>
        <v>-</v>
      </c>
      <c r="M66" s="869" t="str">
        <f>B136</f>
        <v>-</v>
      </c>
      <c r="N66" s="869" t="str">
        <f>B137</f>
        <v>-</v>
      </c>
      <c r="O66" s="869" t="str">
        <f>B138</f>
        <v>-</v>
      </c>
    </row>
    <row r="67" spans="2:15" s="669" customFormat="1" hidden="1" x14ac:dyDescent="0.25"/>
    <row r="68" spans="2:15" s="669" customFormat="1" hidden="1" x14ac:dyDescent="0.25"/>
    <row r="69" spans="2:15" s="669" customFormat="1" hidden="1" x14ac:dyDescent="0.25"/>
    <row r="70" spans="2:15" s="669" customFormat="1" hidden="1" x14ac:dyDescent="0.25"/>
    <row r="71" spans="2:15" s="669" customFormat="1" hidden="1" x14ac:dyDescent="0.25"/>
    <row r="72" spans="2:15" s="669" customFormat="1" hidden="1" x14ac:dyDescent="0.25"/>
    <row r="73" spans="2:15" s="669" customFormat="1" hidden="1" x14ac:dyDescent="0.25"/>
    <row r="74" spans="2:15" s="669" customFormat="1" hidden="1" x14ac:dyDescent="0.25"/>
    <row r="75" spans="2:15" s="669" customFormat="1" hidden="1" x14ac:dyDescent="0.25"/>
    <row r="76" spans="2:15" s="669" customFormat="1" hidden="1" x14ac:dyDescent="0.25">
      <c r="B76" s="870"/>
    </row>
    <row r="77" spans="2:15" s="669" customFormat="1" hidden="1" x14ac:dyDescent="0.25"/>
    <row r="78" spans="2:15" s="669" customFormat="1" hidden="1" x14ac:dyDescent="0.25"/>
    <row r="79" spans="2:15" s="669" customFormat="1" hidden="1" x14ac:dyDescent="0.25"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</row>
    <row r="80" spans="2:15" s="669" customFormat="1" ht="15.75" hidden="1" thickBot="1" x14ac:dyDescent="0.3">
      <c r="B80" s="663"/>
      <c r="C80" s="663"/>
      <c r="D80" s="663"/>
      <c r="E80" s="663"/>
      <c r="F80" s="663"/>
      <c r="G80" s="663"/>
      <c r="H80" s="663"/>
      <c r="I80" s="663"/>
      <c r="J80" s="663"/>
      <c r="K80" s="663"/>
      <c r="L80" s="663"/>
      <c r="M80" s="663"/>
      <c r="N80" s="663"/>
      <c r="O80" s="663"/>
    </row>
    <row r="81" spans="1:119" s="669" customFormat="1" hidden="1" x14ac:dyDescent="0.25">
      <c r="B81" s="871" t="s">
        <v>78</v>
      </c>
      <c r="C81" s="872">
        <f>C822</f>
        <v>0</v>
      </c>
      <c r="D81" s="873"/>
      <c r="E81" s="873"/>
      <c r="F81" s="873"/>
      <c r="G81" s="873"/>
      <c r="H81" s="873"/>
      <c r="I81" s="873"/>
      <c r="J81" s="873"/>
      <c r="K81" s="874"/>
      <c r="L81" s="663"/>
      <c r="M81" s="663"/>
      <c r="N81" s="875" t="s">
        <v>78</v>
      </c>
      <c r="O81" s="876">
        <f>D822</f>
        <v>0</v>
      </c>
      <c r="P81" s="877"/>
      <c r="Q81" s="877"/>
      <c r="R81" s="877"/>
      <c r="S81" s="877"/>
      <c r="T81" s="877"/>
      <c r="U81" s="877"/>
      <c r="V81" s="877"/>
      <c r="W81" s="878"/>
      <c r="Z81" s="875" t="s">
        <v>78</v>
      </c>
      <c r="AA81" s="876">
        <f>E822</f>
        <v>0</v>
      </c>
      <c r="AB81" s="877"/>
      <c r="AC81" s="877"/>
      <c r="AD81" s="877"/>
      <c r="AE81" s="877"/>
      <c r="AF81" s="877"/>
      <c r="AG81" s="877"/>
      <c r="AH81" s="877"/>
      <c r="AI81" s="878"/>
      <c r="AL81" s="875" t="s">
        <v>78</v>
      </c>
      <c r="AM81" s="876">
        <f>F822</f>
        <v>0</v>
      </c>
      <c r="AN81" s="877"/>
      <c r="AO81" s="877"/>
      <c r="AP81" s="877"/>
      <c r="AQ81" s="877"/>
      <c r="AR81" s="877"/>
      <c r="AS81" s="877"/>
      <c r="AT81" s="877"/>
      <c r="AU81" s="878"/>
      <c r="AX81" s="875" t="s">
        <v>78</v>
      </c>
      <c r="AY81" s="876">
        <f>G822</f>
        <v>0</v>
      </c>
      <c r="AZ81" s="877"/>
      <c r="BA81" s="877"/>
      <c r="BB81" s="877"/>
      <c r="BC81" s="877"/>
      <c r="BD81" s="877"/>
      <c r="BE81" s="877"/>
      <c r="BF81" s="877"/>
      <c r="BG81" s="878"/>
      <c r="BJ81" s="875" t="s">
        <v>78</v>
      </c>
      <c r="BK81" s="876">
        <f>H822</f>
        <v>0</v>
      </c>
      <c r="BL81" s="877"/>
      <c r="BM81" s="877"/>
      <c r="BN81" s="877"/>
      <c r="BO81" s="877"/>
      <c r="BP81" s="877"/>
      <c r="BQ81" s="877"/>
      <c r="BR81" s="877"/>
      <c r="BS81" s="878"/>
      <c r="BV81" s="875" t="s">
        <v>78</v>
      </c>
      <c r="BW81" s="876">
        <f>I822</f>
        <v>0</v>
      </c>
      <c r="BX81" s="877"/>
      <c r="BY81" s="877"/>
      <c r="BZ81" s="877"/>
      <c r="CA81" s="877"/>
      <c r="CB81" s="877"/>
      <c r="CC81" s="877"/>
      <c r="CD81" s="877"/>
      <c r="CE81" s="878"/>
      <c r="CH81" s="875" t="s">
        <v>78</v>
      </c>
      <c r="CI81" s="876">
        <f>J822</f>
        <v>0</v>
      </c>
      <c r="CJ81" s="877"/>
      <c r="CK81" s="877"/>
      <c r="CL81" s="877"/>
      <c r="CM81" s="877"/>
      <c r="CN81" s="877"/>
      <c r="CO81" s="877"/>
      <c r="CP81" s="877"/>
      <c r="CQ81" s="878"/>
      <c r="CT81" s="875" t="s">
        <v>78</v>
      </c>
      <c r="CU81" s="876">
        <f>K822</f>
        <v>0</v>
      </c>
      <c r="CV81" s="877"/>
      <c r="CW81" s="877"/>
      <c r="CX81" s="877"/>
      <c r="CY81" s="877"/>
      <c r="CZ81" s="877"/>
      <c r="DA81" s="877"/>
      <c r="DB81" s="877"/>
      <c r="DC81" s="878"/>
      <c r="DF81" s="875" t="s">
        <v>78</v>
      </c>
      <c r="DG81" s="876">
        <f>L822</f>
        <v>0</v>
      </c>
      <c r="DH81" s="877"/>
      <c r="DI81" s="877"/>
      <c r="DJ81" s="877"/>
      <c r="DK81" s="877"/>
      <c r="DL81" s="877"/>
      <c r="DM81" s="877"/>
      <c r="DN81" s="877"/>
      <c r="DO81" s="878"/>
    </row>
    <row r="82" spans="1:119" s="669" customFormat="1" hidden="1" x14ac:dyDescent="0.25">
      <c r="B82" s="668"/>
      <c r="C82" s="663"/>
      <c r="D82" s="663"/>
      <c r="E82" s="663"/>
      <c r="F82" s="663"/>
      <c r="G82" s="663"/>
      <c r="H82" s="663"/>
      <c r="I82" s="663"/>
      <c r="J82" s="663"/>
      <c r="K82" s="664"/>
      <c r="L82" s="663"/>
      <c r="M82" s="663"/>
      <c r="N82" s="879"/>
      <c r="O82" s="663"/>
      <c r="P82" s="663"/>
      <c r="Q82" s="663"/>
      <c r="R82" s="663"/>
      <c r="S82" s="663"/>
      <c r="T82" s="663"/>
      <c r="U82" s="663"/>
      <c r="V82" s="663"/>
      <c r="W82" s="880"/>
      <c r="Z82" s="879"/>
      <c r="AA82" s="663"/>
      <c r="AB82" s="663"/>
      <c r="AC82" s="663"/>
      <c r="AD82" s="663"/>
      <c r="AE82" s="663"/>
      <c r="AF82" s="663"/>
      <c r="AG82" s="663"/>
      <c r="AH82" s="663"/>
      <c r="AI82" s="880"/>
      <c r="AL82" s="879"/>
      <c r="AM82" s="663"/>
      <c r="AN82" s="663"/>
      <c r="AO82" s="663"/>
      <c r="AP82" s="663"/>
      <c r="AQ82" s="663"/>
      <c r="AR82" s="663"/>
      <c r="AS82" s="663"/>
      <c r="AT82" s="663"/>
      <c r="AU82" s="880"/>
      <c r="AX82" s="879"/>
      <c r="AY82" s="663"/>
      <c r="AZ82" s="663"/>
      <c r="BA82" s="663"/>
      <c r="BB82" s="663"/>
      <c r="BC82" s="663"/>
      <c r="BD82" s="663"/>
      <c r="BE82" s="663"/>
      <c r="BF82" s="663"/>
      <c r="BG82" s="880"/>
      <c r="BJ82" s="879"/>
      <c r="BK82" s="663"/>
      <c r="BL82" s="663"/>
      <c r="BM82" s="663"/>
      <c r="BN82" s="663"/>
      <c r="BO82" s="663"/>
      <c r="BP82" s="663"/>
      <c r="BQ82" s="663"/>
      <c r="BR82" s="663"/>
      <c r="BS82" s="880"/>
      <c r="BV82" s="879"/>
      <c r="BW82" s="663"/>
      <c r="BX82" s="663"/>
      <c r="BY82" s="663"/>
      <c r="BZ82" s="663"/>
      <c r="CA82" s="663"/>
      <c r="CB82" s="663"/>
      <c r="CC82" s="663"/>
      <c r="CD82" s="663"/>
      <c r="CE82" s="880"/>
      <c r="CH82" s="879"/>
      <c r="CI82" s="663"/>
      <c r="CJ82" s="663"/>
      <c r="CK82" s="663"/>
      <c r="CL82" s="663"/>
      <c r="CM82" s="663"/>
      <c r="CN82" s="663"/>
      <c r="CO82" s="663"/>
      <c r="CP82" s="663"/>
      <c r="CQ82" s="880"/>
      <c r="CT82" s="879"/>
      <c r="CU82" s="663"/>
      <c r="CV82" s="663"/>
      <c r="CW82" s="663"/>
      <c r="CX82" s="663"/>
      <c r="CY82" s="663"/>
      <c r="CZ82" s="663"/>
      <c r="DA82" s="663"/>
      <c r="DB82" s="663"/>
      <c r="DC82" s="880"/>
      <c r="DF82" s="879"/>
      <c r="DG82" s="663"/>
      <c r="DH82" s="663"/>
      <c r="DI82" s="663"/>
      <c r="DJ82" s="663"/>
      <c r="DK82" s="663"/>
      <c r="DL82" s="663"/>
      <c r="DM82" s="663"/>
      <c r="DN82" s="663"/>
      <c r="DO82" s="880"/>
    </row>
    <row r="83" spans="1:119" s="669" customFormat="1" hidden="1" x14ac:dyDescent="0.25">
      <c r="B83" s="668"/>
      <c r="C83" s="663"/>
      <c r="D83" s="663"/>
      <c r="E83" s="663"/>
      <c r="F83" s="663"/>
      <c r="G83" s="663"/>
      <c r="H83" s="663"/>
      <c r="I83" s="663"/>
      <c r="J83" s="663"/>
      <c r="K83" s="664"/>
      <c r="L83" s="663"/>
      <c r="M83" s="663"/>
      <c r="N83" s="879"/>
      <c r="O83" s="663"/>
      <c r="P83" s="663"/>
      <c r="Q83" s="663"/>
      <c r="R83" s="663"/>
      <c r="S83" s="663"/>
      <c r="T83" s="663"/>
      <c r="U83" s="663"/>
      <c r="V83" s="663"/>
      <c r="W83" s="880"/>
      <c r="Z83" s="879"/>
      <c r="AA83" s="663"/>
      <c r="AB83" s="663"/>
      <c r="AC83" s="663"/>
      <c r="AD83" s="663"/>
      <c r="AE83" s="663"/>
      <c r="AF83" s="663"/>
      <c r="AG83" s="663"/>
      <c r="AH83" s="663"/>
      <c r="AI83" s="880"/>
      <c r="AL83" s="879"/>
      <c r="AM83" s="663"/>
      <c r="AN83" s="663"/>
      <c r="AO83" s="663"/>
      <c r="AP83" s="663"/>
      <c r="AQ83" s="663"/>
      <c r="AR83" s="663"/>
      <c r="AS83" s="663"/>
      <c r="AT83" s="663"/>
      <c r="AU83" s="880"/>
      <c r="AX83" s="879"/>
      <c r="AY83" s="663"/>
      <c r="AZ83" s="663"/>
      <c r="BA83" s="663"/>
      <c r="BB83" s="663"/>
      <c r="BC83" s="663"/>
      <c r="BD83" s="663"/>
      <c r="BE83" s="663"/>
      <c r="BF83" s="663"/>
      <c r="BG83" s="880"/>
      <c r="BJ83" s="879"/>
      <c r="BK83" s="663"/>
      <c r="BL83" s="663"/>
      <c r="BM83" s="663"/>
      <c r="BN83" s="663"/>
      <c r="BO83" s="663"/>
      <c r="BP83" s="663"/>
      <c r="BQ83" s="663"/>
      <c r="BR83" s="663"/>
      <c r="BS83" s="880"/>
      <c r="BV83" s="879"/>
      <c r="BW83" s="663"/>
      <c r="BX83" s="663"/>
      <c r="BY83" s="663"/>
      <c r="BZ83" s="663"/>
      <c r="CA83" s="663"/>
      <c r="CB83" s="663"/>
      <c r="CC83" s="663"/>
      <c r="CD83" s="663"/>
      <c r="CE83" s="880"/>
      <c r="CH83" s="879"/>
      <c r="CI83" s="663"/>
      <c r="CJ83" s="663"/>
      <c r="CK83" s="663"/>
      <c r="CL83" s="663"/>
      <c r="CM83" s="663"/>
      <c r="CN83" s="663"/>
      <c r="CO83" s="663"/>
      <c r="CP83" s="663"/>
      <c r="CQ83" s="880"/>
      <c r="CT83" s="879"/>
      <c r="CU83" s="663"/>
      <c r="CV83" s="663"/>
      <c r="CW83" s="663"/>
      <c r="CX83" s="663"/>
      <c r="CY83" s="663"/>
      <c r="CZ83" s="663"/>
      <c r="DA83" s="663"/>
      <c r="DB83" s="663"/>
      <c r="DC83" s="880"/>
      <c r="DF83" s="879"/>
      <c r="DG83" s="663"/>
      <c r="DH83" s="663"/>
      <c r="DI83" s="663"/>
      <c r="DJ83" s="663"/>
      <c r="DK83" s="663"/>
      <c r="DL83" s="663"/>
      <c r="DM83" s="663"/>
      <c r="DN83" s="663"/>
      <c r="DO83" s="880"/>
    </row>
    <row r="84" spans="1:119" hidden="1" x14ac:dyDescent="0.25">
      <c r="A84" s="663"/>
      <c r="B84" s="668"/>
      <c r="K84" s="664"/>
      <c r="N84" s="879"/>
      <c r="U84" s="663"/>
      <c r="W84" s="880"/>
      <c r="Z84" s="879"/>
      <c r="AA84" s="663"/>
      <c r="AB84" s="663"/>
      <c r="AC84" s="663"/>
      <c r="AD84" s="663"/>
      <c r="AE84" s="663"/>
      <c r="AF84" s="663"/>
      <c r="AG84" s="663"/>
      <c r="AH84" s="663"/>
      <c r="AI84" s="880"/>
      <c r="AJ84" s="663"/>
      <c r="AK84" s="663"/>
      <c r="AL84" s="879"/>
      <c r="AM84" s="663"/>
      <c r="AN84" s="663"/>
      <c r="AU84" s="880"/>
      <c r="AX84" s="879"/>
      <c r="BG84" s="880"/>
      <c r="BJ84" s="879"/>
      <c r="BS84" s="880"/>
      <c r="BV84" s="879"/>
      <c r="CE84" s="880"/>
      <c r="CH84" s="879"/>
      <c r="CQ84" s="880"/>
      <c r="CT84" s="879"/>
      <c r="DC84" s="880"/>
      <c r="DF84" s="879"/>
      <c r="DO84" s="880"/>
    </row>
    <row r="85" spans="1:119" hidden="1" x14ac:dyDescent="0.25">
      <c r="B85" s="668" t="s">
        <v>77</v>
      </c>
      <c r="K85" s="664"/>
      <c r="N85" s="668" t="s">
        <v>77</v>
      </c>
      <c r="U85" s="663"/>
      <c r="W85" s="664"/>
      <c r="Z85" s="668" t="s">
        <v>77</v>
      </c>
      <c r="AA85" s="663"/>
      <c r="AB85" s="663"/>
      <c r="AC85" s="663"/>
      <c r="AD85" s="663"/>
      <c r="AE85" s="663"/>
      <c r="AF85" s="663"/>
      <c r="AG85" s="663"/>
      <c r="AH85" s="663"/>
      <c r="AI85" s="664"/>
      <c r="AL85" s="668" t="s">
        <v>77</v>
      </c>
      <c r="AM85" s="663"/>
      <c r="AN85" s="663"/>
      <c r="AU85" s="664"/>
      <c r="AX85" s="668" t="s">
        <v>77</v>
      </c>
      <c r="BG85" s="664"/>
      <c r="BJ85" s="668" t="s">
        <v>77</v>
      </c>
      <c r="BS85" s="664"/>
      <c r="BV85" s="668" t="s">
        <v>77</v>
      </c>
      <c r="CE85" s="664"/>
      <c r="CH85" s="668" t="s">
        <v>77</v>
      </c>
      <c r="CQ85" s="664"/>
      <c r="CT85" s="668" t="s">
        <v>77</v>
      </c>
      <c r="DC85" s="664"/>
      <c r="DF85" s="668" t="s">
        <v>77</v>
      </c>
      <c r="DO85" s="664"/>
    </row>
    <row r="86" spans="1:119" hidden="1" x14ac:dyDescent="0.25">
      <c r="B86" s="668" t="s">
        <v>79</v>
      </c>
      <c r="C86" s="662">
        <f>IF(SUMIF($F$50:$O$50,"=1",$F$62:$O$62)&lt;=C81,SUMIF($F$50:$O$50,"=1",$F$62:$O$62),C81)</f>
        <v>0</v>
      </c>
      <c r="D86" s="663">
        <v>1</v>
      </c>
      <c r="K86" s="664"/>
      <c r="N86" s="668" t="s">
        <v>79</v>
      </c>
      <c r="O86" s="662">
        <f>IF(SUMIF($F$50:$O$50,"=1",$F$62:$O$62)&lt;=O81,SUMIF($F$50:$O$50,"=1",$F$62:$O$62),O81)</f>
        <v>0</v>
      </c>
      <c r="P86" s="663">
        <v>1</v>
      </c>
      <c r="U86" s="663"/>
      <c r="W86" s="664"/>
      <c r="Z86" s="668" t="s">
        <v>79</v>
      </c>
      <c r="AA86" s="662">
        <f>IF(SUMIF($F$50:$O$50,"=1",$F$62:$O$62)&lt;=AA81,SUMIF($F$50:$O$50,"=1",$F$62:$O$62),AA81)</f>
        <v>0</v>
      </c>
      <c r="AB86" s="663">
        <v>1</v>
      </c>
      <c r="AC86" s="663"/>
      <c r="AD86" s="663"/>
      <c r="AE86" s="663"/>
      <c r="AF86" s="663"/>
      <c r="AG86" s="663"/>
      <c r="AH86" s="663"/>
      <c r="AI86" s="664"/>
      <c r="AL86" s="668" t="s">
        <v>79</v>
      </c>
      <c r="AM86" s="662">
        <f>IF(SUMIF($F$50:$O$50,"=1",$F$62:$O$62)&lt;=AM81,SUMIF($F$50:$O$50,"=1",$F$62:$O$62),AM81)</f>
        <v>0</v>
      </c>
      <c r="AN86" s="663">
        <v>1</v>
      </c>
      <c r="AU86" s="664"/>
      <c r="AX86" s="668" t="s">
        <v>79</v>
      </c>
      <c r="AY86" s="662">
        <f>IF(SUMIF($F$50:$O$50,"=1",$F$62:$O$62)&lt;=AY81,SUMIF($F$50:$O$50,"=1",$F$62:$O$62),AY81)</f>
        <v>0</v>
      </c>
      <c r="AZ86" s="663">
        <v>1</v>
      </c>
      <c r="BG86" s="664"/>
      <c r="BJ86" s="668" t="s">
        <v>79</v>
      </c>
      <c r="BK86" s="662">
        <f>IF(SUMIF($F$50:$O$50,"=1",$F$62:$O$62)&lt;=BK81,SUMIF($F$50:$O$50,"=1",$F$62:$O$62),BK81)</f>
        <v>0</v>
      </c>
      <c r="BL86" s="663">
        <v>1</v>
      </c>
      <c r="BS86" s="664"/>
      <c r="BV86" s="668" t="s">
        <v>79</v>
      </c>
      <c r="BW86" s="662">
        <f>IF(SUMIF($F$50:$O$50,"=1",$F$62:$O$62)&lt;=BW81,SUMIF($F$50:$O$50,"=1",$F$62:$O$62),BW81)</f>
        <v>0</v>
      </c>
      <c r="BX86" s="663">
        <v>1</v>
      </c>
      <c r="CE86" s="664"/>
      <c r="CH86" s="668" t="s">
        <v>79</v>
      </c>
      <c r="CI86" s="662">
        <f>IF(SUMIF($F$50:$O$50,"=1",$F$62:$O$62)&lt;=CI81,SUMIF($F$50:$O$50,"=1",$F$62:$O$62),CI81)</f>
        <v>0</v>
      </c>
      <c r="CJ86" s="663">
        <v>1</v>
      </c>
      <c r="CQ86" s="664"/>
      <c r="CT86" s="668" t="s">
        <v>79</v>
      </c>
      <c r="CU86" s="662">
        <f>IF(SUMIF($F$50:$O$50,"=1",$F$62:$O$62)&lt;=CU81,SUMIF($F$50:$O$50,"=1",$F$62:$O$62),CU81)</f>
        <v>0</v>
      </c>
      <c r="CV86" s="663">
        <v>1</v>
      </c>
      <c r="DC86" s="664"/>
      <c r="DF86" s="668" t="s">
        <v>79</v>
      </c>
      <c r="DG86" s="662">
        <f>IF(SUMIF($F$50:$O$50,"=1",$F$62:$O$62)&lt;=DG81,SUMIF($F$50:$O$50,"=1",$F$62:$O$62),DG81)</f>
        <v>0</v>
      </c>
      <c r="DH86" s="663">
        <v>1</v>
      </c>
      <c r="DO86" s="664"/>
    </row>
    <row r="87" spans="1:119" hidden="1" x14ac:dyDescent="0.25">
      <c r="B87" s="668"/>
      <c r="C87" s="662">
        <f>C81-C86</f>
        <v>0</v>
      </c>
      <c r="K87" s="664"/>
      <c r="N87" s="668"/>
      <c r="O87" s="662">
        <f>O81-O86</f>
        <v>0</v>
      </c>
      <c r="U87" s="663"/>
      <c r="W87" s="664"/>
      <c r="Z87" s="668"/>
      <c r="AA87" s="662">
        <f>AA81-AA86</f>
        <v>0</v>
      </c>
      <c r="AB87" s="663"/>
      <c r="AC87" s="663"/>
      <c r="AD87" s="663"/>
      <c r="AE87" s="663"/>
      <c r="AF87" s="663"/>
      <c r="AG87" s="663"/>
      <c r="AH87" s="663"/>
      <c r="AI87" s="664"/>
      <c r="AL87" s="668"/>
      <c r="AM87" s="662">
        <f>AM81-AM86</f>
        <v>0</v>
      </c>
      <c r="AN87" s="663"/>
      <c r="AU87" s="664"/>
      <c r="AX87" s="668"/>
      <c r="AY87" s="662">
        <f>AY81-AY86</f>
        <v>0</v>
      </c>
      <c r="BG87" s="664"/>
      <c r="BJ87" s="668"/>
      <c r="BK87" s="662">
        <f>BK81-BK86</f>
        <v>0</v>
      </c>
      <c r="BS87" s="664"/>
      <c r="BV87" s="668"/>
      <c r="BW87" s="662">
        <f>BW81-BW86</f>
        <v>0</v>
      </c>
      <c r="CE87" s="664"/>
      <c r="CH87" s="668"/>
      <c r="CI87" s="662">
        <f>CI81-CI86</f>
        <v>0</v>
      </c>
      <c r="CQ87" s="664"/>
      <c r="CT87" s="668"/>
      <c r="CU87" s="662">
        <f>CU81-CU86</f>
        <v>0</v>
      </c>
      <c r="DC87" s="664"/>
      <c r="DF87" s="668"/>
      <c r="DG87" s="662">
        <f>DG81-DG86</f>
        <v>0</v>
      </c>
      <c r="DO87" s="664"/>
    </row>
    <row r="88" spans="1:119" hidden="1" x14ac:dyDescent="0.25">
      <c r="B88" s="668" t="s">
        <v>80</v>
      </c>
      <c r="C88" s="662">
        <f>IF(SUMIF($F$50:$O$50,"=1",$F$63:$O$63)&lt;=C87,SUMIF($F$50:$O$50,"=1",$F$63:$O$63),C87)</f>
        <v>0</v>
      </c>
      <c r="E88" s="663">
        <v>1</v>
      </c>
      <c r="K88" s="664"/>
      <c r="N88" s="668" t="s">
        <v>80</v>
      </c>
      <c r="O88" s="662">
        <f>IF(SUMIF($F$50:$O$50,"=1",$F$63:$O$63)&lt;=O87,SUMIF($F$50:$O$50,"=1",$F$63:$O$63),O87)</f>
        <v>0</v>
      </c>
      <c r="Q88" s="663">
        <v>1</v>
      </c>
      <c r="U88" s="663"/>
      <c r="W88" s="664"/>
      <c r="Z88" s="668" t="s">
        <v>80</v>
      </c>
      <c r="AA88" s="662">
        <f>IF(SUMIF($F$50:$O$50,"=1",$F$63:$O$63)&lt;=AA87,SUMIF($F$50:$O$50,"=1",$F$63:$O$63),AA87)</f>
        <v>0</v>
      </c>
      <c r="AB88" s="663"/>
      <c r="AC88" s="663">
        <v>1</v>
      </c>
      <c r="AD88" s="663"/>
      <c r="AE88" s="663"/>
      <c r="AF88" s="663"/>
      <c r="AG88" s="663"/>
      <c r="AH88" s="663"/>
      <c r="AI88" s="664"/>
      <c r="AL88" s="668" t="s">
        <v>80</v>
      </c>
      <c r="AM88" s="662">
        <f>IF(SUMIF($F$50:$O$50,"=1",$F$63:$O$63)&lt;=AM87,SUMIF($F$50:$O$50,"=1",$F$63:$O$63),AM87)</f>
        <v>0</v>
      </c>
      <c r="AN88" s="663"/>
      <c r="AO88" s="663">
        <v>1</v>
      </c>
      <c r="AU88" s="664"/>
      <c r="AX88" s="668" t="s">
        <v>80</v>
      </c>
      <c r="AY88" s="662">
        <f>IF(SUMIF($F$50:$O$50,"=1",$F$63:$O$63)&lt;=AY87,SUMIF($F$50:$O$50,"=1",$F$63:$O$63),AY87)</f>
        <v>0</v>
      </c>
      <c r="BA88" s="663">
        <v>1</v>
      </c>
      <c r="BG88" s="664"/>
      <c r="BJ88" s="668" t="s">
        <v>80</v>
      </c>
      <c r="BK88" s="662">
        <f>IF(SUMIF($F$50:$O$50,"=1",$F$63:$O$63)&lt;=BK87,SUMIF($F$50:$O$50,"=1",$F$63:$O$63),BK87)</f>
        <v>0</v>
      </c>
      <c r="BM88" s="663">
        <v>1</v>
      </c>
      <c r="BS88" s="664"/>
      <c r="BV88" s="668" t="s">
        <v>80</v>
      </c>
      <c r="BW88" s="662">
        <f>IF(SUMIF($F$50:$O$50,"=1",$F$63:$O$63)&lt;=BW87,SUMIF($F$50:$O$50,"=1",$F$63:$O$63),BW87)</f>
        <v>0</v>
      </c>
      <c r="BY88" s="663">
        <v>1</v>
      </c>
      <c r="CE88" s="664"/>
      <c r="CH88" s="668" t="s">
        <v>80</v>
      </c>
      <c r="CI88" s="662">
        <f>IF(SUMIF($F$50:$O$50,"=1",$F$63:$O$63)&lt;=CI87,SUMIF($F$50:$O$50,"=1",$F$63:$O$63),CI87)</f>
        <v>0</v>
      </c>
      <c r="CK88" s="663">
        <v>1</v>
      </c>
      <c r="CQ88" s="664"/>
      <c r="CT88" s="668" t="s">
        <v>80</v>
      </c>
      <c r="CU88" s="662">
        <f>IF(SUMIF($F$50:$O$50,"=1",$F$63:$O$63)&lt;=CU87,SUMIF($F$50:$O$50,"=1",$F$63:$O$63),CU87)</f>
        <v>0</v>
      </c>
      <c r="CW88" s="663">
        <v>1</v>
      </c>
      <c r="DC88" s="664"/>
      <c r="DF88" s="668" t="s">
        <v>80</v>
      </c>
      <c r="DG88" s="662">
        <f>IF(SUMIF($F$50:$O$50,"=1",$F$63:$O$63)&lt;=DG87,SUMIF($F$50:$O$50,"=1",$F$63:$O$63),DG87)</f>
        <v>0</v>
      </c>
      <c r="DI88" s="663">
        <v>1</v>
      </c>
      <c r="DO88" s="664"/>
    </row>
    <row r="89" spans="1:119" hidden="1" x14ac:dyDescent="0.25">
      <c r="B89" s="668"/>
      <c r="C89" s="662">
        <f>C87-C88</f>
        <v>0</v>
      </c>
      <c r="K89" s="664"/>
      <c r="N89" s="668"/>
      <c r="O89" s="662">
        <f>O87-O88</f>
        <v>0</v>
      </c>
      <c r="U89" s="663"/>
      <c r="W89" s="664"/>
      <c r="Z89" s="668"/>
      <c r="AA89" s="662">
        <f>AA87-AA88</f>
        <v>0</v>
      </c>
      <c r="AB89" s="663"/>
      <c r="AC89" s="663"/>
      <c r="AD89" s="663"/>
      <c r="AE89" s="663"/>
      <c r="AF89" s="663"/>
      <c r="AG89" s="663"/>
      <c r="AH89" s="663"/>
      <c r="AI89" s="664"/>
      <c r="AL89" s="668"/>
      <c r="AM89" s="662">
        <f>AM87-AM88</f>
        <v>0</v>
      </c>
      <c r="AN89" s="663"/>
      <c r="AU89" s="664"/>
      <c r="AX89" s="668"/>
      <c r="AY89" s="662">
        <f>AY87-AY88</f>
        <v>0</v>
      </c>
      <c r="BG89" s="664"/>
      <c r="BJ89" s="668"/>
      <c r="BK89" s="662">
        <f>BK87-BK88</f>
        <v>0</v>
      </c>
      <c r="BS89" s="664"/>
      <c r="BV89" s="668"/>
      <c r="BW89" s="662">
        <f>BW87-BW88</f>
        <v>0</v>
      </c>
      <c r="CE89" s="664"/>
      <c r="CH89" s="668"/>
      <c r="CI89" s="662">
        <f>CI87-CI88</f>
        <v>0</v>
      </c>
      <c r="CQ89" s="664"/>
      <c r="CT89" s="668"/>
      <c r="CU89" s="662">
        <f>CU87-CU88</f>
        <v>0</v>
      </c>
      <c r="DC89" s="664"/>
      <c r="DF89" s="668"/>
      <c r="DG89" s="662">
        <f>DG87-DG88</f>
        <v>0</v>
      </c>
      <c r="DO89" s="664"/>
    </row>
    <row r="90" spans="1:119" hidden="1" x14ac:dyDescent="0.25">
      <c r="B90" s="668" t="s">
        <v>84</v>
      </c>
      <c r="C90" s="662">
        <f>IF(SUMIF($F$50:$O$50,"=2",$F$62:$O$62)&lt;=C89,SUMIF($F$50:$O$50,"=2",$F$62:$O$62),C89)</f>
        <v>0</v>
      </c>
      <c r="D90" s="663">
        <v>2</v>
      </c>
      <c r="K90" s="664"/>
      <c r="N90" s="668" t="s">
        <v>84</v>
      </c>
      <c r="O90" s="662">
        <f>IF(SUMIF($F$50:$O$50,"=2",$F$62:$O$62)&lt;=O89,SUMIF($F$50:$O$50,"=2",$F$62:$O$62),O89)</f>
        <v>0</v>
      </c>
      <c r="P90" s="663">
        <v>2</v>
      </c>
      <c r="U90" s="663"/>
      <c r="W90" s="664"/>
      <c r="Z90" s="668" t="s">
        <v>84</v>
      </c>
      <c r="AA90" s="662">
        <f>IF(SUMIF($F$50:$O$50,"=2",$F$62:$O$62)&lt;=AA89,SUMIF($F$50:$O$50,"=2",$F$62:$O$62),AA89)</f>
        <v>0</v>
      </c>
      <c r="AB90" s="663">
        <v>2</v>
      </c>
      <c r="AC90" s="663"/>
      <c r="AD90" s="663"/>
      <c r="AE90" s="663"/>
      <c r="AF90" s="663"/>
      <c r="AG90" s="663"/>
      <c r="AH90" s="663"/>
      <c r="AI90" s="664"/>
      <c r="AL90" s="668" t="s">
        <v>84</v>
      </c>
      <c r="AM90" s="662">
        <f>IF(SUMIF($F$50:$O$50,"=2",$F$62:$O$62)&lt;=AM89,SUMIF($F$50:$O$50,"=2",$F$62:$O$62),AM89)</f>
        <v>0</v>
      </c>
      <c r="AN90" s="663">
        <v>2</v>
      </c>
      <c r="AU90" s="664"/>
      <c r="AX90" s="668" t="s">
        <v>84</v>
      </c>
      <c r="AY90" s="662">
        <f>IF(SUMIF($F$50:$O$50,"=2",$F$62:$O$62)&lt;=AY89,SUMIF($F$50:$O$50,"=2",$F$62:$O$62),AY89)</f>
        <v>0</v>
      </c>
      <c r="AZ90" s="663">
        <v>2</v>
      </c>
      <c r="BG90" s="664"/>
      <c r="BJ90" s="668" t="s">
        <v>84</v>
      </c>
      <c r="BK90" s="662">
        <f>IF(SUMIF($F$50:$O$50,"=2",$F$62:$O$62)&lt;=BK89,SUMIF($F$50:$O$50,"=2",$F$62:$O$62),BK89)</f>
        <v>0</v>
      </c>
      <c r="BL90" s="663">
        <v>2</v>
      </c>
      <c r="BS90" s="664"/>
      <c r="BV90" s="668" t="s">
        <v>84</v>
      </c>
      <c r="BW90" s="662">
        <f>IF(SUMIF($F$50:$O$50,"=2",$F$62:$O$62)&lt;=BW89,SUMIF($F$50:$O$50,"=2",$F$62:$O$62),BW89)</f>
        <v>0</v>
      </c>
      <c r="BX90" s="663">
        <v>2</v>
      </c>
      <c r="CE90" s="664"/>
      <c r="CH90" s="668" t="s">
        <v>84</v>
      </c>
      <c r="CI90" s="662">
        <f>IF(SUMIF($F$50:$O$50,"=2",$F$62:$O$62)&lt;=CI89,SUMIF($F$50:$O$50,"=2",$F$62:$O$62),CI89)</f>
        <v>0</v>
      </c>
      <c r="CJ90" s="663">
        <v>2</v>
      </c>
      <c r="CQ90" s="664"/>
      <c r="CT90" s="668" t="s">
        <v>84</v>
      </c>
      <c r="CU90" s="662">
        <f>IF(SUMIF($F$50:$O$50,"=2",$F$62:$O$62)&lt;=CU89,SUMIF($F$50:$O$50,"=2",$F$62:$O$62),CU89)</f>
        <v>0</v>
      </c>
      <c r="CV90" s="663">
        <v>2</v>
      </c>
      <c r="DC90" s="664"/>
      <c r="DF90" s="668" t="s">
        <v>84</v>
      </c>
      <c r="DG90" s="662">
        <f>IF(SUMIF($F$50:$O$50,"=2",$F$62:$O$62)&lt;=DG89,SUMIF($F$50:$O$50,"=2",$F$62:$O$62),DG89)</f>
        <v>0</v>
      </c>
      <c r="DH90" s="663">
        <v>2</v>
      </c>
      <c r="DO90" s="664"/>
    </row>
    <row r="91" spans="1:119" hidden="1" x14ac:dyDescent="0.25">
      <c r="B91" s="668"/>
      <c r="C91" s="662">
        <f>C89-C90</f>
        <v>0</v>
      </c>
      <c r="K91" s="664"/>
      <c r="N91" s="668"/>
      <c r="O91" s="662">
        <f>O89-O90</f>
        <v>0</v>
      </c>
      <c r="U91" s="663"/>
      <c r="W91" s="664"/>
      <c r="Z91" s="668"/>
      <c r="AA91" s="662">
        <f>AA89-AA90</f>
        <v>0</v>
      </c>
      <c r="AB91" s="663"/>
      <c r="AC91" s="663"/>
      <c r="AD91" s="663"/>
      <c r="AE91" s="663"/>
      <c r="AF91" s="663"/>
      <c r="AG91" s="663"/>
      <c r="AH91" s="663"/>
      <c r="AI91" s="664"/>
      <c r="AL91" s="668"/>
      <c r="AM91" s="662">
        <f>AM89-AM90</f>
        <v>0</v>
      </c>
      <c r="AN91" s="663"/>
      <c r="AU91" s="664"/>
      <c r="AX91" s="668"/>
      <c r="AY91" s="662">
        <f>AY89-AY90</f>
        <v>0</v>
      </c>
      <c r="BG91" s="664"/>
      <c r="BJ91" s="668"/>
      <c r="BK91" s="662">
        <f>BK89-BK90</f>
        <v>0</v>
      </c>
      <c r="BS91" s="664"/>
      <c r="BV91" s="668"/>
      <c r="BW91" s="662">
        <f>BW89-BW90</f>
        <v>0</v>
      </c>
      <c r="CE91" s="664"/>
      <c r="CH91" s="668"/>
      <c r="CI91" s="662">
        <f>CI89-CI90</f>
        <v>0</v>
      </c>
      <c r="CQ91" s="664"/>
      <c r="CT91" s="668"/>
      <c r="CU91" s="662">
        <f>CU89-CU90</f>
        <v>0</v>
      </c>
      <c r="DC91" s="664"/>
      <c r="DF91" s="668"/>
      <c r="DG91" s="662">
        <f>DG89-DG90</f>
        <v>0</v>
      </c>
      <c r="DO91" s="664"/>
    </row>
    <row r="92" spans="1:119" hidden="1" x14ac:dyDescent="0.25">
      <c r="B92" s="668" t="s">
        <v>85</v>
      </c>
      <c r="C92" s="662">
        <f>IF(SUMIF($F$50:$O$50,"=2",$F$63:$O$63)&lt;=C91,SUMIF($F$50:$O$50,"=2",$F$63:$O$63),C91)</f>
        <v>0</v>
      </c>
      <c r="E92" s="663">
        <v>2</v>
      </c>
      <c r="K92" s="664"/>
      <c r="N92" s="668" t="s">
        <v>85</v>
      </c>
      <c r="O92" s="662">
        <f>IF(SUMIF($F$50:$O$50,"=2",$F$63:$O$63)&lt;=O91,SUMIF($F$50:$O$50,"=2",$F$63:$O$63),O91)</f>
        <v>0</v>
      </c>
      <c r="Q92" s="663">
        <v>2</v>
      </c>
      <c r="U92" s="663"/>
      <c r="W92" s="664"/>
      <c r="Z92" s="668" t="s">
        <v>85</v>
      </c>
      <c r="AA92" s="662">
        <f>IF(SUMIF($F$50:$O$50,"=2",$F$63:$O$63)&lt;=AA91,SUMIF($F$50:$O$50,"=2",$F$63:$O$63),AA91)</f>
        <v>0</v>
      </c>
      <c r="AB92" s="663"/>
      <c r="AC92" s="663">
        <v>2</v>
      </c>
      <c r="AD92" s="663"/>
      <c r="AE92" s="663"/>
      <c r="AF92" s="663"/>
      <c r="AG92" s="663"/>
      <c r="AH92" s="663"/>
      <c r="AI92" s="664"/>
      <c r="AL92" s="668" t="s">
        <v>85</v>
      </c>
      <c r="AM92" s="662">
        <f>IF(SUMIF($F$50:$O$50,"=2",$F$63:$O$63)&lt;=AM91,SUMIF($F$50:$O$50,"=2",$F$63:$O$63),AM91)</f>
        <v>0</v>
      </c>
      <c r="AN92" s="663"/>
      <c r="AO92" s="663">
        <v>2</v>
      </c>
      <c r="AU92" s="664"/>
      <c r="AX92" s="668" t="s">
        <v>85</v>
      </c>
      <c r="AY92" s="662">
        <f>IF(SUMIF($F$50:$O$50,"=2",$F$63:$O$63)&lt;=AY91,SUMIF($F$50:$O$50,"=2",$F$63:$O$63),AY91)</f>
        <v>0</v>
      </c>
      <c r="BA92" s="663">
        <v>2</v>
      </c>
      <c r="BG92" s="664"/>
      <c r="BJ92" s="668" t="s">
        <v>85</v>
      </c>
      <c r="BK92" s="662">
        <f>IF(SUMIF($F$50:$O$50,"=2",$F$63:$O$63)&lt;=BK91,SUMIF($F$50:$O$50,"=2",$F$63:$O$63),BK91)</f>
        <v>0</v>
      </c>
      <c r="BM92" s="663">
        <v>2</v>
      </c>
      <c r="BS92" s="664"/>
      <c r="BV92" s="668" t="s">
        <v>85</v>
      </c>
      <c r="BW92" s="662">
        <f>IF(SUMIF($F$50:$O$50,"=2",$F$63:$O$63)&lt;=BW91,SUMIF($F$50:$O$50,"=2",$F$63:$O$63),BW91)</f>
        <v>0</v>
      </c>
      <c r="BY92" s="663">
        <v>2</v>
      </c>
      <c r="CE92" s="664"/>
      <c r="CH92" s="668" t="s">
        <v>85</v>
      </c>
      <c r="CI92" s="662">
        <f>IF(SUMIF($F$50:$O$50,"=2",$F$63:$O$63)&lt;=CI91,SUMIF($F$50:$O$50,"=2",$F$63:$O$63),CI91)</f>
        <v>0</v>
      </c>
      <c r="CK92" s="663">
        <v>2</v>
      </c>
      <c r="CQ92" s="664"/>
      <c r="CT92" s="668" t="s">
        <v>85</v>
      </c>
      <c r="CU92" s="662">
        <f>IF(SUMIF($F$50:$O$50,"=2",$F$63:$O$63)&lt;=CU91,SUMIF($F$50:$O$50,"=2",$F$63:$O$63),CU91)</f>
        <v>0</v>
      </c>
      <c r="CW92" s="663">
        <v>2</v>
      </c>
      <c r="DC92" s="664"/>
      <c r="DF92" s="668" t="s">
        <v>85</v>
      </c>
      <c r="DG92" s="662">
        <f>IF(SUMIF($F$50:$O$50,"=2",$F$63:$O$63)&lt;=DG91,SUMIF($F$50:$O$50,"=2",$F$63:$O$63),DG91)</f>
        <v>0</v>
      </c>
      <c r="DI92" s="663">
        <v>2</v>
      </c>
      <c r="DO92" s="664"/>
    </row>
    <row r="93" spans="1:119" hidden="1" x14ac:dyDescent="0.25">
      <c r="B93" s="668"/>
      <c r="C93" s="662">
        <f>C91-C92</f>
        <v>0</v>
      </c>
      <c r="K93" s="664"/>
      <c r="N93" s="668"/>
      <c r="O93" s="662">
        <f>O91-O92</f>
        <v>0</v>
      </c>
      <c r="U93" s="663"/>
      <c r="W93" s="664"/>
      <c r="Z93" s="668"/>
      <c r="AA93" s="662">
        <f>AA91-AA92</f>
        <v>0</v>
      </c>
      <c r="AB93" s="663"/>
      <c r="AC93" s="663"/>
      <c r="AD93" s="663"/>
      <c r="AE93" s="663"/>
      <c r="AF93" s="663"/>
      <c r="AG93" s="663"/>
      <c r="AH93" s="663"/>
      <c r="AI93" s="664"/>
      <c r="AL93" s="668"/>
      <c r="AM93" s="662">
        <f>AM91-AM92</f>
        <v>0</v>
      </c>
      <c r="AN93" s="663"/>
      <c r="AU93" s="664"/>
      <c r="AX93" s="668"/>
      <c r="AY93" s="662">
        <f>AY91-AY92</f>
        <v>0</v>
      </c>
      <c r="BG93" s="664"/>
      <c r="BJ93" s="668"/>
      <c r="BK93" s="662">
        <f>BK91-BK92</f>
        <v>0</v>
      </c>
      <c r="BS93" s="664"/>
      <c r="BV93" s="668"/>
      <c r="BW93" s="662">
        <f>BW91-BW92</f>
        <v>0</v>
      </c>
      <c r="CE93" s="664"/>
      <c r="CH93" s="668"/>
      <c r="CI93" s="662">
        <f>CI91-CI92</f>
        <v>0</v>
      </c>
      <c r="CQ93" s="664"/>
      <c r="CT93" s="668"/>
      <c r="CU93" s="662">
        <f>CU91-CU92</f>
        <v>0</v>
      </c>
      <c r="DC93" s="664"/>
      <c r="DF93" s="668"/>
      <c r="DG93" s="662">
        <f>DG91-DG92</f>
        <v>0</v>
      </c>
      <c r="DO93" s="664"/>
    </row>
    <row r="94" spans="1:119" hidden="1" x14ac:dyDescent="0.25">
      <c r="B94" s="668" t="s">
        <v>86</v>
      </c>
      <c r="C94" s="662">
        <f>IF(SUMIF($F$50:$O$50,"=3",$F$62:$O$62)&lt;=C93,SUMIF($F$50:$O$50,"=3",$F$62:$O$62),C93)</f>
        <v>0</v>
      </c>
      <c r="D94" s="663">
        <v>3</v>
      </c>
      <c r="K94" s="664"/>
      <c r="N94" s="668" t="s">
        <v>86</v>
      </c>
      <c r="O94" s="662">
        <f>IF(SUMIF($F$50:$O$50,"=3",$F$62:$O$62)&lt;=O93,SUMIF($F$50:$O$50,"=3",$F$62:$O$62),O93)</f>
        <v>0</v>
      </c>
      <c r="P94" s="663">
        <v>3</v>
      </c>
      <c r="U94" s="663"/>
      <c r="W94" s="664"/>
      <c r="Z94" s="668" t="s">
        <v>86</v>
      </c>
      <c r="AA94" s="662">
        <f>IF(SUMIF($F$50:$O$50,"=3",$F$62:$O$62)&lt;=AA93,SUMIF($F$50:$O$50,"=3",$F$62:$O$62),AA93)</f>
        <v>0</v>
      </c>
      <c r="AB94" s="663">
        <v>3</v>
      </c>
      <c r="AC94" s="663"/>
      <c r="AD94" s="663"/>
      <c r="AE94" s="663"/>
      <c r="AF94" s="663"/>
      <c r="AG94" s="663"/>
      <c r="AH94" s="663"/>
      <c r="AI94" s="664"/>
      <c r="AL94" s="668" t="s">
        <v>86</v>
      </c>
      <c r="AM94" s="662">
        <f>IF(SUMIF($F$50:$O$50,"=3",$F$62:$O$62)&lt;=AM93,SUMIF($F$50:$O$50,"=3",$F$62:$O$62),AM93)</f>
        <v>0</v>
      </c>
      <c r="AN94" s="663">
        <v>3</v>
      </c>
      <c r="AU94" s="664"/>
      <c r="AX94" s="668" t="s">
        <v>86</v>
      </c>
      <c r="AY94" s="662">
        <f>IF(SUMIF($F$50:$O$50,"=3",$F$62:$O$62)&lt;=AY93,SUMIF($F$50:$O$50,"=3",$F$62:$O$62),AY93)</f>
        <v>0</v>
      </c>
      <c r="AZ94" s="663">
        <v>3</v>
      </c>
      <c r="BG94" s="664"/>
      <c r="BJ94" s="668" t="s">
        <v>86</v>
      </c>
      <c r="BK94" s="662">
        <f>IF(SUMIF($F$50:$O$50,"=3",$F$62:$O$62)&lt;=BK93,SUMIF($F$50:$O$50,"=3",$F$62:$O$62),BK93)</f>
        <v>0</v>
      </c>
      <c r="BL94" s="663">
        <v>3</v>
      </c>
      <c r="BS94" s="664"/>
      <c r="BV94" s="668" t="s">
        <v>86</v>
      </c>
      <c r="BW94" s="662">
        <f>IF(SUMIF($F$50:$O$50,"=3",$F$62:$O$62)&lt;=BW93,SUMIF($F$50:$O$50,"=3",$F$62:$O$62),BW93)</f>
        <v>0</v>
      </c>
      <c r="BX94" s="663">
        <v>3</v>
      </c>
      <c r="CE94" s="664"/>
      <c r="CH94" s="668" t="s">
        <v>86</v>
      </c>
      <c r="CI94" s="662">
        <f>IF(SUMIF($F$50:$O$50,"=3",$F$62:$O$62)&lt;=CI93,SUMIF($F$50:$O$50,"=3",$F$62:$O$62),CI93)</f>
        <v>0</v>
      </c>
      <c r="CJ94" s="663">
        <v>3</v>
      </c>
      <c r="CQ94" s="664"/>
      <c r="CT94" s="668" t="s">
        <v>86</v>
      </c>
      <c r="CU94" s="662">
        <f>IF(SUMIF($F$50:$O$50,"=3",$F$62:$O$62)&lt;=CU93,SUMIF($F$50:$O$50,"=3",$F$62:$O$62),CU93)</f>
        <v>0</v>
      </c>
      <c r="CV94" s="663">
        <v>3</v>
      </c>
      <c r="DC94" s="664"/>
      <c r="DF94" s="668" t="s">
        <v>86</v>
      </c>
      <c r="DG94" s="662">
        <f>IF(SUMIF($F$50:$O$50,"=3",$F$62:$O$62)&lt;=DG93,SUMIF($F$50:$O$50,"=3",$F$62:$O$62),DG93)</f>
        <v>0</v>
      </c>
      <c r="DH94" s="663">
        <v>3</v>
      </c>
      <c r="DO94" s="664"/>
    </row>
    <row r="95" spans="1:119" hidden="1" x14ac:dyDescent="0.25">
      <c r="B95" s="668"/>
      <c r="C95" s="662">
        <f>C93-C94</f>
        <v>0</v>
      </c>
      <c r="K95" s="664"/>
      <c r="N95" s="668"/>
      <c r="O95" s="662">
        <f>O93-O94</f>
        <v>0</v>
      </c>
      <c r="U95" s="663"/>
      <c r="W95" s="664"/>
      <c r="Z95" s="668"/>
      <c r="AA95" s="662">
        <f>AA93-AA94</f>
        <v>0</v>
      </c>
      <c r="AB95" s="663"/>
      <c r="AC95" s="663"/>
      <c r="AD95" s="663"/>
      <c r="AE95" s="663"/>
      <c r="AF95" s="663"/>
      <c r="AG95" s="663"/>
      <c r="AH95" s="663"/>
      <c r="AI95" s="664"/>
      <c r="AL95" s="668"/>
      <c r="AM95" s="662">
        <f>AM93-AM94</f>
        <v>0</v>
      </c>
      <c r="AN95" s="663"/>
      <c r="AU95" s="664"/>
      <c r="AX95" s="668"/>
      <c r="AY95" s="662">
        <f>AY93-AY94</f>
        <v>0</v>
      </c>
      <c r="BG95" s="664"/>
      <c r="BJ95" s="668"/>
      <c r="BK95" s="662">
        <f>BK93-BK94</f>
        <v>0</v>
      </c>
      <c r="BS95" s="664"/>
      <c r="BV95" s="668"/>
      <c r="BW95" s="662">
        <f>BW93-BW94</f>
        <v>0</v>
      </c>
      <c r="CE95" s="664"/>
      <c r="CH95" s="668"/>
      <c r="CI95" s="662">
        <f>CI93-CI94</f>
        <v>0</v>
      </c>
      <c r="CQ95" s="664"/>
      <c r="CT95" s="668"/>
      <c r="CU95" s="662">
        <f>CU93-CU94</f>
        <v>0</v>
      </c>
      <c r="DC95" s="664"/>
      <c r="DF95" s="668"/>
      <c r="DG95" s="662">
        <f>DG93-DG94</f>
        <v>0</v>
      </c>
      <c r="DO95" s="664"/>
    </row>
    <row r="96" spans="1:119" hidden="1" x14ac:dyDescent="0.25">
      <c r="B96" s="668" t="s">
        <v>87</v>
      </c>
      <c r="C96" s="662">
        <f>IF(SUMIF($F$50:$O$50,"=3",$F$63:$O$63)&lt;=C95,SUMIF($F$50:$O$50,"=3",$F$63:$O$63),C95)</f>
        <v>0</v>
      </c>
      <c r="E96" s="663">
        <v>3</v>
      </c>
      <c r="K96" s="664"/>
      <c r="N96" s="668" t="s">
        <v>87</v>
      </c>
      <c r="O96" s="662">
        <f>IF(SUMIF($F$50:$O$50,"=3",$F$63:$O$63)&lt;=O95,SUMIF($F$50:$O$50,"=3",$F$63:$O$63),O95)</f>
        <v>0</v>
      </c>
      <c r="Q96" s="663">
        <v>3</v>
      </c>
      <c r="U96" s="663"/>
      <c r="W96" s="664"/>
      <c r="Z96" s="668" t="s">
        <v>87</v>
      </c>
      <c r="AA96" s="662">
        <f>IF(SUMIF($F$50:$O$50,"=3",$F$63:$O$63)&lt;=AA95,SUMIF($F$50:$O$50,"=3",$F$63:$O$63),AA95)</f>
        <v>0</v>
      </c>
      <c r="AB96" s="663"/>
      <c r="AC96" s="663">
        <v>3</v>
      </c>
      <c r="AD96" s="663"/>
      <c r="AE96" s="663"/>
      <c r="AF96" s="663"/>
      <c r="AG96" s="663"/>
      <c r="AH96" s="663"/>
      <c r="AI96" s="664"/>
      <c r="AL96" s="668" t="s">
        <v>87</v>
      </c>
      <c r="AM96" s="662">
        <f>IF(SUMIF($F$50:$O$50,"=3",$F$63:$O$63)&lt;=AM95,SUMIF($F$50:$O$50,"=3",$F$63:$O$63),AM95)</f>
        <v>0</v>
      </c>
      <c r="AN96" s="663"/>
      <c r="AO96" s="663">
        <v>3</v>
      </c>
      <c r="AU96" s="664"/>
      <c r="AX96" s="668" t="s">
        <v>87</v>
      </c>
      <c r="AY96" s="662">
        <f>IF(SUMIF($F$50:$O$50,"=3",$F$63:$O$63)&lt;=AY95,SUMIF($F$50:$O$50,"=3",$F$63:$O$63),AY95)</f>
        <v>0</v>
      </c>
      <c r="BA96" s="663">
        <v>3</v>
      </c>
      <c r="BG96" s="664"/>
      <c r="BJ96" s="668" t="s">
        <v>87</v>
      </c>
      <c r="BK96" s="662">
        <f>IF(SUMIF($F$50:$O$50,"=3",$F$63:$O$63)&lt;=BK95,SUMIF($F$50:$O$50,"=3",$F$63:$O$63),BK95)</f>
        <v>0</v>
      </c>
      <c r="BM96" s="663">
        <v>3</v>
      </c>
      <c r="BS96" s="664"/>
      <c r="BV96" s="668" t="s">
        <v>87</v>
      </c>
      <c r="BW96" s="662">
        <f>IF(SUMIF($F$50:$O$50,"=3",$F$63:$O$63)&lt;=BW95,SUMIF($F$50:$O$50,"=3",$F$63:$O$63),BW95)</f>
        <v>0</v>
      </c>
      <c r="BY96" s="663">
        <v>3</v>
      </c>
      <c r="CE96" s="664"/>
      <c r="CH96" s="668" t="s">
        <v>87</v>
      </c>
      <c r="CI96" s="662">
        <f>IF(SUMIF($F$50:$O$50,"=3",$F$63:$O$63)&lt;=CI95,SUMIF($F$50:$O$50,"=3",$F$63:$O$63),CI95)</f>
        <v>0</v>
      </c>
      <c r="CK96" s="663">
        <v>3</v>
      </c>
      <c r="CQ96" s="664"/>
      <c r="CT96" s="668" t="s">
        <v>87</v>
      </c>
      <c r="CU96" s="662">
        <f>IF(SUMIF($F$50:$O$50,"=3",$F$63:$O$63)&lt;=CU95,SUMIF($F$50:$O$50,"=3",$F$63:$O$63),CU95)</f>
        <v>0</v>
      </c>
      <c r="CW96" s="663">
        <v>3</v>
      </c>
      <c r="DC96" s="664"/>
      <c r="DF96" s="668" t="s">
        <v>87</v>
      </c>
      <c r="DG96" s="662">
        <f>IF(SUMIF($F$50:$O$50,"=3",$F$63:$O$63)&lt;=DG95,SUMIF($F$50:$O$50,"=3",$F$63:$O$63),DG95)</f>
        <v>0</v>
      </c>
      <c r="DI96" s="663">
        <v>3</v>
      </c>
      <c r="DO96" s="664"/>
    </row>
    <row r="97" spans="2:119" hidden="1" x14ac:dyDescent="0.25">
      <c r="B97" s="668"/>
      <c r="C97" s="662">
        <f>C95-C96</f>
        <v>0</v>
      </c>
      <c r="K97" s="664"/>
      <c r="N97" s="668"/>
      <c r="O97" s="662">
        <f>O95-O96</f>
        <v>0</v>
      </c>
      <c r="U97" s="663"/>
      <c r="W97" s="664"/>
      <c r="Z97" s="668"/>
      <c r="AA97" s="662">
        <f>AA95-AA96</f>
        <v>0</v>
      </c>
      <c r="AB97" s="663"/>
      <c r="AC97" s="663"/>
      <c r="AD97" s="663"/>
      <c r="AE97" s="663"/>
      <c r="AF97" s="663"/>
      <c r="AG97" s="663"/>
      <c r="AH97" s="663"/>
      <c r="AI97" s="664"/>
      <c r="AL97" s="668"/>
      <c r="AM97" s="662">
        <f>AM95-AM96</f>
        <v>0</v>
      </c>
      <c r="AN97" s="663"/>
      <c r="AU97" s="664"/>
      <c r="AX97" s="668"/>
      <c r="AY97" s="662">
        <f>AY95-AY96</f>
        <v>0</v>
      </c>
      <c r="BG97" s="664"/>
      <c r="BJ97" s="668"/>
      <c r="BK97" s="662">
        <f>BK95-BK96</f>
        <v>0</v>
      </c>
      <c r="BS97" s="664"/>
      <c r="BV97" s="668"/>
      <c r="BW97" s="662">
        <f>BW95-BW96</f>
        <v>0</v>
      </c>
      <c r="CE97" s="664"/>
      <c r="CH97" s="668"/>
      <c r="CI97" s="662">
        <f>CI95-CI96</f>
        <v>0</v>
      </c>
      <c r="CQ97" s="664"/>
      <c r="CT97" s="668"/>
      <c r="CU97" s="662">
        <f>CU95-CU96</f>
        <v>0</v>
      </c>
      <c r="DC97" s="664"/>
      <c r="DF97" s="668"/>
      <c r="DG97" s="662">
        <f>DG95-DG96</f>
        <v>0</v>
      </c>
      <c r="DO97" s="664"/>
    </row>
    <row r="98" spans="2:119" hidden="1" x14ac:dyDescent="0.25">
      <c r="B98" s="668" t="s">
        <v>88</v>
      </c>
      <c r="C98" s="662">
        <f>IF(SUMIF($F$50:$O$50,"=4",$F$62:$O$62)&lt;=C97,SUMIF($F$50:$O$50,"=4",$F$62:$O$62),C97)</f>
        <v>0</v>
      </c>
      <c r="D98" s="663">
        <v>4</v>
      </c>
      <c r="K98" s="664"/>
      <c r="N98" s="668" t="s">
        <v>88</v>
      </c>
      <c r="O98" s="662">
        <f>IF(SUMIF($F$50:$O$50,"=4",$F$62:$O$62)&lt;=O97,SUMIF($F$50:$O$50,"=4",$F$62:$O$62),O97)</f>
        <v>0</v>
      </c>
      <c r="P98" s="663">
        <v>4</v>
      </c>
      <c r="U98" s="663"/>
      <c r="W98" s="664"/>
      <c r="Z98" s="668" t="s">
        <v>88</v>
      </c>
      <c r="AA98" s="662">
        <f>IF(SUMIF($F$50:$O$50,"=4",$F$62:$O$62)&lt;=AA97,SUMIF($F$50:$O$50,"=4",$F$62:$O$62),AA97)</f>
        <v>0</v>
      </c>
      <c r="AB98" s="663">
        <v>4</v>
      </c>
      <c r="AC98" s="663"/>
      <c r="AD98" s="663"/>
      <c r="AE98" s="663"/>
      <c r="AF98" s="663"/>
      <c r="AG98" s="663"/>
      <c r="AH98" s="663"/>
      <c r="AI98" s="664"/>
      <c r="AL98" s="668" t="s">
        <v>88</v>
      </c>
      <c r="AM98" s="662">
        <f>IF(SUMIF($F$50:$O$50,"=4",$F$62:$O$62)&lt;=AM97,SUMIF($F$50:$O$50,"=4",$F$62:$O$62),AM97)</f>
        <v>0</v>
      </c>
      <c r="AN98" s="663">
        <v>4</v>
      </c>
      <c r="AU98" s="664"/>
      <c r="AX98" s="668" t="s">
        <v>88</v>
      </c>
      <c r="AY98" s="662">
        <f>IF(SUMIF($F$50:$O$50,"=4",$F$62:$O$62)&lt;=AY97,SUMIF($F$50:$O$50,"=4",$F$62:$O$62),AY97)</f>
        <v>0</v>
      </c>
      <c r="AZ98" s="663">
        <v>4</v>
      </c>
      <c r="BG98" s="664"/>
      <c r="BJ98" s="668" t="s">
        <v>88</v>
      </c>
      <c r="BK98" s="662">
        <f>IF(SUMIF($F$50:$O$50,"=4",$F$62:$O$62)&lt;=BK97,SUMIF($F$50:$O$50,"=4",$F$62:$O$62),BK97)</f>
        <v>0</v>
      </c>
      <c r="BL98" s="663">
        <v>4</v>
      </c>
      <c r="BS98" s="664"/>
      <c r="BV98" s="668" t="s">
        <v>88</v>
      </c>
      <c r="BW98" s="662">
        <f>IF(SUMIF($F$50:$O$50,"=4",$F$62:$O$62)&lt;=BW97,SUMIF($F$50:$O$50,"=4",$F$62:$O$62),BW97)</f>
        <v>0</v>
      </c>
      <c r="BX98" s="663">
        <v>4</v>
      </c>
      <c r="CE98" s="664"/>
      <c r="CH98" s="668" t="s">
        <v>88</v>
      </c>
      <c r="CI98" s="662">
        <f>IF(SUMIF($F$50:$O$50,"=4",$F$62:$O$62)&lt;=CI97,SUMIF($F$50:$O$50,"=4",$F$62:$O$62),CI97)</f>
        <v>0</v>
      </c>
      <c r="CJ98" s="663">
        <v>4</v>
      </c>
      <c r="CQ98" s="664"/>
      <c r="CT98" s="668" t="s">
        <v>88</v>
      </c>
      <c r="CU98" s="662">
        <f>IF(SUMIF($F$50:$O$50,"=4",$F$62:$O$62)&lt;=CU97,SUMIF($F$50:$O$50,"=4",$F$62:$O$62),CU97)</f>
        <v>0</v>
      </c>
      <c r="CV98" s="663">
        <v>4</v>
      </c>
      <c r="DC98" s="664"/>
      <c r="DF98" s="668" t="s">
        <v>88</v>
      </c>
      <c r="DG98" s="662">
        <f>IF(SUMIF($F$50:$O$50,"=4",$F$62:$O$62)&lt;=DG97,SUMIF($F$50:$O$50,"=4",$F$62:$O$62),DG97)</f>
        <v>0</v>
      </c>
      <c r="DH98" s="663">
        <v>4</v>
      </c>
      <c r="DO98" s="664"/>
    </row>
    <row r="99" spans="2:119" hidden="1" x14ac:dyDescent="0.25">
      <c r="B99" s="668"/>
      <c r="C99" s="662">
        <f>C97-C98</f>
        <v>0</v>
      </c>
      <c r="K99" s="664"/>
      <c r="N99" s="668"/>
      <c r="O99" s="662">
        <f>O97-O98</f>
        <v>0</v>
      </c>
      <c r="U99" s="663"/>
      <c r="W99" s="664"/>
      <c r="Z99" s="668"/>
      <c r="AA99" s="662">
        <f>AA97-AA98</f>
        <v>0</v>
      </c>
      <c r="AB99" s="663"/>
      <c r="AC99" s="663"/>
      <c r="AD99" s="663"/>
      <c r="AE99" s="663"/>
      <c r="AF99" s="663"/>
      <c r="AG99" s="663"/>
      <c r="AH99" s="663"/>
      <c r="AI99" s="664"/>
      <c r="AL99" s="668"/>
      <c r="AM99" s="662">
        <f>AM97-AM98</f>
        <v>0</v>
      </c>
      <c r="AN99" s="663"/>
      <c r="AU99" s="664"/>
      <c r="AX99" s="668"/>
      <c r="AY99" s="662">
        <f>AY97-AY98</f>
        <v>0</v>
      </c>
      <c r="BG99" s="664"/>
      <c r="BJ99" s="668"/>
      <c r="BK99" s="662">
        <f>BK97-BK98</f>
        <v>0</v>
      </c>
      <c r="BS99" s="664"/>
      <c r="BV99" s="668"/>
      <c r="BW99" s="662">
        <f>BW97-BW98</f>
        <v>0</v>
      </c>
      <c r="CE99" s="664"/>
      <c r="CH99" s="668"/>
      <c r="CI99" s="662">
        <f>CI97-CI98</f>
        <v>0</v>
      </c>
      <c r="CQ99" s="664"/>
      <c r="CT99" s="668"/>
      <c r="CU99" s="662">
        <f>CU97-CU98</f>
        <v>0</v>
      </c>
      <c r="DC99" s="664"/>
      <c r="DF99" s="668"/>
      <c r="DG99" s="662">
        <f>DG97-DG98</f>
        <v>0</v>
      </c>
      <c r="DO99" s="664"/>
    </row>
    <row r="100" spans="2:119" hidden="1" x14ac:dyDescent="0.25">
      <c r="B100" s="668" t="s">
        <v>89</v>
      </c>
      <c r="C100" s="662">
        <f>IF(SUMIF($F$50:$O$50,"=4",$F$63:$O$63)&lt;=C99,SUMIF($F$50:$O$50,"=4",$F$63:$O$63),C99)</f>
        <v>0</v>
      </c>
      <c r="E100" s="663">
        <v>4</v>
      </c>
      <c r="K100" s="664"/>
      <c r="N100" s="668" t="s">
        <v>89</v>
      </c>
      <c r="O100" s="662">
        <f>IF(SUMIF($F$50:$O$50,"=4",$F$63:$O$63)&lt;=O99,SUMIF($F$50:$O$50,"=4",$F$63:$O$63),O99)</f>
        <v>0</v>
      </c>
      <c r="Q100" s="663">
        <v>4</v>
      </c>
      <c r="U100" s="663"/>
      <c r="W100" s="664"/>
      <c r="Z100" s="668" t="s">
        <v>89</v>
      </c>
      <c r="AA100" s="662">
        <f>IF(SUMIF($F$50:$O$50,"=4",$F$63:$O$63)&lt;=AA99,SUMIF($F$50:$O$50,"=4",$F$63:$O$63),AA99)</f>
        <v>0</v>
      </c>
      <c r="AB100" s="663"/>
      <c r="AC100" s="663">
        <v>4</v>
      </c>
      <c r="AD100" s="663"/>
      <c r="AE100" s="663"/>
      <c r="AF100" s="663"/>
      <c r="AG100" s="663"/>
      <c r="AH100" s="663"/>
      <c r="AI100" s="664"/>
      <c r="AL100" s="668" t="s">
        <v>89</v>
      </c>
      <c r="AM100" s="662">
        <f>IF(SUMIF($F$50:$O$50,"=4",$F$63:$O$63)&lt;=AM99,SUMIF($F$50:$O$50,"=4",$F$63:$O$63),AM99)</f>
        <v>0</v>
      </c>
      <c r="AN100" s="663"/>
      <c r="AO100" s="663">
        <v>4</v>
      </c>
      <c r="AU100" s="664"/>
      <c r="AX100" s="668" t="s">
        <v>89</v>
      </c>
      <c r="AY100" s="662">
        <f>IF(SUMIF($F$50:$O$50,"=4",$F$63:$O$63)&lt;=AY99,SUMIF($F$50:$O$50,"=4",$F$63:$O$63),AY99)</f>
        <v>0</v>
      </c>
      <c r="BA100" s="663">
        <v>4</v>
      </c>
      <c r="BG100" s="664"/>
      <c r="BJ100" s="668" t="s">
        <v>89</v>
      </c>
      <c r="BK100" s="662">
        <f>IF(SUMIF($F$50:$O$50,"=4",$F$63:$O$63)&lt;=BK99,SUMIF($F$50:$O$50,"=4",$F$63:$O$63),BK99)</f>
        <v>0</v>
      </c>
      <c r="BM100" s="663">
        <v>4</v>
      </c>
      <c r="BS100" s="664"/>
      <c r="BV100" s="668" t="s">
        <v>89</v>
      </c>
      <c r="BW100" s="662">
        <f>IF(SUMIF($F$50:$O$50,"=4",$F$63:$O$63)&lt;=BW99,SUMIF($F$50:$O$50,"=4",$F$63:$O$63),BW99)</f>
        <v>0</v>
      </c>
      <c r="BY100" s="663">
        <v>4</v>
      </c>
      <c r="CE100" s="664"/>
      <c r="CH100" s="668" t="s">
        <v>89</v>
      </c>
      <c r="CI100" s="662">
        <f>IF(SUMIF($F$50:$O$50,"=4",$F$63:$O$63)&lt;=CI99,SUMIF($F$50:$O$50,"=4",$F$63:$O$63),CI99)</f>
        <v>0</v>
      </c>
      <c r="CK100" s="663">
        <v>4</v>
      </c>
      <c r="CQ100" s="664"/>
      <c r="CT100" s="668" t="s">
        <v>89</v>
      </c>
      <c r="CU100" s="662">
        <f>IF(SUMIF($F$50:$O$50,"=4",$F$63:$O$63)&lt;=CU99,SUMIF($F$50:$O$50,"=4",$F$63:$O$63),CU99)</f>
        <v>0</v>
      </c>
      <c r="CW100" s="663">
        <v>4</v>
      </c>
      <c r="DC100" s="664"/>
      <c r="DF100" s="668" t="s">
        <v>89</v>
      </c>
      <c r="DG100" s="662">
        <f>IF(SUMIF($F$50:$O$50,"=4",$F$63:$O$63)&lt;=DG99,SUMIF($F$50:$O$50,"=4",$F$63:$O$63),DG99)</f>
        <v>0</v>
      </c>
      <c r="DI100" s="663">
        <v>4</v>
      </c>
      <c r="DO100" s="664"/>
    </row>
    <row r="101" spans="2:119" hidden="1" x14ac:dyDescent="0.25">
      <c r="B101" s="668"/>
      <c r="C101" s="662">
        <f>C99-C100</f>
        <v>0</v>
      </c>
      <c r="K101" s="664"/>
      <c r="N101" s="668"/>
      <c r="O101" s="662">
        <f>O99-O100</f>
        <v>0</v>
      </c>
      <c r="U101" s="663"/>
      <c r="W101" s="664"/>
      <c r="Z101" s="668"/>
      <c r="AA101" s="662">
        <f>AA99-AA100</f>
        <v>0</v>
      </c>
      <c r="AB101" s="663"/>
      <c r="AC101" s="663"/>
      <c r="AD101" s="663"/>
      <c r="AE101" s="663"/>
      <c r="AF101" s="663"/>
      <c r="AG101" s="663"/>
      <c r="AH101" s="663"/>
      <c r="AI101" s="664"/>
      <c r="AL101" s="668"/>
      <c r="AM101" s="662">
        <f>AM99-AM100</f>
        <v>0</v>
      </c>
      <c r="AN101" s="663"/>
      <c r="AU101" s="664"/>
      <c r="AX101" s="668"/>
      <c r="AY101" s="662">
        <f>AY99-AY100</f>
        <v>0</v>
      </c>
      <c r="BG101" s="664"/>
      <c r="BJ101" s="668"/>
      <c r="BK101" s="662">
        <f>BK99-BK100</f>
        <v>0</v>
      </c>
      <c r="BS101" s="664"/>
      <c r="BV101" s="668"/>
      <c r="BW101" s="662">
        <f>BW99-BW100</f>
        <v>0</v>
      </c>
      <c r="CE101" s="664"/>
      <c r="CH101" s="668"/>
      <c r="CI101" s="662">
        <f>CI99-CI100</f>
        <v>0</v>
      </c>
      <c r="CQ101" s="664"/>
      <c r="CT101" s="668"/>
      <c r="CU101" s="662">
        <f>CU99-CU100</f>
        <v>0</v>
      </c>
      <c r="DC101" s="664"/>
      <c r="DF101" s="668"/>
      <c r="DG101" s="662">
        <f>DG99-DG100</f>
        <v>0</v>
      </c>
      <c r="DO101" s="664"/>
    </row>
    <row r="102" spans="2:119" hidden="1" x14ac:dyDescent="0.25">
      <c r="B102" s="668" t="s">
        <v>90</v>
      </c>
      <c r="C102" s="662">
        <f>IF(SUMIF($F$50:$O$50,"=5",$F$62:$O$62)&lt;=C101,SUMIF($F$50:$O$50,"=5",$F$62:$O$62),C101)</f>
        <v>0</v>
      </c>
      <c r="D102" s="663">
        <v>5</v>
      </c>
      <c r="K102" s="664"/>
      <c r="N102" s="668" t="s">
        <v>90</v>
      </c>
      <c r="O102" s="662">
        <f>IF(SUMIF($F$50:$O$50,"=5",$F$62:$O$62)&lt;=O101,SUMIF($F$50:$O$50,"=5",$F$62:$O$62),O101)</f>
        <v>0</v>
      </c>
      <c r="P102" s="663">
        <v>5</v>
      </c>
      <c r="U102" s="663"/>
      <c r="W102" s="664"/>
      <c r="Z102" s="668" t="s">
        <v>90</v>
      </c>
      <c r="AA102" s="662">
        <f>IF(SUMIF($F$50:$O$50,"=5",$F$62:$O$62)&lt;=AA101,SUMIF($F$50:$O$50,"=5",$F$62:$O$62),AA101)</f>
        <v>0</v>
      </c>
      <c r="AB102" s="663">
        <v>5</v>
      </c>
      <c r="AC102" s="663"/>
      <c r="AD102" s="663"/>
      <c r="AE102" s="663"/>
      <c r="AF102" s="663"/>
      <c r="AG102" s="663"/>
      <c r="AH102" s="663"/>
      <c r="AI102" s="664"/>
      <c r="AL102" s="668" t="s">
        <v>90</v>
      </c>
      <c r="AM102" s="662">
        <f>IF(SUMIF($F$50:$O$50,"=5",$F$62:$O$62)&lt;=AM101,SUMIF($F$50:$O$50,"=5",$F$62:$O$62),AM101)</f>
        <v>0</v>
      </c>
      <c r="AN102" s="663">
        <v>5</v>
      </c>
      <c r="AU102" s="664"/>
      <c r="AX102" s="668" t="s">
        <v>90</v>
      </c>
      <c r="AY102" s="662">
        <f>IF(SUMIF($F$50:$O$50,"=5",$F$62:$O$62)&lt;=AY101,SUMIF($F$50:$O$50,"=5",$F$62:$O$62),AY101)</f>
        <v>0</v>
      </c>
      <c r="AZ102" s="663">
        <v>5</v>
      </c>
      <c r="BG102" s="664"/>
      <c r="BJ102" s="668" t="s">
        <v>90</v>
      </c>
      <c r="BK102" s="662">
        <f>IF(SUMIF($F$50:$O$50,"=5",$F$62:$O$62)&lt;=BK101,SUMIF($F$50:$O$50,"=5",$F$62:$O$62),BK101)</f>
        <v>0</v>
      </c>
      <c r="BL102" s="663">
        <v>5</v>
      </c>
      <c r="BS102" s="664"/>
      <c r="BV102" s="668" t="s">
        <v>90</v>
      </c>
      <c r="BW102" s="662">
        <f>IF(SUMIF($F$50:$O$50,"=5",$F$62:$O$62)&lt;=BW101,SUMIF($F$50:$O$50,"=5",$F$62:$O$62),BW101)</f>
        <v>0</v>
      </c>
      <c r="BX102" s="663">
        <v>5</v>
      </c>
      <c r="CE102" s="664"/>
      <c r="CH102" s="668" t="s">
        <v>90</v>
      </c>
      <c r="CI102" s="662">
        <f>IF(SUMIF($F$50:$O$50,"=5",$F$62:$O$62)&lt;=CI101,SUMIF($F$50:$O$50,"=5",$F$62:$O$62),CI101)</f>
        <v>0</v>
      </c>
      <c r="CJ102" s="663">
        <v>5</v>
      </c>
      <c r="CQ102" s="664"/>
      <c r="CT102" s="668" t="s">
        <v>90</v>
      </c>
      <c r="CU102" s="662">
        <f>IF(SUMIF($F$50:$O$50,"=5",$F$62:$O$62)&lt;=CU101,SUMIF($F$50:$O$50,"=5",$F$62:$O$62),CU101)</f>
        <v>0</v>
      </c>
      <c r="CV102" s="663">
        <v>5</v>
      </c>
      <c r="DC102" s="664"/>
      <c r="DF102" s="668" t="s">
        <v>90</v>
      </c>
      <c r="DG102" s="662">
        <f>IF(SUMIF($F$50:$O$50,"=5",$F$62:$O$62)&lt;=DG101,SUMIF($F$50:$O$50,"=5",$F$62:$O$62),DG101)</f>
        <v>0</v>
      </c>
      <c r="DH102" s="663">
        <v>5</v>
      </c>
      <c r="DO102" s="664"/>
    </row>
    <row r="103" spans="2:119" hidden="1" x14ac:dyDescent="0.25">
      <c r="B103" s="668"/>
      <c r="C103" s="662">
        <f>C101-C102</f>
        <v>0</v>
      </c>
      <c r="K103" s="664"/>
      <c r="N103" s="668"/>
      <c r="O103" s="662">
        <f>O101-O102</f>
        <v>0</v>
      </c>
      <c r="U103" s="663"/>
      <c r="W103" s="664"/>
      <c r="Z103" s="668"/>
      <c r="AA103" s="662">
        <f>AA101-AA102</f>
        <v>0</v>
      </c>
      <c r="AB103" s="663"/>
      <c r="AC103" s="663"/>
      <c r="AD103" s="663"/>
      <c r="AE103" s="663"/>
      <c r="AF103" s="663"/>
      <c r="AG103" s="663"/>
      <c r="AH103" s="663"/>
      <c r="AI103" s="664"/>
      <c r="AL103" s="668"/>
      <c r="AM103" s="662">
        <f>AM101-AM102</f>
        <v>0</v>
      </c>
      <c r="AN103" s="663"/>
      <c r="AU103" s="664"/>
      <c r="AX103" s="668"/>
      <c r="AY103" s="662">
        <f>AY101-AY102</f>
        <v>0</v>
      </c>
      <c r="BG103" s="664"/>
      <c r="BJ103" s="668"/>
      <c r="BK103" s="662">
        <f>BK101-BK102</f>
        <v>0</v>
      </c>
      <c r="BS103" s="664"/>
      <c r="BV103" s="668"/>
      <c r="BW103" s="662">
        <f>BW101-BW102</f>
        <v>0</v>
      </c>
      <c r="CE103" s="664"/>
      <c r="CH103" s="668"/>
      <c r="CI103" s="662">
        <f>CI101-CI102</f>
        <v>0</v>
      </c>
      <c r="CQ103" s="664"/>
      <c r="CT103" s="668"/>
      <c r="CU103" s="662">
        <f>CU101-CU102</f>
        <v>0</v>
      </c>
      <c r="DC103" s="664"/>
      <c r="DF103" s="668"/>
      <c r="DG103" s="662">
        <f>DG101-DG102</f>
        <v>0</v>
      </c>
      <c r="DO103" s="664"/>
    </row>
    <row r="104" spans="2:119" hidden="1" x14ac:dyDescent="0.25">
      <c r="B104" s="668" t="s">
        <v>91</v>
      </c>
      <c r="C104" s="662">
        <f>IF(SUMIF($F$50:$O$50,"=5",$F$63:$O$63)&lt;=C103,SUMIF($F$50:$O$50,"=5",$F$63:$O$63),C103)</f>
        <v>0</v>
      </c>
      <c r="E104" s="663">
        <v>5</v>
      </c>
      <c r="K104" s="664"/>
      <c r="N104" s="668" t="s">
        <v>91</v>
      </c>
      <c r="O104" s="662">
        <f>IF(SUMIF($F$50:$O$50,"=5",$F$63:$O$63)&lt;=O103,SUMIF($F$50:$O$50,"=5",$F$63:$O$63),O103)</f>
        <v>0</v>
      </c>
      <c r="Q104" s="663">
        <v>5</v>
      </c>
      <c r="U104" s="663"/>
      <c r="W104" s="664"/>
      <c r="Z104" s="668" t="s">
        <v>91</v>
      </c>
      <c r="AA104" s="662">
        <f>IF(SUMIF($F$50:$O$50,"=5",$F$63:$O$63)&lt;=AA103,SUMIF($F$50:$O$50,"=5",$F$63:$O$63),AA103)</f>
        <v>0</v>
      </c>
      <c r="AB104" s="663"/>
      <c r="AC104" s="663">
        <v>5</v>
      </c>
      <c r="AD104" s="663"/>
      <c r="AE104" s="663"/>
      <c r="AF104" s="663"/>
      <c r="AG104" s="663"/>
      <c r="AH104" s="663"/>
      <c r="AI104" s="664"/>
      <c r="AL104" s="668" t="s">
        <v>91</v>
      </c>
      <c r="AM104" s="662">
        <f>IF(SUMIF($F$50:$O$50,"=5",$F$63:$O$63)&lt;=AM103,SUMIF($F$50:$O$50,"=5",$F$63:$O$63),AM103)</f>
        <v>0</v>
      </c>
      <c r="AN104" s="663"/>
      <c r="AO104" s="663">
        <v>5</v>
      </c>
      <c r="AU104" s="664"/>
      <c r="AX104" s="668" t="s">
        <v>91</v>
      </c>
      <c r="AY104" s="662">
        <f>IF(SUMIF($F$50:$O$50,"=5",$F$63:$O$63)&lt;=AY103,SUMIF($F$50:$O$50,"=5",$F$63:$O$63),AY103)</f>
        <v>0</v>
      </c>
      <c r="BA104" s="663">
        <v>5</v>
      </c>
      <c r="BG104" s="664"/>
      <c r="BJ104" s="668" t="s">
        <v>91</v>
      </c>
      <c r="BK104" s="662">
        <f>IF(SUMIF($F$50:$O$50,"=5",$F$63:$O$63)&lt;=BK103,SUMIF($F$50:$O$50,"=5",$F$63:$O$63),BK103)</f>
        <v>0</v>
      </c>
      <c r="BM104" s="663">
        <v>5</v>
      </c>
      <c r="BS104" s="664"/>
      <c r="BV104" s="668" t="s">
        <v>91</v>
      </c>
      <c r="BW104" s="662">
        <f>IF(SUMIF($F$50:$O$50,"=5",$F$63:$O$63)&lt;=BW103,SUMIF($F$50:$O$50,"=5",$F$63:$O$63),BW103)</f>
        <v>0</v>
      </c>
      <c r="BY104" s="663">
        <v>5</v>
      </c>
      <c r="CE104" s="664"/>
      <c r="CH104" s="668" t="s">
        <v>91</v>
      </c>
      <c r="CI104" s="662">
        <f>IF(SUMIF($F$50:$O$50,"=5",$F$63:$O$63)&lt;=CI103,SUMIF($F$50:$O$50,"=5",$F$63:$O$63),CI103)</f>
        <v>0</v>
      </c>
      <c r="CK104" s="663">
        <v>5</v>
      </c>
      <c r="CQ104" s="664"/>
      <c r="CT104" s="668" t="s">
        <v>91</v>
      </c>
      <c r="CU104" s="662">
        <f>IF(SUMIF($F$50:$O$50,"=5",$F$63:$O$63)&lt;=CU103,SUMIF($F$50:$O$50,"=5",$F$63:$O$63),CU103)</f>
        <v>0</v>
      </c>
      <c r="CW104" s="663">
        <v>5</v>
      </c>
      <c r="DC104" s="664"/>
      <c r="DF104" s="668" t="s">
        <v>91</v>
      </c>
      <c r="DG104" s="662">
        <f>IF(SUMIF($F$50:$O$50,"=5",$F$63:$O$63)&lt;=DG103,SUMIF($F$50:$O$50,"=5",$F$63:$O$63),DG103)</f>
        <v>0</v>
      </c>
      <c r="DI104" s="663">
        <v>5</v>
      </c>
      <c r="DO104" s="664"/>
    </row>
    <row r="105" spans="2:119" hidden="1" x14ac:dyDescent="0.25">
      <c r="B105" s="668"/>
      <c r="C105" s="662">
        <f>C103-C104</f>
        <v>0</v>
      </c>
      <c r="K105" s="664"/>
      <c r="N105" s="668"/>
      <c r="O105" s="662">
        <f>O103-O104</f>
        <v>0</v>
      </c>
      <c r="U105" s="663"/>
      <c r="W105" s="664"/>
      <c r="Z105" s="668"/>
      <c r="AA105" s="662">
        <f>AA103-AA104</f>
        <v>0</v>
      </c>
      <c r="AB105" s="663"/>
      <c r="AC105" s="663"/>
      <c r="AD105" s="663"/>
      <c r="AE105" s="663"/>
      <c r="AF105" s="663"/>
      <c r="AG105" s="663"/>
      <c r="AH105" s="663"/>
      <c r="AI105" s="664"/>
      <c r="AL105" s="668"/>
      <c r="AM105" s="662">
        <f>AM103-AM104</f>
        <v>0</v>
      </c>
      <c r="AN105" s="663"/>
      <c r="AU105" s="664"/>
      <c r="AX105" s="668"/>
      <c r="AY105" s="662">
        <f>AY103-AY104</f>
        <v>0</v>
      </c>
      <c r="BG105" s="664"/>
      <c r="BJ105" s="668"/>
      <c r="BK105" s="662">
        <f>BK103-BK104</f>
        <v>0</v>
      </c>
      <c r="BS105" s="664"/>
      <c r="BV105" s="668"/>
      <c r="BW105" s="662">
        <f>BW103-BW104</f>
        <v>0</v>
      </c>
      <c r="CE105" s="664"/>
      <c r="CH105" s="668"/>
      <c r="CI105" s="662">
        <f>CI103-CI104</f>
        <v>0</v>
      </c>
      <c r="CQ105" s="664"/>
      <c r="CT105" s="668"/>
      <c r="CU105" s="662">
        <f>CU103-CU104</f>
        <v>0</v>
      </c>
      <c r="DC105" s="664"/>
      <c r="DF105" s="668"/>
      <c r="DG105" s="662">
        <f>DG103-DG104</f>
        <v>0</v>
      </c>
      <c r="DO105" s="664"/>
    </row>
    <row r="106" spans="2:119" hidden="1" x14ac:dyDescent="0.25">
      <c r="B106" s="668" t="s">
        <v>92</v>
      </c>
      <c r="C106" s="662">
        <f>IF(SUMIF($F$50:$O$50,"=6",$F$62:$O$62)&lt;=C105,SUMIF($F$50:$O$50,"=6",$F$62:$O$62),C105)</f>
        <v>0</v>
      </c>
      <c r="D106" s="663">
        <v>6</v>
      </c>
      <c r="K106" s="664"/>
      <c r="N106" s="668" t="s">
        <v>92</v>
      </c>
      <c r="O106" s="662">
        <f>IF(SUMIF($F$50:$O$50,"=6",$F$62:$O$62)&lt;=O105,SUMIF($F$50:$O$50,"=6",$F$62:$O$62),O105)</f>
        <v>0</v>
      </c>
      <c r="P106" s="663">
        <v>6</v>
      </c>
      <c r="U106" s="663"/>
      <c r="W106" s="664"/>
      <c r="Z106" s="668" t="s">
        <v>92</v>
      </c>
      <c r="AA106" s="662">
        <f>IF(SUMIF($F$50:$O$50,"=6",$F$62:$O$62)&lt;=AA105,SUMIF($F$50:$O$50,"=6",$F$62:$O$62),AA105)</f>
        <v>0</v>
      </c>
      <c r="AB106" s="663">
        <v>6</v>
      </c>
      <c r="AC106" s="663"/>
      <c r="AD106" s="663"/>
      <c r="AE106" s="663"/>
      <c r="AF106" s="663"/>
      <c r="AG106" s="663"/>
      <c r="AH106" s="663"/>
      <c r="AI106" s="664"/>
      <c r="AL106" s="668" t="s">
        <v>92</v>
      </c>
      <c r="AM106" s="662">
        <f>IF(SUMIF($F$50:$O$50,"=6",$F$62:$O$62)&lt;=AM105,SUMIF($F$50:$O$50,"=6",$F$62:$O$62),AM105)</f>
        <v>0</v>
      </c>
      <c r="AN106" s="663">
        <v>6</v>
      </c>
      <c r="AU106" s="664"/>
      <c r="AX106" s="668" t="s">
        <v>92</v>
      </c>
      <c r="AY106" s="662">
        <f>IF(SUMIF($F$50:$O$50,"=6",$F$62:$O$62)&lt;=AY105,SUMIF($F$50:$O$50,"=6",$F$62:$O$62),AY105)</f>
        <v>0</v>
      </c>
      <c r="AZ106" s="663">
        <v>6</v>
      </c>
      <c r="BG106" s="664"/>
      <c r="BJ106" s="668" t="s">
        <v>92</v>
      </c>
      <c r="BK106" s="662">
        <f>IF(SUMIF($F$50:$O$50,"=6",$F$62:$O$62)&lt;=BK105,SUMIF($F$50:$O$50,"=6",$F$62:$O$62),BK105)</f>
        <v>0</v>
      </c>
      <c r="BL106" s="663">
        <v>6</v>
      </c>
      <c r="BS106" s="664"/>
      <c r="BV106" s="668" t="s">
        <v>92</v>
      </c>
      <c r="BW106" s="662">
        <f>IF(SUMIF($F$50:$O$50,"=6",$F$62:$O$62)&lt;=BW105,SUMIF($F$50:$O$50,"=6",$F$62:$O$62),BW105)</f>
        <v>0</v>
      </c>
      <c r="BX106" s="663">
        <v>6</v>
      </c>
      <c r="CE106" s="664"/>
      <c r="CH106" s="668" t="s">
        <v>92</v>
      </c>
      <c r="CI106" s="662">
        <f>IF(SUMIF($F$50:$O$50,"=6",$F$62:$O$62)&lt;=CI105,SUMIF($F$50:$O$50,"=6",$F$62:$O$62),CI105)</f>
        <v>0</v>
      </c>
      <c r="CJ106" s="663">
        <v>6</v>
      </c>
      <c r="CQ106" s="664"/>
      <c r="CT106" s="668" t="s">
        <v>92</v>
      </c>
      <c r="CU106" s="662">
        <f>IF(SUMIF($F$50:$O$50,"=6",$F$62:$O$62)&lt;=CU105,SUMIF($F$50:$O$50,"=6",$F$62:$O$62),CU105)</f>
        <v>0</v>
      </c>
      <c r="CV106" s="663">
        <v>6</v>
      </c>
      <c r="DC106" s="664"/>
      <c r="DF106" s="668" t="s">
        <v>92</v>
      </c>
      <c r="DG106" s="662">
        <f>IF(SUMIF($F$50:$O$50,"=6",$F$62:$O$62)&lt;=DG105,SUMIF($F$50:$O$50,"=6",$F$62:$O$62),DG105)</f>
        <v>0</v>
      </c>
      <c r="DH106" s="663">
        <v>6</v>
      </c>
      <c r="DO106" s="664"/>
    </row>
    <row r="107" spans="2:119" hidden="1" x14ac:dyDescent="0.25">
      <c r="B107" s="668"/>
      <c r="C107" s="662">
        <f>C105-C106</f>
        <v>0</v>
      </c>
      <c r="K107" s="664"/>
      <c r="N107" s="668"/>
      <c r="O107" s="662">
        <f>O105-O106</f>
        <v>0</v>
      </c>
      <c r="U107" s="663"/>
      <c r="W107" s="664"/>
      <c r="Z107" s="668"/>
      <c r="AA107" s="662">
        <f>AA105-AA106</f>
        <v>0</v>
      </c>
      <c r="AB107" s="663"/>
      <c r="AC107" s="663"/>
      <c r="AD107" s="663"/>
      <c r="AE107" s="663"/>
      <c r="AF107" s="663"/>
      <c r="AG107" s="663"/>
      <c r="AH107" s="663"/>
      <c r="AI107" s="664"/>
      <c r="AL107" s="668"/>
      <c r="AM107" s="662">
        <f>AM105-AM106</f>
        <v>0</v>
      </c>
      <c r="AN107" s="663"/>
      <c r="AU107" s="664"/>
      <c r="AX107" s="668"/>
      <c r="AY107" s="662">
        <f>AY105-AY106</f>
        <v>0</v>
      </c>
      <c r="BG107" s="664"/>
      <c r="BJ107" s="668"/>
      <c r="BK107" s="662">
        <f>BK105-BK106</f>
        <v>0</v>
      </c>
      <c r="BS107" s="664"/>
      <c r="BV107" s="668"/>
      <c r="BW107" s="662">
        <f>BW105-BW106</f>
        <v>0</v>
      </c>
      <c r="CE107" s="664"/>
      <c r="CH107" s="668"/>
      <c r="CI107" s="662">
        <f>CI105-CI106</f>
        <v>0</v>
      </c>
      <c r="CQ107" s="664"/>
      <c r="CT107" s="668"/>
      <c r="CU107" s="662">
        <f>CU105-CU106</f>
        <v>0</v>
      </c>
      <c r="DC107" s="664"/>
      <c r="DF107" s="668"/>
      <c r="DG107" s="662">
        <f>DG105-DG106</f>
        <v>0</v>
      </c>
      <c r="DO107" s="664"/>
    </row>
    <row r="108" spans="2:119" hidden="1" x14ac:dyDescent="0.25">
      <c r="B108" s="668" t="s">
        <v>93</v>
      </c>
      <c r="C108" s="662">
        <f>IF(SUMIF($F$50:$O$50,"=6",$F$63:$O$63)&lt;=C107,SUMIF($F$50:$O$50,"=6",$F$63:$O$63),C107)</f>
        <v>0</v>
      </c>
      <c r="E108" s="663">
        <v>6</v>
      </c>
      <c r="K108" s="664"/>
      <c r="N108" s="668" t="s">
        <v>93</v>
      </c>
      <c r="O108" s="662">
        <f>IF(SUMIF($F$50:$O$50,"=6",$F$63:$O$63)&lt;=O107,SUMIF($F$50:$O$50,"=6",$F$63:$O$63),O107)</f>
        <v>0</v>
      </c>
      <c r="Q108" s="663">
        <v>6</v>
      </c>
      <c r="U108" s="663"/>
      <c r="W108" s="664"/>
      <c r="Z108" s="668" t="s">
        <v>93</v>
      </c>
      <c r="AA108" s="662">
        <f>IF(SUMIF($F$50:$O$50,"=6",$F$63:$O$63)&lt;=AA107,SUMIF($F$50:$O$50,"=6",$F$63:$O$63),AA107)</f>
        <v>0</v>
      </c>
      <c r="AB108" s="663"/>
      <c r="AC108" s="663">
        <v>6</v>
      </c>
      <c r="AD108" s="663"/>
      <c r="AE108" s="663"/>
      <c r="AF108" s="663"/>
      <c r="AG108" s="663"/>
      <c r="AH108" s="663"/>
      <c r="AI108" s="664"/>
      <c r="AL108" s="668" t="s">
        <v>93</v>
      </c>
      <c r="AM108" s="662">
        <f>IF(SUMIF($F$50:$O$50,"=6",$F$63:$O$63)&lt;=AM107,SUMIF($F$50:$O$50,"=6",$F$63:$O$63),AM107)</f>
        <v>0</v>
      </c>
      <c r="AN108" s="663"/>
      <c r="AO108" s="663">
        <v>6</v>
      </c>
      <c r="AU108" s="664"/>
      <c r="AX108" s="668" t="s">
        <v>93</v>
      </c>
      <c r="AY108" s="662">
        <f>IF(SUMIF($F$50:$O$50,"=6",$F$63:$O$63)&lt;=AY107,SUMIF($F$50:$O$50,"=6",$F$63:$O$63),AY107)</f>
        <v>0</v>
      </c>
      <c r="BA108" s="663">
        <v>6</v>
      </c>
      <c r="BG108" s="664"/>
      <c r="BJ108" s="668" t="s">
        <v>93</v>
      </c>
      <c r="BK108" s="662">
        <f>IF(SUMIF($F$50:$O$50,"=6",$F$63:$O$63)&lt;=BK107,SUMIF($F$50:$O$50,"=6",$F$63:$O$63),BK107)</f>
        <v>0</v>
      </c>
      <c r="BM108" s="663">
        <v>6</v>
      </c>
      <c r="BS108" s="664"/>
      <c r="BV108" s="668" t="s">
        <v>93</v>
      </c>
      <c r="BW108" s="662">
        <f>IF(SUMIF($F$50:$O$50,"=6",$F$63:$O$63)&lt;=BW107,SUMIF($F$50:$O$50,"=6",$F$63:$O$63),BW107)</f>
        <v>0</v>
      </c>
      <c r="BY108" s="663">
        <v>6</v>
      </c>
      <c r="CE108" s="664"/>
      <c r="CH108" s="668" t="s">
        <v>93</v>
      </c>
      <c r="CI108" s="662">
        <f>IF(SUMIF($F$50:$O$50,"=6",$F$63:$O$63)&lt;=CI107,SUMIF($F$50:$O$50,"=6",$F$63:$O$63),CI107)</f>
        <v>0</v>
      </c>
      <c r="CK108" s="663">
        <v>6</v>
      </c>
      <c r="CQ108" s="664"/>
      <c r="CT108" s="668" t="s">
        <v>93</v>
      </c>
      <c r="CU108" s="662">
        <f>IF(SUMIF($F$50:$O$50,"=6",$F$63:$O$63)&lt;=CU107,SUMIF($F$50:$O$50,"=6",$F$63:$O$63),CU107)</f>
        <v>0</v>
      </c>
      <c r="CW108" s="663">
        <v>6</v>
      </c>
      <c r="DC108" s="664"/>
      <c r="DF108" s="668" t="s">
        <v>93</v>
      </c>
      <c r="DG108" s="662">
        <f>IF(SUMIF($F$50:$O$50,"=6",$F$63:$O$63)&lt;=DG107,SUMIF($F$50:$O$50,"=6",$F$63:$O$63),DG107)</f>
        <v>0</v>
      </c>
      <c r="DI108" s="663">
        <v>6</v>
      </c>
      <c r="DO108" s="664"/>
    </row>
    <row r="109" spans="2:119" hidden="1" x14ac:dyDescent="0.25">
      <c r="B109" s="668"/>
      <c r="C109" s="662">
        <f>C107-C108</f>
        <v>0</v>
      </c>
      <c r="K109" s="664"/>
      <c r="N109" s="668"/>
      <c r="O109" s="662">
        <f>O107-O108</f>
        <v>0</v>
      </c>
      <c r="U109" s="663"/>
      <c r="W109" s="664"/>
      <c r="Z109" s="668"/>
      <c r="AA109" s="662">
        <f>AA107-AA108</f>
        <v>0</v>
      </c>
      <c r="AB109" s="663"/>
      <c r="AC109" s="663"/>
      <c r="AD109" s="663"/>
      <c r="AE109" s="663"/>
      <c r="AF109" s="663"/>
      <c r="AG109" s="663"/>
      <c r="AH109" s="663"/>
      <c r="AI109" s="664"/>
      <c r="AL109" s="668"/>
      <c r="AM109" s="662">
        <f>AM107-AM108</f>
        <v>0</v>
      </c>
      <c r="AN109" s="663"/>
      <c r="AU109" s="664"/>
      <c r="AX109" s="668"/>
      <c r="AY109" s="662">
        <f>AY107-AY108</f>
        <v>0</v>
      </c>
      <c r="BG109" s="664"/>
      <c r="BJ109" s="668"/>
      <c r="BK109" s="662">
        <f>BK107-BK108</f>
        <v>0</v>
      </c>
      <c r="BS109" s="664"/>
      <c r="BV109" s="668"/>
      <c r="BW109" s="662">
        <f>BW107-BW108</f>
        <v>0</v>
      </c>
      <c r="CE109" s="664"/>
      <c r="CH109" s="668"/>
      <c r="CI109" s="662">
        <f>CI107-CI108</f>
        <v>0</v>
      </c>
      <c r="CQ109" s="664"/>
      <c r="CT109" s="668"/>
      <c r="CU109" s="662">
        <f>CU107-CU108</f>
        <v>0</v>
      </c>
      <c r="DC109" s="664"/>
      <c r="DF109" s="668"/>
      <c r="DG109" s="662">
        <f>DG107-DG108</f>
        <v>0</v>
      </c>
      <c r="DO109" s="664"/>
    </row>
    <row r="110" spans="2:119" hidden="1" x14ac:dyDescent="0.25">
      <c r="B110" s="668" t="s">
        <v>94</v>
      </c>
      <c r="C110" s="662">
        <f>IF(SUMIF($F$50:$O$50,"=7",$F$62:$O$62)&lt;=C109,SUMIF($F$50:$O$50,"=7",$F$62:$O$62),C109)</f>
        <v>0</v>
      </c>
      <c r="D110" s="663">
        <v>7</v>
      </c>
      <c r="K110" s="664"/>
      <c r="N110" s="668" t="s">
        <v>94</v>
      </c>
      <c r="O110" s="662">
        <f>IF(SUMIF($F$50:$O$50,"=7",$F$62:$O$62)&lt;=O109,SUMIF($F$50:$O$50,"=7",$F$62:$O$62),O109)</f>
        <v>0</v>
      </c>
      <c r="P110" s="663">
        <v>7</v>
      </c>
      <c r="U110" s="663"/>
      <c r="W110" s="664"/>
      <c r="Z110" s="668" t="s">
        <v>94</v>
      </c>
      <c r="AA110" s="662">
        <f>IF(SUMIF($F$50:$O$50,"=7",$F$62:$O$62)&lt;=AA109,SUMIF($F$50:$O$50,"=7",$F$62:$O$62),AA109)</f>
        <v>0</v>
      </c>
      <c r="AB110" s="663">
        <v>7</v>
      </c>
      <c r="AC110" s="663"/>
      <c r="AD110" s="663"/>
      <c r="AE110" s="663"/>
      <c r="AF110" s="663"/>
      <c r="AG110" s="663"/>
      <c r="AH110" s="663"/>
      <c r="AI110" s="664"/>
      <c r="AL110" s="668" t="s">
        <v>94</v>
      </c>
      <c r="AM110" s="662">
        <f>IF(SUMIF($F$50:$O$50,"=7",$F$62:$O$62)&lt;=AM109,SUMIF($F$50:$O$50,"=7",$F$62:$O$62),AM109)</f>
        <v>0</v>
      </c>
      <c r="AN110" s="663">
        <v>7</v>
      </c>
      <c r="AU110" s="664"/>
      <c r="AX110" s="668" t="s">
        <v>94</v>
      </c>
      <c r="AY110" s="662">
        <f>IF(SUMIF($F$50:$O$50,"=7",$F$62:$O$62)&lt;=AY109,SUMIF($F$50:$O$50,"=7",$F$62:$O$62),AY109)</f>
        <v>0</v>
      </c>
      <c r="AZ110" s="663">
        <v>7</v>
      </c>
      <c r="BG110" s="664"/>
      <c r="BJ110" s="668" t="s">
        <v>94</v>
      </c>
      <c r="BK110" s="662">
        <f>IF(SUMIF($F$50:$O$50,"=7",$F$62:$O$62)&lt;=BK109,SUMIF($F$50:$O$50,"=7",$F$62:$O$62),BK109)</f>
        <v>0</v>
      </c>
      <c r="BL110" s="663">
        <v>7</v>
      </c>
      <c r="BS110" s="664"/>
      <c r="BV110" s="668" t="s">
        <v>94</v>
      </c>
      <c r="BW110" s="662">
        <f>IF(SUMIF($F$50:$O$50,"=7",$F$62:$O$62)&lt;=BW109,SUMIF($F$50:$O$50,"=7",$F$62:$O$62),BW109)</f>
        <v>0</v>
      </c>
      <c r="BX110" s="663">
        <v>7</v>
      </c>
      <c r="CE110" s="664"/>
      <c r="CH110" s="668" t="s">
        <v>94</v>
      </c>
      <c r="CI110" s="662">
        <f>IF(SUMIF($F$50:$O$50,"=7",$F$62:$O$62)&lt;=CI109,SUMIF($F$50:$O$50,"=7",$F$62:$O$62),CI109)</f>
        <v>0</v>
      </c>
      <c r="CJ110" s="663">
        <v>7</v>
      </c>
      <c r="CQ110" s="664"/>
      <c r="CT110" s="668" t="s">
        <v>94</v>
      </c>
      <c r="CU110" s="662">
        <f>IF(SUMIF($F$50:$O$50,"=7",$F$62:$O$62)&lt;=CU109,SUMIF($F$50:$O$50,"=7",$F$62:$O$62),CU109)</f>
        <v>0</v>
      </c>
      <c r="CV110" s="663">
        <v>7</v>
      </c>
      <c r="DC110" s="664"/>
      <c r="DF110" s="668" t="s">
        <v>94</v>
      </c>
      <c r="DG110" s="662">
        <f>IF(SUMIF($F$50:$O$50,"=7",$F$62:$O$62)&lt;=DG109,SUMIF($F$50:$O$50,"=7",$F$62:$O$62),DG109)</f>
        <v>0</v>
      </c>
      <c r="DH110" s="663">
        <v>7</v>
      </c>
      <c r="DO110" s="664"/>
    </row>
    <row r="111" spans="2:119" hidden="1" x14ac:dyDescent="0.25">
      <c r="B111" s="668"/>
      <c r="C111" s="662">
        <f>C109-C110</f>
        <v>0</v>
      </c>
      <c r="K111" s="664"/>
      <c r="N111" s="668"/>
      <c r="O111" s="662">
        <f>O109-O110</f>
        <v>0</v>
      </c>
      <c r="U111" s="663"/>
      <c r="W111" s="664"/>
      <c r="Z111" s="668"/>
      <c r="AA111" s="662">
        <f>AA109-AA110</f>
        <v>0</v>
      </c>
      <c r="AB111" s="663"/>
      <c r="AC111" s="663"/>
      <c r="AD111" s="663"/>
      <c r="AE111" s="663"/>
      <c r="AF111" s="663"/>
      <c r="AG111" s="663"/>
      <c r="AH111" s="663"/>
      <c r="AI111" s="664"/>
      <c r="AL111" s="668"/>
      <c r="AM111" s="662">
        <f>AM109-AM110</f>
        <v>0</v>
      </c>
      <c r="AN111" s="663"/>
      <c r="AU111" s="664"/>
      <c r="AX111" s="668"/>
      <c r="AY111" s="662">
        <f>AY109-AY110</f>
        <v>0</v>
      </c>
      <c r="BG111" s="664"/>
      <c r="BJ111" s="668"/>
      <c r="BK111" s="662">
        <f>BK109-BK110</f>
        <v>0</v>
      </c>
      <c r="BS111" s="664"/>
      <c r="BV111" s="668"/>
      <c r="BW111" s="662">
        <f>BW109-BW110</f>
        <v>0</v>
      </c>
      <c r="CE111" s="664"/>
      <c r="CH111" s="668"/>
      <c r="CI111" s="662">
        <f>CI109-CI110</f>
        <v>0</v>
      </c>
      <c r="CQ111" s="664"/>
      <c r="CT111" s="668"/>
      <c r="CU111" s="662">
        <f>CU109-CU110</f>
        <v>0</v>
      </c>
      <c r="DC111" s="664"/>
      <c r="DF111" s="668"/>
      <c r="DG111" s="662">
        <f>DG109-DG110</f>
        <v>0</v>
      </c>
      <c r="DO111" s="664"/>
    </row>
    <row r="112" spans="2:119" hidden="1" x14ac:dyDescent="0.25">
      <c r="B112" s="668" t="s">
        <v>95</v>
      </c>
      <c r="C112" s="662">
        <f>IF(SUMIF($F$50:$O$50,"=7",$F$63:$O$63)&lt;=C111,SUMIF($F$50:$O$50,"=7",$F$63:$O$63),C111)</f>
        <v>0</v>
      </c>
      <c r="E112" s="663">
        <v>7</v>
      </c>
      <c r="K112" s="664"/>
      <c r="N112" s="668" t="s">
        <v>95</v>
      </c>
      <c r="O112" s="662">
        <f>IF(SUMIF($F$50:$O$50,"=7",$F$63:$O$63)&lt;=O111,SUMIF($F$50:$O$50,"=7",$F$63:$O$63),O111)</f>
        <v>0</v>
      </c>
      <c r="Q112" s="663">
        <v>7</v>
      </c>
      <c r="U112" s="663"/>
      <c r="W112" s="664"/>
      <c r="Z112" s="668" t="s">
        <v>95</v>
      </c>
      <c r="AA112" s="662">
        <f>IF(SUMIF($F$50:$O$50,"=7",$F$63:$O$63)&lt;=AA111,SUMIF($F$50:$O$50,"=7",$F$63:$O$63),AA111)</f>
        <v>0</v>
      </c>
      <c r="AB112" s="663"/>
      <c r="AC112" s="663">
        <v>7</v>
      </c>
      <c r="AD112" s="663"/>
      <c r="AE112" s="663"/>
      <c r="AF112" s="663"/>
      <c r="AG112" s="663"/>
      <c r="AH112" s="663"/>
      <c r="AI112" s="664"/>
      <c r="AL112" s="668" t="s">
        <v>95</v>
      </c>
      <c r="AM112" s="662">
        <f>IF(SUMIF($F$50:$O$50,"=7",$F$63:$O$63)&lt;=AM111,SUMIF($F$50:$O$50,"=7",$F$63:$O$63),AM111)</f>
        <v>0</v>
      </c>
      <c r="AN112" s="663"/>
      <c r="AO112" s="663">
        <v>7</v>
      </c>
      <c r="AU112" s="664"/>
      <c r="AX112" s="668" t="s">
        <v>95</v>
      </c>
      <c r="AY112" s="662">
        <f>IF(SUMIF($F$50:$O$50,"=7",$F$63:$O$63)&lt;=AY111,SUMIF($F$50:$O$50,"=7",$F$63:$O$63),AY111)</f>
        <v>0</v>
      </c>
      <c r="BA112" s="663">
        <v>7</v>
      </c>
      <c r="BG112" s="664"/>
      <c r="BJ112" s="668" t="s">
        <v>95</v>
      </c>
      <c r="BK112" s="662">
        <f>IF(SUMIF($F$50:$O$50,"=7",$F$63:$O$63)&lt;=BK111,SUMIF($F$50:$O$50,"=7",$F$63:$O$63),BK111)</f>
        <v>0</v>
      </c>
      <c r="BM112" s="663">
        <v>7</v>
      </c>
      <c r="BS112" s="664"/>
      <c r="BV112" s="668" t="s">
        <v>95</v>
      </c>
      <c r="BW112" s="662">
        <f>IF(SUMIF($F$50:$O$50,"=7",$F$63:$O$63)&lt;=BW111,SUMIF($F$50:$O$50,"=7",$F$63:$O$63),BW111)</f>
        <v>0</v>
      </c>
      <c r="BY112" s="663">
        <v>7</v>
      </c>
      <c r="CE112" s="664"/>
      <c r="CH112" s="668" t="s">
        <v>95</v>
      </c>
      <c r="CI112" s="662">
        <f>IF(SUMIF($F$50:$O$50,"=7",$F$63:$O$63)&lt;=CI111,SUMIF($F$50:$O$50,"=7",$F$63:$O$63),CI111)</f>
        <v>0</v>
      </c>
      <c r="CK112" s="663">
        <v>7</v>
      </c>
      <c r="CQ112" s="664"/>
      <c r="CT112" s="668" t="s">
        <v>95</v>
      </c>
      <c r="CU112" s="662">
        <f>IF(SUMIF($F$50:$O$50,"=7",$F$63:$O$63)&lt;=CU111,SUMIF($F$50:$O$50,"=7",$F$63:$O$63),CU111)</f>
        <v>0</v>
      </c>
      <c r="CW112" s="663">
        <v>7</v>
      </c>
      <c r="DC112" s="664"/>
      <c r="DF112" s="668" t="s">
        <v>95</v>
      </c>
      <c r="DG112" s="662">
        <f>IF(SUMIF($F$50:$O$50,"=7",$F$63:$O$63)&lt;=DG111,SUMIF($F$50:$O$50,"=7",$F$63:$O$63),DG111)</f>
        <v>0</v>
      </c>
      <c r="DI112" s="663">
        <v>7</v>
      </c>
      <c r="DO112" s="664"/>
    </row>
    <row r="113" spans="2:119" hidden="1" x14ac:dyDescent="0.25">
      <c r="B113" s="668"/>
      <c r="C113" s="662">
        <f>C111-C112</f>
        <v>0</v>
      </c>
      <c r="K113" s="664"/>
      <c r="N113" s="668"/>
      <c r="O113" s="662">
        <f>O111-O112</f>
        <v>0</v>
      </c>
      <c r="U113" s="663"/>
      <c r="W113" s="664"/>
      <c r="Z113" s="668"/>
      <c r="AA113" s="662">
        <f>AA111-AA112</f>
        <v>0</v>
      </c>
      <c r="AB113" s="663"/>
      <c r="AC113" s="663"/>
      <c r="AD113" s="663"/>
      <c r="AE113" s="663"/>
      <c r="AF113" s="663"/>
      <c r="AG113" s="663"/>
      <c r="AH113" s="663"/>
      <c r="AI113" s="664"/>
      <c r="AL113" s="668"/>
      <c r="AM113" s="662">
        <f>AM111-AM112</f>
        <v>0</v>
      </c>
      <c r="AN113" s="663"/>
      <c r="AU113" s="664"/>
      <c r="AX113" s="668"/>
      <c r="AY113" s="662">
        <f>AY111-AY112</f>
        <v>0</v>
      </c>
      <c r="BG113" s="664"/>
      <c r="BJ113" s="668"/>
      <c r="BK113" s="662">
        <f>BK111-BK112</f>
        <v>0</v>
      </c>
      <c r="BS113" s="664"/>
      <c r="BV113" s="668"/>
      <c r="BW113" s="662">
        <f>BW111-BW112</f>
        <v>0</v>
      </c>
      <c r="CE113" s="664"/>
      <c r="CH113" s="668"/>
      <c r="CI113" s="662">
        <f>CI111-CI112</f>
        <v>0</v>
      </c>
      <c r="CQ113" s="664"/>
      <c r="CT113" s="668"/>
      <c r="CU113" s="662">
        <f>CU111-CU112</f>
        <v>0</v>
      </c>
      <c r="DC113" s="664"/>
      <c r="DF113" s="668"/>
      <c r="DG113" s="662">
        <f>DG111-DG112</f>
        <v>0</v>
      </c>
      <c r="DO113" s="664"/>
    </row>
    <row r="114" spans="2:119" hidden="1" x14ac:dyDescent="0.25">
      <c r="B114" s="668" t="s">
        <v>96</v>
      </c>
      <c r="C114" s="662">
        <f>IF(SUMIF($F$50:$O$50,"=8",$F$62:$O$62)&lt;=C113,SUMIF($F$50:$O$50,"=8",$F$62:$O$62),C113)</f>
        <v>0</v>
      </c>
      <c r="D114" s="663">
        <v>8</v>
      </c>
      <c r="K114" s="664"/>
      <c r="N114" s="668" t="s">
        <v>96</v>
      </c>
      <c r="O114" s="662">
        <f>IF(SUMIF($F$50:$O$50,"=8",$F$62:$O$62)&lt;=O113,SUMIF($F$50:$O$50,"=8",$F$62:$O$62),O113)</f>
        <v>0</v>
      </c>
      <c r="P114" s="663">
        <v>8</v>
      </c>
      <c r="U114" s="663"/>
      <c r="W114" s="664"/>
      <c r="Z114" s="668" t="s">
        <v>96</v>
      </c>
      <c r="AA114" s="662">
        <f>IF(SUMIF($F$50:$O$50,"=8",$F$62:$O$62)&lt;=AA113,SUMIF($F$50:$O$50,"=8",$F$62:$O$62),AA113)</f>
        <v>0</v>
      </c>
      <c r="AB114" s="663">
        <v>8</v>
      </c>
      <c r="AC114" s="663"/>
      <c r="AD114" s="663"/>
      <c r="AE114" s="663"/>
      <c r="AF114" s="663"/>
      <c r="AG114" s="663"/>
      <c r="AH114" s="663"/>
      <c r="AI114" s="664"/>
      <c r="AL114" s="668" t="s">
        <v>96</v>
      </c>
      <c r="AM114" s="662">
        <f>IF(SUMIF($F$50:$O$50,"=8",$F$62:$O$62)&lt;=AM113,SUMIF($F$50:$O$50,"=8",$F$62:$O$62),AM113)</f>
        <v>0</v>
      </c>
      <c r="AN114" s="663">
        <v>8</v>
      </c>
      <c r="AU114" s="664"/>
      <c r="AX114" s="668" t="s">
        <v>96</v>
      </c>
      <c r="AY114" s="662">
        <f>IF(SUMIF($F$50:$O$50,"=8",$F$62:$O$62)&lt;=AY113,SUMIF($F$50:$O$50,"=8",$F$62:$O$62),AY113)</f>
        <v>0</v>
      </c>
      <c r="AZ114" s="663">
        <v>8</v>
      </c>
      <c r="BG114" s="664"/>
      <c r="BJ114" s="668" t="s">
        <v>96</v>
      </c>
      <c r="BK114" s="662">
        <f>IF(SUMIF($F$50:$O$50,"=8",$F$62:$O$62)&lt;=BK113,SUMIF($F$50:$O$50,"=8",$F$62:$O$62),BK113)</f>
        <v>0</v>
      </c>
      <c r="BL114" s="663">
        <v>8</v>
      </c>
      <c r="BS114" s="664"/>
      <c r="BV114" s="668" t="s">
        <v>96</v>
      </c>
      <c r="BW114" s="662">
        <f>IF(SUMIF($F$50:$O$50,"=8",$F$62:$O$62)&lt;=BW113,SUMIF($F$50:$O$50,"=8",$F$62:$O$62),BW113)</f>
        <v>0</v>
      </c>
      <c r="BX114" s="663">
        <v>8</v>
      </c>
      <c r="CE114" s="664"/>
      <c r="CH114" s="668" t="s">
        <v>96</v>
      </c>
      <c r="CI114" s="662">
        <f>IF(SUMIF($F$50:$O$50,"=8",$F$62:$O$62)&lt;=CI113,SUMIF($F$50:$O$50,"=8",$F$62:$O$62),CI113)</f>
        <v>0</v>
      </c>
      <c r="CJ114" s="663">
        <v>8</v>
      </c>
      <c r="CQ114" s="664"/>
      <c r="CT114" s="668" t="s">
        <v>96</v>
      </c>
      <c r="CU114" s="662">
        <f>IF(SUMIF($F$50:$O$50,"=8",$F$62:$O$62)&lt;=CU113,SUMIF($F$50:$O$50,"=8",$F$62:$O$62),CU113)</f>
        <v>0</v>
      </c>
      <c r="CV114" s="663">
        <v>8</v>
      </c>
      <c r="DC114" s="664"/>
      <c r="DF114" s="668" t="s">
        <v>96</v>
      </c>
      <c r="DG114" s="662">
        <f>IF(SUMIF($F$50:$O$50,"=8",$F$62:$O$62)&lt;=DG113,SUMIF($F$50:$O$50,"=8",$F$62:$O$62),DG113)</f>
        <v>0</v>
      </c>
      <c r="DH114" s="663">
        <v>8</v>
      </c>
      <c r="DO114" s="664"/>
    </row>
    <row r="115" spans="2:119" hidden="1" x14ac:dyDescent="0.25">
      <c r="B115" s="668"/>
      <c r="C115" s="662">
        <f>C113-C114</f>
        <v>0</v>
      </c>
      <c r="K115" s="664"/>
      <c r="N115" s="668"/>
      <c r="O115" s="662">
        <f>O113-O114</f>
        <v>0</v>
      </c>
      <c r="U115" s="663"/>
      <c r="W115" s="664"/>
      <c r="Z115" s="668"/>
      <c r="AA115" s="662">
        <f>AA113-AA114</f>
        <v>0</v>
      </c>
      <c r="AB115" s="663"/>
      <c r="AC115" s="663"/>
      <c r="AD115" s="663"/>
      <c r="AE115" s="663"/>
      <c r="AF115" s="663"/>
      <c r="AG115" s="663"/>
      <c r="AH115" s="663"/>
      <c r="AI115" s="664"/>
      <c r="AL115" s="668"/>
      <c r="AM115" s="662">
        <f>AM113-AM114</f>
        <v>0</v>
      </c>
      <c r="AN115" s="663"/>
      <c r="AU115" s="664"/>
      <c r="AX115" s="668"/>
      <c r="AY115" s="662">
        <f>AY113-AY114</f>
        <v>0</v>
      </c>
      <c r="BG115" s="664"/>
      <c r="BJ115" s="668"/>
      <c r="BK115" s="662">
        <f>BK113-BK114</f>
        <v>0</v>
      </c>
      <c r="BS115" s="664"/>
      <c r="BV115" s="668"/>
      <c r="BW115" s="662">
        <f>BW113-BW114</f>
        <v>0</v>
      </c>
      <c r="CE115" s="664"/>
      <c r="CH115" s="668"/>
      <c r="CI115" s="662">
        <f>CI113-CI114</f>
        <v>0</v>
      </c>
      <c r="CQ115" s="664"/>
      <c r="CT115" s="668"/>
      <c r="CU115" s="662">
        <f>CU113-CU114</f>
        <v>0</v>
      </c>
      <c r="DC115" s="664"/>
      <c r="DF115" s="668"/>
      <c r="DG115" s="662">
        <f>DG113-DG114</f>
        <v>0</v>
      </c>
      <c r="DO115" s="664"/>
    </row>
    <row r="116" spans="2:119" hidden="1" x14ac:dyDescent="0.25">
      <c r="B116" s="668" t="s">
        <v>97</v>
      </c>
      <c r="C116" s="662">
        <f>IF(SUMIF($F$50:$O$50,"=8",$F$63:$O$63)&lt;=C115,SUMIF($F$50:$O$50,"=8",$F$63:$O$63),C115)</f>
        <v>0</v>
      </c>
      <c r="E116" s="663">
        <v>8</v>
      </c>
      <c r="K116" s="664"/>
      <c r="N116" s="668" t="s">
        <v>97</v>
      </c>
      <c r="O116" s="662">
        <f>IF(SUMIF($F$50:$O$50,"=8",$F$63:$O$63)&lt;=O115,SUMIF($F$50:$O$50,"=8",$F$63:$O$63),O115)</f>
        <v>0</v>
      </c>
      <c r="Q116" s="663">
        <v>8</v>
      </c>
      <c r="U116" s="663"/>
      <c r="W116" s="664"/>
      <c r="Z116" s="668" t="s">
        <v>97</v>
      </c>
      <c r="AA116" s="662">
        <f>IF(SUMIF($F$50:$O$50,"=8",$F$63:$O$63)&lt;=AA115,SUMIF($F$50:$O$50,"=8",$F$63:$O$63),AA115)</f>
        <v>0</v>
      </c>
      <c r="AB116" s="663"/>
      <c r="AC116" s="663">
        <v>8</v>
      </c>
      <c r="AD116" s="663"/>
      <c r="AE116" s="663"/>
      <c r="AF116" s="663"/>
      <c r="AG116" s="663"/>
      <c r="AH116" s="663"/>
      <c r="AI116" s="664"/>
      <c r="AL116" s="668" t="s">
        <v>97</v>
      </c>
      <c r="AM116" s="662">
        <f>IF(SUMIF($F$50:$O$50,"=8",$F$63:$O$63)&lt;=AM115,SUMIF($F$50:$O$50,"=8",$F$63:$O$63),AM115)</f>
        <v>0</v>
      </c>
      <c r="AN116" s="663"/>
      <c r="AO116" s="663">
        <v>8</v>
      </c>
      <c r="AU116" s="664"/>
      <c r="AX116" s="668" t="s">
        <v>97</v>
      </c>
      <c r="AY116" s="662">
        <f>IF(SUMIF($F$50:$O$50,"=8",$F$63:$O$63)&lt;=AY115,SUMIF($F$50:$O$50,"=8",$F$63:$O$63),AY115)</f>
        <v>0</v>
      </c>
      <c r="BA116" s="663">
        <v>8</v>
      </c>
      <c r="BG116" s="664"/>
      <c r="BJ116" s="668" t="s">
        <v>97</v>
      </c>
      <c r="BK116" s="662">
        <f>IF(SUMIF($F$50:$O$50,"=8",$F$63:$O$63)&lt;=BK115,SUMIF($F$50:$O$50,"=8",$F$63:$O$63),BK115)</f>
        <v>0</v>
      </c>
      <c r="BM116" s="663">
        <v>8</v>
      </c>
      <c r="BS116" s="664"/>
      <c r="BV116" s="668" t="s">
        <v>97</v>
      </c>
      <c r="BW116" s="662">
        <f>IF(SUMIF($F$50:$O$50,"=8",$F$63:$O$63)&lt;=BW115,SUMIF($F$50:$O$50,"=8",$F$63:$O$63),BW115)</f>
        <v>0</v>
      </c>
      <c r="BY116" s="663">
        <v>8</v>
      </c>
      <c r="CE116" s="664"/>
      <c r="CH116" s="668" t="s">
        <v>97</v>
      </c>
      <c r="CI116" s="662">
        <f>IF(SUMIF($F$50:$O$50,"=8",$F$63:$O$63)&lt;=CI115,SUMIF($F$50:$O$50,"=8",$F$63:$O$63),CI115)</f>
        <v>0</v>
      </c>
      <c r="CK116" s="663">
        <v>8</v>
      </c>
      <c r="CQ116" s="664"/>
      <c r="CT116" s="668" t="s">
        <v>97</v>
      </c>
      <c r="CU116" s="662">
        <f>IF(SUMIF($F$50:$O$50,"=8",$F$63:$O$63)&lt;=CU115,SUMIF($F$50:$O$50,"=8",$F$63:$O$63),CU115)</f>
        <v>0</v>
      </c>
      <c r="CW116" s="663">
        <v>8</v>
      </c>
      <c r="DC116" s="664"/>
      <c r="DF116" s="668" t="s">
        <v>97</v>
      </c>
      <c r="DG116" s="662">
        <f>IF(SUMIF($F$50:$O$50,"=8",$F$63:$O$63)&lt;=DG115,SUMIF($F$50:$O$50,"=8",$F$63:$O$63),DG115)</f>
        <v>0</v>
      </c>
      <c r="DI116" s="663">
        <v>8</v>
      </c>
      <c r="DO116" s="664"/>
    </row>
    <row r="117" spans="2:119" hidden="1" x14ac:dyDescent="0.25">
      <c r="B117" s="668"/>
      <c r="C117" s="662">
        <f>C115-C116</f>
        <v>0</v>
      </c>
      <c r="K117" s="664"/>
      <c r="N117" s="668"/>
      <c r="O117" s="662">
        <f>O115-O116</f>
        <v>0</v>
      </c>
      <c r="U117" s="663"/>
      <c r="W117" s="664"/>
      <c r="Z117" s="668"/>
      <c r="AA117" s="662">
        <f>AA115-AA116</f>
        <v>0</v>
      </c>
      <c r="AB117" s="663"/>
      <c r="AC117" s="663"/>
      <c r="AD117" s="663"/>
      <c r="AE117" s="663"/>
      <c r="AF117" s="663"/>
      <c r="AG117" s="663"/>
      <c r="AH117" s="663"/>
      <c r="AI117" s="664"/>
      <c r="AL117" s="668"/>
      <c r="AM117" s="662">
        <f>AM115-AM116</f>
        <v>0</v>
      </c>
      <c r="AN117" s="663"/>
      <c r="AU117" s="664"/>
      <c r="AX117" s="668"/>
      <c r="AY117" s="662">
        <f>AY115-AY116</f>
        <v>0</v>
      </c>
      <c r="BG117" s="664"/>
      <c r="BJ117" s="668"/>
      <c r="BK117" s="662">
        <f>BK115-BK116</f>
        <v>0</v>
      </c>
      <c r="BS117" s="664"/>
      <c r="BV117" s="668"/>
      <c r="BW117" s="662">
        <f>BW115-BW116</f>
        <v>0</v>
      </c>
      <c r="CE117" s="664"/>
      <c r="CH117" s="668"/>
      <c r="CI117" s="662">
        <f>CI115-CI116</f>
        <v>0</v>
      </c>
      <c r="CQ117" s="664"/>
      <c r="CT117" s="668"/>
      <c r="CU117" s="662">
        <f>CU115-CU116</f>
        <v>0</v>
      </c>
      <c r="DC117" s="664"/>
      <c r="DF117" s="668"/>
      <c r="DG117" s="662">
        <f>DG115-DG116</f>
        <v>0</v>
      </c>
      <c r="DO117" s="664"/>
    </row>
    <row r="118" spans="2:119" hidden="1" x14ac:dyDescent="0.25">
      <c r="B118" s="668" t="s">
        <v>98</v>
      </c>
      <c r="C118" s="662">
        <f>IF(SUMIF($F$50:$O$50,"=9",$F$62:$O$62)&lt;=C117,SUMIF($F$50:$O$50,"=9",$F$62:$O$62),C117)</f>
        <v>0</v>
      </c>
      <c r="D118" s="663">
        <v>9</v>
      </c>
      <c r="K118" s="664"/>
      <c r="N118" s="668" t="s">
        <v>98</v>
      </c>
      <c r="O118" s="662">
        <f>IF(SUMIF($F$50:$O$50,"=9",$F$62:$O$62)&lt;=O117,SUMIF($F$50:$O$50,"=9",$F$62:$O$62),O117)</f>
        <v>0</v>
      </c>
      <c r="P118" s="663">
        <v>9</v>
      </c>
      <c r="U118" s="663"/>
      <c r="W118" s="664"/>
      <c r="Z118" s="668" t="s">
        <v>98</v>
      </c>
      <c r="AA118" s="662">
        <f>IF(SUMIF($F$50:$O$50,"=9",$F$62:$O$62)&lt;=AA117,SUMIF($F$50:$O$50,"=9",$F$62:$O$62),AA117)</f>
        <v>0</v>
      </c>
      <c r="AB118" s="663">
        <v>9</v>
      </c>
      <c r="AC118" s="663"/>
      <c r="AD118" s="663"/>
      <c r="AE118" s="663"/>
      <c r="AF118" s="663"/>
      <c r="AG118" s="663"/>
      <c r="AH118" s="663"/>
      <c r="AI118" s="664"/>
      <c r="AL118" s="668" t="s">
        <v>98</v>
      </c>
      <c r="AM118" s="662">
        <f>IF(SUMIF($F$50:$O$50,"=9",$F$62:$O$62)&lt;=AM117,SUMIF($F$50:$O$50,"=9",$F$62:$O$62),AM117)</f>
        <v>0</v>
      </c>
      <c r="AN118" s="663">
        <v>9</v>
      </c>
      <c r="AU118" s="664"/>
      <c r="AX118" s="668" t="s">
        <v>98</v>
      </c>
      <c r="AY118" s="662">
        <f>IF(SUMIF($F$50:$O$50,"=9",$F$62:$O$62)&lt;=AY117,SUMIF($F$50:$O$50,"=9",$F$62:$O$62),AY117)</f>
        <v>0</v>
      </c>
      <c r="AZ118" s="663">
        <v>9</v>
      </c>
      <c r="BG118" s="664"/>
      <c r="BJ118" s="668" t="s">
        <v>98</v>
      </c>
      <c r="BK118" s="662">
        <f>IF(SUMIF($F$50:$O$50,"=9",$F$62:$O$62)&lt;=BK117,SUMIF($F$50:$O$50,"=9",$F$62:$O$62),BK117)</f>
        <v>0</v>
      </c>
      <c r="BL118" s="663">
        <v>9</v>
      </c>
      <c r="BS118" s="664"/>
      <c r="BV118" s="668" t="s">
        <v>98</v>
      </c>
      <c r="BW118" s="662">
        <f>IF(SUMIF($F$50:$O$50,"=9",$F$62:$O$62)&lt;=BW117,SUMIF($F$50:$O$50,"=9",$F$62:$O$62),BW117)</f>
        <v>0</v>
      </c>
      <c r="BX118" s="663">
        <v>9</v>
      </c>
      <c r="CE118" s="664"/>
      <c r="CH118" s="668" t="s">
        <v>98</v>
      </c>
      <c r="CI118" s="662">
        <f>IF(SUMIF($F$50:$O$50,"=9",$F$62:$O$62)&lt;=CI117,SUMIF($F$50:$O$50,"=9",$F$62:$O$62),CI117)</f>
        <v>0</v>
      </c>
      <c r="CJ118" s="663">
        <v>9</v>
      </c>
      <c r="CQ118" s="664"/>
      <c r="CT118" s="668" t="s">
        <v>98</v>
      </c>
      <c r="CU118" s="662">
        <f>IF(SUMIF($F$50:$O$50,"=9",$F$62:$O$62)&lt;=CU117,SUMIF($F$50:$O$50,"=9",$F$62:$O$62),CU117)</f>
        <v>0</v>
      </c>
      <c r="CV118" s="663">
        <v>9</v>
      </c>
      <c r="DC118" s="664"/>
      <c r="DF118" s="668" t="s">
        <v>98</v>
      </c>
      <c r="DG118" s="662">
        <f>IF(SUMIF($F$50:$O$50,"=9",$F$62:$O$62)&lt;=DG117,SUMIF($F$50:$O$50,"=9",$F$62:$O$62),DG117)</f>
        <v>0</v>
      </c>
      <c r="DH118" s="663">
        <v>9</v>
      </c>
      <c r="DO118" s="664"/>
    </row>
    <row r="119" spans="2:119" hidden="1" x14ac:dyDescent="0.25">
      <c r="B119" s="668"/>
      <c r="C119" s="662">
        <f>C117-C118</f>
        <v>0</v>
      </c>
      <c r="K119" s="664"/>
      <c r="N119" s="668"/>
      <c r="O119" s="662">
        <f>O117-O118</f>
        <v>0</v>
      </c>
      <c r="U119" s="663"/>
      <c r="W119" s="664"/>
      <c r="Z119" s="668"/>
      <c r="AA119" s="662">
        <f>AA117-AA118</f>
        <v>0</v>
      </c>
      <c r="AB119" s="663"/>
      <c r="AC119" s="663"/>
      <c r="AD119" s="663"/>
      <c r="AE119" s="663"/>
      <c r="AF119" s="663"/>
      <c r="AG119" s="663"/>
      <c r="AH119" s="663"/>
      <c r="AI119" s="664"/>
      <c r="AL119" s="668"/>
      <c r="AM119" s="662">
        <f>AM117-AM118</f>
        <v>0</v>
      </c>
      <c r="AN119" s="663"/>
      <c r="AU119" s="664"/>
      <c r="AX119" s="668"/>
      <c r="AY119" s="662">
        <f>AY117-AY118</f>
        <v>0</v>
      </c>
      <c r="BG119" s="664"/>
      <c r="BJ119" s="668"/>
      <c r="BK119" s="662">
        <f>BK117-BK118</f>
        <v>0</v>
      </c>
      <c r="BS119" s="664"/>
      <c r="BV119" s="668"/>
      <c r="BW119" s="662">
        <f>BW117-BW118</f>
        <v>0</v>
      </c>
      <c r="CE119" s="664"/>
      <c r="CH119" s="668"/>
      <c r="CI119" s="662">
        <f>CI117-CI118</f>
        <v>0</v>
      </c>
      <c r="CQ119" s="664"/>
      <c r="CT119" s="668"/>
      <c r="CU119" s="662">
        <f>CU117-CU118</f>
        <v>0</v>
      </c>
      <c r="DC119" s="664"/>
      <c r="DF119" s="668"/>
      <c r="DG119" s="662">
        <f>DG117-DG118</f>
        <v>0</v>
      </c>
      <c r="DO119" s="664"/>
    </row>
    <row r="120" spans="2:119" hidden="1" x14ac:dyDescent="0.25">
      <c r="B120" s="668" t="s">
        <v>99</v>
      </c>
      <c r="C120" s="662">
        <f>IF(SUMIF($F$50:$O$50,"=9",$F$63:$O$63)&lt;=C119,SUMIF($F$50:$O$50,"=9",$F$63:$O$63),C119)</f>
        <v>0</v>
      </c>
      <c r="E120" s="663">
        <v>9</v>
      </c>
      <c r="K120" s="664"/>
      <c r="N120" s="668" t="s">
        <v>99</v>
      </c>
      <c r="O120" s="662">
        <f>IF(SUMIF($F$50:$O$50,"=9",$F$63:$O$63)&lt;=O119,SUMIF($F$50:$O$50,"=9",$F$63:$O$63),O119)</f>
        <v>0</v>
      </c>
      <c r="Q120" s="663">
        <v>9</v>
      </c>
      <c r="U120" s="663"/>
      <c r="W120" s="664"/>
      <c r="Z120" s="668" t="s">
        <v>99</v>
      </c>
      <c r="AA120" s="662">
        <f>IF(SUMIF($F$50:$O$50,"=9",$F$63:$O$63)&lt;=AA119,SUMIF($F$50:$O$50,"=9",$F$63:$O$63),AA119)</f>
        <v>0</v>
      </c>
      <c r="AB120" s="663"/>
      <c r="AC120" s="663">
        <v>9</v>
      </c>
      <c r="AD120" s="663"/>
      <c r="AE120" s="663"/>
      <c r="AF120" s="663"/>
      <c r="AG120" s="663"/>
      <c r="AH120" s="663"/>
      <c r="AI120" s="664"/>
      <c r="AL120" s="668" t="s">
        <v>99</v>
      </c>
      <c r="AM120" s="662">
        <f>IF(SUMIF($F$50:$O$50,"=9",$F$63:$O$63)&lt;=AM119,SUMIF($F$50:$O$50,"=9",$F$63:$O$63),AM119)</f>
        <v>0</v>
      </c>
      <c r="AN120" s="663"/>
      <c r="AO120" s="663">
        <v>9</v>
      </c>
      <c r="AU120" s="664"/>
      <c r="AX120" s="668" t="s">
        <v>99</v>
      </c>
      <c r="AY120" s="662">
        <f>IF(SUMIF($F$50:$O$50,"=9",$F$63:$O$63)&lt;=AY119,SUMIF($F$50:$O$50,"=9",$F$63:$O$63),AY119)</f>
        <v>0</v>
      </c>
      <c r="BA120" s="663">
        <v>9</v>
      </c>
      <c r="BG120" s="664"/>
      <c r="BJ120" s="668" t="s">
        <v>99</v>
      </c>
      <c r="BK120" s="662">
        <f>IF(SUMIF($F$50:$O$50,"=9",$F$63:$O$63)&lt;=BK119,SUMIF($F$50:$O$50,"=9",$F$63:$O$63),BK119)</f>
        <v>0</v>
      </c>
      <c r="BM120" s="663">
        <v>9</v>
      </c>
      <c r="BS120" s="664"/>
      <c r="BV120" s="668" t="s">
        <v>99</v>
      </c>
      <c r="BW120" s="662">
        <f>IF(SUMIF($F$50:$O$50,"=9",$F$63:$O$63)&lt;=BW119,SUMIF($F$50:$O$50,"=9",$F$63:$O$63),BW119)</f>
        <v>0</v>
      </c>
      <c r="BY120" s="663">
        <v>9</v>
      </c>
      <c r="CE120" s="664"/>
      <c r="CH120" s="668" t="s">
        <v>99</v>
      </c>
      <c r="CI120" s="662">
        <f>IF(SUMIF($F$50:$O$50,"=9",$F$63:$O$63)&lt;=CI119,SUMIF($F$50:$O$50,"=9",$F$63:$O$63),CI119)</f>
        <v>0</v>
      </c>
      <c r="CK120" s="663">
        <v>9</v>
      </c>
      <c r="CQ120" s="664"/>
      <c r="CT120" s="668" t="s">
        <v>99</v>
      </c>
      <c r="CU120" s="662">
        <f>IF(SUMIF($F$50:$O$50,"=9",$F$63:$O$63)&lt;=CU119,SUMIF($F$50:$O$50,"=9",$F$63:$O$63),CU119)</f>
        <v>0</v>
      </c>
      <c r="CW120" s="663">
        <v>9</v>
      </c>
      <c r="DC120" s="664"/>
      <c r="DF120" s="668" t="s">
        <v>99</v>
      </c>
      <c r="DG120" s="662">
        <f>IF(SUMIF($F$50:$O$50,"=9",$F$63:$O$63)&lt;=DG119,SUMIF($F$50:$O$50,"=9",$F$63:$O$63),DG119)</f>
        <v>0</v>
      </c>
      <c r="DI120" s="663">
        <v>9</v>
      </c>
      <c r="DO120" s="664"/>
    </row>
    <row r="121" spans="2:119" hidden="1" x14ac:dyDescent="0.25">
      <c r="B121" s="668"/>
      <c r="C121" s="662">
        <f>C119-C120</f>
        <v>0</v>
      </c>
      <c r="K121" s="664"/>
      <c r="N121" s="668"/>
      <c r="O121" s="662">
        <f>O119-O120</f>
        <v>0</v>
      </c>
      <c r="U121" s="663"/>
      <c r="W121" s="664"/>
      <c r="Z121" s="668"/>
      <c r="AA121" s="662">
        <f>AA119-AA120</f>
        <v>0</v>
      </c>
      <c r="AB121" s="663"/>
      <c r="AC121" s="663"/>
      <c r="AD121" s="663"/>
      <c r="AE121" s="663"/>
      <c r="AF121" s="663"/>
      <c r="AG121" s="663"/>
      <c r="AH121" s="663"/>
      <c r="AI121" s="664"/>
      <c r="AL121" s="668"/>
      <c r="AM121" s="662">
        <f>AM119-AM120</f>
        <v>0</v>
      </c>
      <c r="AN121" s="663"/>
      <c r="AU121" s="664"/>
      <c r="AX121" s="668"/>
      <c r="AY121" s="662">
        <f>AY119-AY120</f>
        <v>0</v>
      </c>
      <c r="BG121" s="664"/>
      <c r="BJ121" s="668"/>
      <c r="BK121" s="662">
        <f>BK119-BK120</f>
        <v>0</v>
      </c>
      <c r="BS121" s="664"/>
      <c r="BV121" s="668"/>
      <c r="BW121" s="662">
        <f>BW119-BW120</f>
        <v>0</v>
      </c>
      <c r="CE121" s="664"/>
      <c r="CH121" s="668"/>
      <c r="CI121" s="662">
        <f>CI119-CI120</f>
        <v>0</v>
      </c>
      <c r="CQ121" s="664"/>
      <c r="CT121" s="668"/>
      <c r="CU121" s="662">
        <f>CU119-CU120</f>
        <v>0</v>
      </c>
      <c r="DC121" s="664"/>
      <c r="DF121" s="668"/>
      <c r="DG121" s="662">
        <f>DG119-DG120</f>
        <v>0</v>
      </c>
      <c r="DO121" s="664"/>
    </row>
    <row r="122" spans="2:119" hidden="1" x14ac:dyDescent="0.25">
      <c r="B122" s="668" t="s">
        <v>100</v>
      </c>
      <c r="C122" s="662">
        <f>IF(SUMIF($F$50:$O$50,"=10",$F$62:$O$62)&lt;=C121,SUMIF($F$50:$O$50,"=10",$F$62:$O$62),C121)</f>
        <v>0</v>
      </c>
      <c r="D122" s="663">
        <v>10</v>
      </c>
      <c r="K122" s="664"/>
      <c r="N122" s="668" t="s">
        <v>100</v>
      </c>
      <c r="O122" s="662">
        <f>IF(SUMIF($F$50:$O$50,"=10",$F$62:$O$62)&lt;=O121,SUMIF($F$50:$O$50,"=10",$F$62:$O$62),O121)</f>
        <v>0</v>
      </c>
      <c r="P122" s="663">
        <v>10</v>
      </c>
      <c r="U122" s="663"/>
      <c r="W122" s="664"/>
      <c r="Z122" s="668" t="s">
        <v>100</v>
      </c>
      <c r="AA122" s="662">
        <f>IF(SUMIF($F$50:$O$50,"=10",$F$62:$O$62)&lt;=AA121,SUMIF($F$50:$O$50,"=10",$F$62:$O$62),AA121)</f>
        <v>0</v>
      </c>
      <c r="AB122" s="663">
        <v>10</v>
      </c>
      <c r="AC122" s="663"/>
      <c r="AD122" s="663"/>
      <c r="AE122" s="663"/>
      <c r="AF122" s="663"/>
      <c r="AG122" s="663"/>
      <c r="AH122" s="663"/>
      <c r="AI122" s="664"/>
      <c r="AL122" s="668" t="s">
        <v>100</v>
      </c>
      <c r="AM122" s="662">
        <f>IF(SUMIF($F$50:$O$50,"=10",$F$62:$O$62)&lt;=AM121,SUMIF($F$50:$O$50,"=10",$F$62:$O$62),AM121)</f>
        <v>0</v>
      </c>
      <c r="AN122" s="663">
        <v>10</v>
      </c>
      <c r="AU122" s="664"/>
      <c r="AX122" s="668" t="s">
        <v>100</v>
      </c>
      <c r="AY122" s="662">
        <f>IF(SUMIF($F$50:$O$50,"=10",$F$62:$O$62)&lt;=AY121,SUMIF($F$50:$O$50,"=10",$F$62:$O$62),AY121)</f>
        <v>0</v>
      </c>
      <c r="AZ122" s="663">
        <v>10</v>
      </c>
      <c r="BG122" s="664"/>
      <c r="BJ122" s="668" t="s">
        <v>100</v>
      </c>
      <c r="BK122" s="662">
        <f>IF(SUMIF($F$50:$O$50,"=10",$F$62:$O$62)&lt;=BK121,SUMIF($F$50:$O$50,"=10",$F$62:$O$62),BK121)</f>
        <v>0</v>
      </c>
      <c r="BL122" s="663">
        <v>10</v>
      </c>
      <c r="BS122" s="664"/>
      <c r="BV122" s="668" t="s">
        <v>100</v>
      </c>
      <c r="BW122" s="662">
        <f>IF(SUMIF($F$50:$O$50,"=10",$F$62:$O$62)&lt;=BW121,SUMIF($F$50:$O$50,"=10",$F$62:$O$62),BW121)</f>
        <v>0</v>
      </c>
      <c r="BX122" s="663">
        <v>10</v>
      </c>
      <c r="CE122" s="664"/>
      <c r="CH122" s="668" t="s">
        <v>100</v>
      </c>
      <c r="CI122" s="662">
        <f>IF(SUMIF($F$50:$O$50,"=10",$F$62:$O$62)&lt;=CI121,SUMIF($F$50:$O$50,"=10",$F$62:$O$62),CI121)</f>
        <v>0</v>
      </c>
      <c r="CJ122" s="663">
        <v>10</v>
      </c>
      <c r="CQ122" s="664"/>
      <c r="CT122" s="668" t="s">
        <v>100</v>
      </c>
      <c r="CU122" s="662">
        <f>IF(SUMIF($F$50:$O$50,"=10",$F$62:$O$62)&lt;=CU121,SUMIF($F$50:$O$50,"=10",$F$62:$O$62),CU121)</f>
        <v>0</v>
      </c>
      <c r="CV122" s="663">
        <v>10</v>
      </c>
      <c r="DC122" s="664"/>
      <c r="DF122" s="668" t="s">
        <v>100</v>
      </c>
      <c r="DG122" s="662">
        <f>IF(SUMIF($F$50:$O$50,"=10",$F$62:$O$62)&lt;=DG121,SUMIF($F$50:$O$50,"=10",$F$62:$O$62),DG121)</f>
        <v>0</v>
      </c>
      <c r="DH122" s="663">
        <v>10</v>
      </c>
      <c r="DO122" s="664"/>
    </row>
    <row r="123" spans="2:119" hidden="1" x14ac:dyDescent="0.25">
      <c r="B123" s="668"/>
      <c r="C123" s="662">
        <f>C121-C122</f>
        <v>0</v>
      </c>
      <c r="K123" s="664"/>
      <c r="N123" s="668"/>
      <c r="O123" s="662">
        <f>O121-O122</f>
        <v>0</v>
      </c>
      <c r="U123" s="663"/>
      <c r="W123" s="664"/>
      <c r="Z123" s="668"/>
      <c r="AA123" s="662">
        <f>AA121-AA122</f>
        <v>0</v>
      </c>
      <c r="AB123" s="663"/>
      <c r="AC123" s="663"/>
      <c r="AD123" s="663"/>
      <c r="AE123" s="663"/>
      <c r="AF123" s="663"/>
      <c r="AG123" s="663"/>
      <c r="AH123" s="663"/>
      <c r="AI123" s="664"/>
      <c r="AL123" s="668"/>
      <c r="AM123" s="662">
        <f>AM121-AM122</f>
        <v>0</v>
      </c>
      <c r="AN123" s="663"/>
      <c r="AU123" s="664"/>
      <c r="AX123" s="668"/>
      <c r="AY123" s="662">
        <f>AY121-AY122</f>
        <v>0</v>
      </c>
      <c r="BG123" s="664"/>
      <c r="BJ123" s="668"/>
      <c r="BK123" s="662">
        <f>BK121-BK122</f>
        <v>0</v>
      </c>
      <c r="BS123" s="664"/>
      <c r="BV123" s="668"/>
      <c r="BW123" s="662">
        <f>BW121-BW122</f>
        <v>0</v>
      </c>
      <c r="CE123" s="664"/>
      <c r="CH123" s="668"/>
      <c r="CI123" s="662">
        <f>CI121-CI122</f>
        <v>0</v>
      </c>
      <c r="CQ123" s="664"/>
      <c r="CT123" s="668"/>
      <c r="CU123" s="662">
        <f>CU121-CU122</f>
        <v>0</v>
      </c>
      <c r="DC123" s="664"/>
      <c r="DF123" s="668"/>
      <c r="DG123" s="662">
        <f>DG121-DG122</f>
        <v>0</v>
      </c>
      <c r="DO123" s="664"/>
    </row>
    <row r="124" spans="2:119" hidden="1" x14ac:dyDescent="0.25">
      <c r="B124" s="668" t="s">
        <v>101</v>
      </c>
      <c r="C124" s="662">
        <f>IF(SUMIF($F$50:$O$50,"=10",$F$63:$O$63)&lt;=C123,SUMIF($F$50:$O$50,"=10",$F$63:$O$63),C123)</f>
        <v>0</v>
      </c>
      <c r="E124" s="663">
        <v>10</v>
      </c>
      <c r="K124" s="664"/>
      <c r="N124" s="668" t="s">
        <v>101</v>
      </c>
      <c r="O124" s="662">
        <f>IF(SUMIF($F$50:$O$50,"=10",$F$63:$O$63)&lt;=O123,SUMIF($F$50:$O$50,"=10",$F$63:$O$63),O123)</f>
        <v>0</v>
      </c>
      <c r="Q124" s="663">
        <v>10</v>
      </c>
      <c r="U124" s="663"/>
      <c r="W124" s="664"/>
      <c r="Z124" s="668" t="s">
        <v>101</v>
      </c>
      <c r="AA124" s="662">
        <f>IF(SUMIF($F$50:$O$50,"=10",$F$63:$O$63)&lt;=AA123,SUMIF($F$50:$O$50,"=10",$F$63:$O$63),AA123)</f>
        <v>0</v>
      </c>
      <c r="AB124" s="663"/>
      <c r="AC124" s="663">
        <v>10</v>
      </c>
      <c r="AD124" s="663"/>
      <c r="AE124" s="663"/>
      <c r="AF124" s="663"/>
      <c r="AG124" s="663"/>
      <c r="AH124" s="663"/>
      <c r="AI124" s="664"/>
      <c r="AL124" s="668" t="s">
        <v>101</v>
      </c>
      <c r="AM124" s="662">
        <f>IF(SUMIF($F$50:$O$50,"=10",$F$63:$O$63)&lt;=AM123,SUMIF($F$50:$O$50,"=10",$F$63:$O$63),AM123)</f>
        <v>0</v>
      </c>
      <c r="AN124" s="663"/>
      <c r="AO124" s="663">
        <v>10</v>
      </c>
      <c r="AU124" s="664"/>
      <c r="AX124" s="668" t="s">
        <v>101</v>
      </c>
      <c r="AY124" s="662">
        <f>IF(SUMIF($F$50:$O$50,"=10",$F$63:$O$63)&lt;=AY123,SUMIF($F$50:$O$50,"=10",$F$63:$O$63),AY123)</f>
        <v>0</v>
      </c>
      <c r="BA124" s="663">
        <v>10</v>
      </c>
      <c r="BG124" s="664"/>
      <c r="BJ124" s="668" t="s">
        <v>101</v>
      </c>
      <c r="BK124" s="662">
        <f>IF(SUMIF($F$50:$O$50,"=10",$F$63:$O$63)&lt;=BK123,SUMIF($F$50:$O$50,"=10",$F$63:$O$63),BK123)</f>
        <v>0</v>
      </c>
      <c r="BM124" s="663">
        <v>10</v>
      </c>
      <c r="BS124" s="664"/>
      <c r="BV124" s="668" t="s">
        <v>101</v>
      </c>
      <c r="BW124" s="662">
        <f>IF(SUMIF($F$50:$O$50,"=10",$F$63:$O$63)&lt;=BW123,SUMIF($F$50:$O$50,"=10",$F$63:$O$63),BW123)</f>
        <v>0</v>
      </c>
      <c r="BY124" s="663">
        <v>10</v>
      </c>
      <c r="CE124" s="664"/>
      <c r="CH124" s="668" t="s">
        <v>101</v>
      </c>
      <c r="CI124" s="662">
        <f>IF(SUMIF($F$50:$O$50,"=10",$F$63:$O$63)&lt;=CI123,SUMIF($F$50:$O$50,"=10",$F$63:$O$63),CI123)</f>
        <v>0</v>
      </c>
      <c r="CK124" s="663">
        <v>10</v>
      </c>
      <c r="CQ124" s="664"/>
      <c r="CT124" s="668" t="s">
        <v>101</v>
      </c>
      <c r="CU124" s="662">
        <f>IF(SUMIF($F$50:$O$50,"=10",$F$63:$O$63)&lt;=CU123,SUMIF($F$50:$O$50,"=10",$F$63:$O$63),CU123)</f>
        <v>0</v>
      </c>
      <c r="CW124" s="663">
        <v>10</v>
      </c>
      <c r="DC124" s="664"/>
      <c r="DF124" s="668" t="s">
        <v>101</v>
      </c>
      <c r="DG124" s="662">
        <f>IF(SUMIF($F$50:$O$50,"=10",$F$63:$O$63)&lt;=DG123,SUMIF($F$50:$O$50,"=10",$F$63:$O$63),DG123)</f>
        <v>0</v>
      </c>
      <c r="DI124" s="663">
        <v>10</v>
      </c>
      <c r="DO124" s="664"/>
    </row>
    <row r="125" spans="2:119" hidden="1" x14ac:dyDescent="0.25">
      <c r="B125" s="668" t="s">
        <v>102</v>
      </c>
      <c r="C125" s="662">
        <f>C123-C124</f>
        <v>0</v>
      </c>
      <c r="K125" s="664"/>
      <c r="N125" s="668" t="s">
        <v>102</v>
      </c>
      <c r="O125" s="662">
        <f>O123-O124</f>
        <v>0</v>
      </c>
      <c r="U125" s="663"/>
      <c r="W125" s="664"/>
      <c r="Z125" s="668" t="s">
        <v>102</v>
      </c>
      <c r="AA125" s="662">
        <f>AA123-AA124</f>
        <v>0</v>
      </c>
      <c r="AB125" s="663"/>
      <c r="AC125" s="663"/>
      <c r="AD125" s="663"/>
      <c r="AE125" s="663"/>
      <c r="AF125" s="663"/>
      <c r="AG125" s="663"/>
      <c r="AH125" s="663"/>
      <c r="AI125" s="664"/>
      <c r="AL125" s="668" t="s">
        <v>102</v>
      </c>
      <c r="AM125" s="662">
        <f>AM123-AM124</f>
        <v>0</v>
      </c>
      <c r="AN125" s="663"/>
      <c r="AU125" s="664"/>
      <c r="AX125" s="668" t="s">
        <v>102</v>
      </c>
      <c r="AY125" s="662">
        <f>AY123-AY124</f>
        <v>0</v>
      </c>
      <c r="BG125" s="664"/>
      <c r="BJ125" s="668" t="s">
        <v>102</v>
      </c>
      <c r="BK125" s="662">
        <f>BK123-BK124</f>
        <v>0</v>
      </c>
      <c r="BS125" s="664"/>
      <c r="BV125" s="668" t="s">
        <v>102</v>
      </c>
      <c r="BW125" s="662">
        <f>BW123-BW124</f>
        <v>0</v>
      </c>
      <c r="CE125" s="664"/>
      <c r="CH125" s="668" t="s">
        <v>102</v>
      </c>
      <c r="CI125" s="662">
        <f>CI123-CI124</f>
        <v>0</v>
      </c>
      <c r="CQ125" s="664"/>
      <c r="CT125" s="668" t="s">
        <v>102</v>
      </c>
      <c r="CU125" s="662">
        <f>CU123-CU124</f>
        <v>0</v>
      </c>
      <c r="DC125" s="664"/>
      <c r="DF125" s="668" t="s">
        <v>102</v>
      </c>
      <c r="DG125" s="662">
        <f>DG123-DG124</f>
        <v>0</v>
      </c>
      <c r="DO125" s="664"/>
    </row>
    <row r="126" spans="2:119" hidden="1" x14ac:dyDescent="0.25">
      <c r="B126" s="668"/>
      <c r="K126" s="664"/>
      <c r="N126" s="668"/>
      <c r="U126" s="663"/>
      <c r="W126" s="664"/>
      <c r="Z126" s="668"/>
      <c r="AA126" s="663"/>
      <c r="AB126" s="663"/>
      <c r="AC126" s="663"/>
      <c r="AD126" s="663"/>
      <c r="AE126" s="663"/>
      <c r="AF126" s="663"/>
      <c r="AG126" s="663"/>
      <c r="AH126" s="663"/>
      <c r="AI126" s="664"/>
      <c r="AL126" s="668"/>
      <c r="AM126" s="663"/>
      <c r="AN126" s="663"/>
      <c r="AU126" s="664"/>
      <c r="AX126" s="668"/>
      <c r="BG126" s="664"/>
      <c r="BJ126" s="668"/>
      <c r="BS126" s="664"/>
      <c r="BV126" s="668"/>
      <c r="CE126" s="664"/>
      <c r="CH126" s="668"/>
      <c r="CQ126" s="664"/>
      <c r="CT126" s="668"/>
      <c r="DC126" s="664"/>
      <c r="DF126" s="668"/>
      <c r="DO126" s="664"/>
    </row>
    <row r="127" spans="2:119" hidden="1" x14ac:dyDescent="0.25">
      <c r="B127" s="668"/>
      <c r="K127" s="664"/>
      <c r="N127" s="668"/>
      <c r="U127" s="663"/>
      <c r="W127" s="664"/>
      <c r="Z127" s="668"/>
      <c r="AA127" s="663"/>
      <c r="AB127" s="663"/>
      <c r="AC127" s="663"/>
      <c r="AD127" s="663"/>
      <c r="AE127" s="663"/>
      <c r="AF127" s="663"/>
      <c r="AG127" s="663"/>
      <c r="AH127" s="663"/>
      <c r="AI127" s="664"/>
      <c r="AL127" s="668"/>
      <c r="AM127" s="663"/>
      <c r="AN127" s="663"/>
      <c r="AU127" s="664"/>
      <c r="AX127" s="668"/>
      <c r="BG127" s="664"/>
      <c r="BJ127" s="668"/>
      <c r="BS127" s="664"/>
      <c r="BV127" s="668"/>
      <c r="CE127" s="664"/>
      <c r="CH127" s="668"/>
      <c r="CQ127" s="664"/>
      <c r="CT127" s="668"/>
      <c r="DC127" s="664"/>
      <c r="DF127" s="668"/>
      <c r="DO127" s="664"/>
    </row>
    <row r="128" spans="2:119" hidden="1" x14ac:dyDescent="0.25">
      <c r="B128" s="668" t="s">
        <v>103</v>
      </c>
      <c r="C128" s="662"/>
      <c r="K128" s="664"/>
      <c r="N128" s="668" t="s">
        <v>103</v>
      </c>
      <c r="O128" s="662"/>
      <c r="U128" s="663"/>
      <c r="W128" s="664"/>
      <c r="Z128" s="668" t="s">
        <v>103</v>
      </c>
      <c r="AA128" s="662"/>
      <c r="AB128" s="663"/>
      <c r="AC128" s="663"/>
      <c r="AD128" s="663"/>
      <c r="AE128" s="663"/>
      <c r="AF128" s="663"/>
      <c r="AG128" s="663"/>
      <c r="AH128" s="663"/>
      <c r="AI128" s="664"/>
      <c r="AL128" s="668" t="s">
        <v>103</v>
      </c>
      <c r="AM128" s="662"/>
      <c r="AN128" s="663"/>
      <c r="AU128" s="664"/>
      <c r="AX128" s="668" t="s">
        <v>103</v>
      </c>
      <c r="AY128" s="662"/>
      <c r="BG128" s="664"/>
      <c r="BJ128" s="668" t="s">
        <v>103</v>
      </c>
      <c r="BK128" s="662"/>
      <c r="BS128" s="664"/>
      <c r="BV128" s="668" t="s">
        <v>103</v>
      </c>
      <c r="BW128" s="662"/>
      <c r="CE128" s="664"/>
      <c r="CH128" s="668" t="s">
        <v>103</v>
      </c>
      <c r="CI128" s="662"/>
      <c r="CQ128" s="664"/>
      <c r="CT128" s="668" t="s">
        <v>103</v>
      </c>
      <c r="CU128" s="662"/>
      <c r="DC128" s="664"/>
      <c r="DF128" s="668" t="s">
        <v>103</v>
      </c>
      <c r="DG128" s="662"/>
      <c r="DO128" s="664"/>
    </row>
    <row r="129" spans="2:119" hidden="1" x14ac:dyDescent="0.25">
      <c r="B129" s="665" t="str">
        <f t="shared" ref="B129" si="25">F$6</f>
        <v>Series A</v>
      </c>
      <c r="C129" s="662">
        <f ca="1">IF(AND(C125&lt;&gt;0,F152=0),0,IF(SUMIF($F$50:$O$50,$F$50,$F$62:$O$62)=0,0,SUMIF(D86:D124,$F$50,C86:C124)*$F$62/(SUMIF($F$50:$O$50,$F$50,$F$62:$O$62))))</f>
        <v>0</v>
      </c>
      <c r="K129" s="664"/>
      <c r="N129" s="665" t="str">
        <f>B129</f>
        <v>Series A</v>
      </c>
      <c r="O129" s="662">
        <f ca="1">IF(AND(O125&lt;&gt;0,R152=0),0,IF(SUMIF($F$50:$O$50,$F$50,$F$62:$O$62)=0,0,SUMIF(P86:P124,$F$50,O86:O124)*$F$62/(SUMIF($F$50:$O$50,$F$50,$F$62:$O$62))))</f>
        <v>0</v>
      </c>
      <c r="U129" s="663"/>
      <c r="W129" s="664"/>
      <c r="Z129" s="665" t="str">
        <f>N129</f>
        <v>Series A</v>
      </c>
      <c r="AA129" s="662">
        <f ca="1">IF(AND(AA125&lt;&gt;0,AD152=0),0,IF(SUMIF($F$50:$O$50,$F$50,$F$62:$O$62)=0,0,SUMIF(AB86:AB124,$F$50,AA86:AA124)*$F$62/(SUMIF($F$50:$O$50,$F$50,$F$62:$O$62))))</f>
        <v>0</v>
      </c>
      <c r="AB129" s="663"/>
      <c r="AC129" s="663"/>
      <c r="AD129" s="663"/>
      <c r="AE129" s="663"/>
      <c r="AF129" s="663"/>
      <c r="AG129" s="663"/>
      <c r="AH129" s="663"/>
      <c r="AI129" s="664"/>
      <c r="AL129" s="665" t="str">
        <f>Z129</f>
        <v>Series A</v>
      </c>
      <c r="AM129" s="662">
        <f ca="1">IF(AND(AM125&lt;&gt;0,AP152=0),0,IF(SUMIF($F$50:$O$50,$F$50,$F$62:$O$62)=0,0,SUMIF(AN86:AN124,$F$50,AM86:AM124)*$F$62/(SUMIF($F$50:$O$50,$F$50,$F$62:$O$62))))</f>
        <v>0</v>
      </c>
      <c r="AN129" s="663"/>
      <c r="AU129" s="664"/>
      <c r="AX129" s="665" t="str">
        <f>AL129</f>
        <v>Series A</v>
      </c>
      <c r="AY129" s="662">
        <f ca="1">IF(AND(AY125&lt;&gt;0,BB152=0),0,IF(SUMIF($F$50:$O$50,$F$50,$F$62:$O$62)=0,0,SUMIF(AZ86:AZ124,$F$50,AY86:AY124)*$F$62/(SUMIF($F$50:$O$50,$F$50,$F$62:$O$62))))</f>
        <v>0</v>
      </c>
      <c r="BG129" s="664"/>
      <c r="BJ129" s="665" t="str">
        <f>AX129</f>
        <v>Series A</v>
      </c>
      <c r="BK129" s="662">
        <f ca="1">IF(AND(BK125&lt;&gt;0,BN152=0),0,IF(SUMIF($F$50:$O$50,$F$50,$F$62:$O$62)=0,0,SUMIF(BL86:BL124,$F$50,BK86:BK124)*$F$62/(SUMIF($F$50:$O$50,$F$50,$F$62:$O$62))))</f>
        <v>0</v>
      </c>
      <c r="BS129" s="664"/>
      <c r="BV129" s="665" t="str">
        <f>BJ129</f>
        <v>Series A</v>
      </c>
      <c r="BW129" s="662">
        <f ca="1">IF(AND(BW125&lt;&gt;0,BZ152=0),0,IF(SUMIF($F$50:$O$50,$F$50,$F$62:$O$62)=0,0,SUMIF(BX86:BX124,$F$50,BW86:BW124)*$F$62/(SUMIF($F$50:$O$50,$F$50,$F$62:$O$62))))</f>
        <v>0</v>
      </c>
      <c r="CE129" s="664"/>
      <c r="CH129" s="665" t="str">
        <f>BV129</f>
        <v>Series A</v>
      </c>
      <c r="CI129" s="662">
        <f ca="1">IF(AND(CI125&lt;&gt;0,CL152=0),0,IF(SUMIF($F$50:$O$50,$F$50,$F$62:$O$62)=0,0,SUMIF(CJ86:CJ124,$F$50,CI86:CI124)*$F$62/(SUMIF($F$50:$O$50,$F$50,$F$62:$O$62))))</f>
        <v>0</v>
      </c>
      <c r="CQ129" s="664"/>
      <c r="CT129" s="665" t="str">
        <f>CH129</f>
        <v>Series A</v>
      </c>
      <c r="CU129" s="662">
        <f ca="1">IF(AND(CU125&lt;&gt;0,CX152=0),0,IF(SUMIF($F$50:$O$50,$F$50,$F$62:$O$62)=0,0,SUMIF(CV86:CV124,$F$50,CU86:CU124)*$F$62/(SUMIF($F$50:$O$50,$F$50,$F$62:$O$62))))</f>
        <v>0</v>
      </c>
      <c r="DC129" s="664"/>
      <c r="DF129" s="665" t="str">
        <f>CT129</f>
        <v>Series A</v>
      </c>
      <c r="DG129" s="662">
        <f ca="1">IF(AND(DG125&lt;&gt;0,DJ152=0),0,IF(SUMIF($F$50:$O$50,$F$50,$F$62:$O$62)=0,0,SUMIF(DH86:DH124,$F$50,DG86:DG124)*$F$62/(SUMIF($F$50:$O$50,$F$50,$F$62:$O$62))))</f>
        <v>0</v>
      </c>
      <c r="DO129" s="664"/>
    </row>
    <row r="130" spans="2:119" hidden="1" x14ac:dyDescent="0.25">
      <c r="B130" s="665" t="str">
        <f>G$6</f>
        <v>Series B</v>
      </c>
      <c r="C130" s="662">
        <f ca="1">IF(AND(C125&lt;&gt;0,F153=0),0,IF(SUMIF($F$50:$O$50,$G$50,$F$62:$O$62)=0,0,SUMIF(D86:D124,$G$50,C86:C124)*$G$62/(SUMIF($F$50:$O$50,$G$50,$F$62:$O$62))))</f>
        <v>0</v>
      </c>
      <c r="K130" s="664"/>
      <c r="N130" s="665" t="str">
        <f t="shared" ref="N130:N148" si="26">B130</f>
        <v>Series B</v>
      </c>
      <c r="O130" s="662">
        <f ca="1">IF(AND(O125&lt;&gt;0,R153=0),0,IF(SUMIF($F$50:$O$50,$G$50,$F$62:$O$62)=0,0,SUMIF(P86:P124,$G$50,O86:O124)*$G$62/(SUMIF($F$50:$O$50,$G$50,$F$62:$O$62))))</f>
        <v>0</v>
      </c>
      <c r="U130" s="663"/>
      <c r="W130" s="664"/>
      <c r="Z130" s="665" t="str">
        <f t="shared" ref="Z130:Z148" si="27">N130</f>
        <v>Series B</v>
      </c>
      <c r="AA130" s="662">
        <f ca="1">IF(AND(AA125&lt;&gt;0,AD153=0),0,IF(SUMIF($F$50:$O$50,$G$50,$F$62:$O$62)=0,0,SUMIF(AB86:AB124,$G$50,AA86:AA124)*$G$62/(SUMIF($F$50:$O$50,$G$50,$F$62:$O$62))))</f>
        <v>0</v>
      </c>
      <c r="AB130" s="663"/>
      <c r="AC130" s="663"/>
      <c r="AD130" s="663"/>
      <c r="AE130" s="663"/>
      <c r="AF130" s="663"/>
      <c r="AG130" s="663"/>
      <c r="AH130" s="663"/>
      <c r="AI130" s="664"/>
      <c r="AL130" s="665" t="str">
        <f t="shared" ref="AL130:AL148" si="28">Z130</f>
        <v>Series B</v>
      </c>
      <c r="AM130" s="662">
        <f ca="1">IF(AND(AM125&lt;&gt;0,AP153=0),0,IF(SUMIF($F$50:$O$50,$G$50,$F$62:$O$62)=0,0,SUMIF(AN86:AN124,$G$50,AM86:AM124)*$G$62/(SUMIF($F$50:$O$50,$G$50,$F$62:$O$62))))</f>
        <v>0</v>
      </c>
      <c r="AN130" s="663"/>
      <c r="AU130" s="664"/>
      <c r="AX130" s="665" t="str">
        <f t="shared" ref="AX130:AX148" si="29">AL130</f>
        <v>Series B</v>
      </c>
      <c r="AY130" s="662">
        <f ca="1">IF(AND(AY125&lt;&gt;0,BB153=0),0,IF(SUMIF($F$50:$O$50,$G$50,$F$62:$O$62)=0,0,SUMIF(AZ86:AZ124,$G$50,AY86:AY124)*$G$62/(SUMIF($F$50:$O$50,$G$50,$F$62:$O$62))))</f>
        <v>0</v>
      </c>
      <c r="BG130" s="664"/>
      <c r="BJ130" s="665" t="str">
        <f t="shared" ref="BJ130:BJ148" si="30">AX130</f>
        <v>Series B</v>
      </c>
      <c r="BK130" s="662">
        <f ca="1">IF(AND(BK125&lt;&gt;0,BN153=0),0,IF(SUMIF($F$50:$O$50,$G$50,$F$62:$O$62)=0,0,SUMIF(BL86:BL124,$G$50,BK86:BK124)*$G$62/(SUMIF($F$50:$O$50,$G$50,$F$62:$O$62))))</f>
        <v>0</v>
      </c>
      <c r="BS130" s="664"/>
      <c r="BV130" s="665" t="str">
        <f t="shared" ref="BV130:BV148" si="31">BJ130</f>
        <v>Series B</v>
      </c>
      <c r="BW130" s="662">
        <f ca="1">IF(AND(BW125&lt;&gt;0,BZ153=0),0,IF(SUMIF($F$50:$O$50,$G$50,$F$62:$O$62)=0,0,SUMIF(BX86:BX124,$G$50,BW86:BW124)*$G$62/(SUMIF($F$50:$O$50,$G$50,$F$62:$O$62))))</f>
        <v>0</v>
      </c>
      <c r="CE130" s="664"/>
      <c r="CH130" s="665" t="str">
        <f t="shared" ref="CH130:CH148" si="32">BV130</f>
        <v>Series B</v>
      </c>
      <c r="CI130" s="662">
        <f ca="1">IF(AND(CI125&lt;&gt;0,CL153=0),0,IF(SUMIF($F$50:$O$50,$G$50,$F$62:$O$62)=0,0,SUMIF(CJ86:CJ124,$G$50,CI86:CI124)*$G$62/(SUMIF($F$50:$O$50,$G$50,$F$62:$O$62))))</f>
        <v>0</v>
      </c>
      <c r="CQ130" s="664"/>
      <c r="CT130" s="665" t="str">
        <f t="shared" ref="CT130:CT148" si="33">CH130</f>
        <v>Series B</v>
      </c>
      <c r="CU130" s="662">
        <f ca="1">IF(AND(CU125&lt;&gt;0,CX153=0),0,IF(SUMIF($F$50:$O$50,$G$50,$F$62:$O$62)=0,0,SUMIF(CV86:CV124,$G$50,CU86:CU124)*$G$62/(SUMIF($F$50:$O$50,$G$50,$F$62:$O$62))))</f>
        <v>0</v>
      </c>
      <c r="DC130" s="664"/>
      <c r="DF130" s="665" t="str">
        <f t="shared" ref="DF130:DF148" si="34">CT130</f>
        <v>Series B</v>
      </c>
      <c r="DG130" s="662">
        <f ca="1">IF(AND(DG125&lt;&gt;0,DJ153=0),0,IF(SUMIF($F$50:$O$50,$G$50,$F$62:$O$62)=0,0,SUMIF(DH86:DH124,$G$50,DG86:DG124)*$G$62/(SUMIF($F$50:$O$50,$G$50,$F$62:$O$62))))</f>
        <v>0</v>
      </c>
      <c r="DO130" s="664"/>
    </row>
    <row r="131" spans="2:119" hidden="1" x14ac:dyDescent="0.25">
      <c r="B131" s="665" t="str">
        <f>H$6</f>
        <v>Series C</v>
      </c>
      <c r="C131" s="662">
        <f ca="1">IF(AND(C125&lt;&gt;0,F154=0),0,IF(SUMIF($F$50:$O$50,$H$50,$F$62:$O$62)=0,0,SUMIF(D86:D124,$H$50,C86:C124)*$H$62/(SUMIF($F$50:$O$50,$H$50,$F$62:$O$62))))</f>
        <v>0</v>
      </c>
      <c r="K131" s="664"/>
      <c r="N131" s="665" t="str">
        <f t="shared" si="26"/>
        <v>Series C</v>
      </c>
      <c r="O131" s="662">
        <f ca="1">IF(AND(O125&lt;&gt;0,R154=0),0,IF(SUMIF($F$50:$O$50,$H$50,$F$62:$O$62)=0,0,SUMIF(P86:P124,$H$50,O86:O124)*$H$62/(SUMIF($F$50:$O$50,$H$50,$F$62:$O$62))))</f>
        <v>0</v>
      </c>
      <c r="U131" s="663"/>
      <c r="W131" s="664"/>
      <c r="Z131" s="665" t="str">
        <f t="shared" si="27"/>
        <v>Series C</v>
      </c>
      <c r="AA131" s="662">
        <f ca="1">IF(AND(AA125&lt;&gt;0,AD154=0),0,IF(SUMIF($F$50:$O$50,$H$50,$F$62:$O$62)=0,0,SUMIF(AB86:AB124,$H$50,AA86:AA124)*$H$62/(SUMIF($F$50:$O$50,$H$50,$F$62:$O$62))))</f>
        <v>0</v>
      </c>
      <c r="AB131" s="663"/>
      <c r="AC131" s="663"/>
      <c r="AD131" s="663"/>
      <c r="AE131" s="663"/>
      <c r="AF131" s="663"/>
      <c r="AG131" s="663"/>
      <c r="AH131" s="663"/>
      <c r="AI131" s="664"/>
      <c r="AL131" s="665" t="str">
        <f t="shared" si="28"/>
        <v>Series C</v>
      </c>
      <c r="AM131" s="662">
        <f ca="1">IF(AND(AM125&lt;&gt;0,AP154=0),0,IF(SUMIF($F$50:$O$50,$H$50,$F$62:$O$62)=0,0,SUMIF(AN86:AN124,$H$50,AM86:AM124)*$H$62/(SUMIF($F$50:$O$50,$H$50,$F$62:$O$62))))</f>
        <v>0</v>
      </c>
      <c r="AN131" s="663"/>
      <c r="AU131" s="664"/>
      <c r="AX131" s="665" t="str">
        <f t="shared" si="29"/>
        <v>Series C</v>
      </c>
      <c r="AY131" s="662">
        <f ca="1">IF(AND(AY125&lt;&gt;0,BB154=0),0,IF(SUMIF($F$50:$O$50,$H$50,$F$62:$O$62)=0,0,SUMIF(AZ86:AZ124,$H$50,AY86:AY124)*$H$62/(SUMIF($F$50:$O$50,$H$50,$F$62:$O$62))))</f>
        <v>0</v>
      </c>
      <c r="BG131" s="664"/>
      <c r="BJ131" s="665" t="str">
        <f t="shared" si="30"/>
        <v>Series C</v>
      </c>
      <c r="BK131" s="662">
        <f ca="1">IF(AND(BK125&lt;&gt;0,BN154=0),0,IF(SUMIF($F$50:$O$50,$H$50,$F$62:$O$62)=0,0,SUMIF(BL86:BL124,$H$50,BK86:BK124)*$H$62/(SUMIF($F$50:$O$50,$H$50,$F$62:$O$62))))</f>
        <v>0</v>
      </c>
      <c r="BS131" s="664"/>
      <c r="BV131" s="665" t="str">
        <f t="shared" si="31"/>
        <v>Series C</v>
      </c>
      <c r="BW131" s="662">
        <f ca="1">IF(AND(BW125&lt;&gt;0,BZ154=0),0,IF(SUMIF($F$50:$O$50,$H$50,$F$62:$O$62)=0,0,SUMIF(BX86:BX124,$H$50,BW86:BW124)*$H$62/(SUMIF($F$50:$O$50,$H$50,$F$62:$O$62))))</f>
        <v>0</v>
      </c>
      <c r="CE131" s="664"/>
      <c r="CH131" s="665" t="str">
        <f t="shared" si="32"/>
        <v>Series C</v>
      </c>
      <c r="CI131" s="662">
        <f ca="1">IF(AND(CI125&lt;&gt;0,CL154=0),0,IF(SUMIF($F$50:$O$50,$H$50,$F$62:$O$62)=0,0,SUMIF(CJ86:CJ124,$H$50,CI86:CI124)*$H$62/(SUMIF($F$50:$O$50,$H$50,$F$62:$O$62))))</f>
        <v>0</v>
      </c>
      <c r="CQ131" s="664"/>
      <c r="CT131" s="665" t="str">
        <f t="shared" si="33"/>
        <v>Series C</v>
      </c>
      <c r="CU131" s="662">
        <f ca="1">IF(AND(CU125&lt;&gt;0,CX154=0),0,IF(SUMIF($F$50:$O$50,$H$50,$F$62:$O$62)=0,0,SUMIF(CV86:CV124,$H$50,CU86:CU124)*$H$62/(SUMIF($F$50:$O$50,$H$50,$F$62:$O$62))))</f>
        <v>0</v>
      </c>
      <c r="DC131" s="664"/>
      <c r="DF131" s="665" t="str">
        <f t="shared" si="34"/>
        <v>Series C</v>
      </c>
      <c r="DG131" s="662">
        <f ca="1">IF(AND(DG125&lt;&gt;0,DJ154=0),0,IF(SUMIF($F$50:$O$50,$H$50,$F$62:$O$62)=0,0,SUMIF(DH86:DH124,$H$50,DG86:DG124)*$H$62/(SUMIF($F$50:$O$50,$H$50,$F$62:$O$62))))</f>
        <v>0</v>
      </c>
      <c r="DO131" s="664"/>
    </row>
    <row r="132" spans="2:119" hidden="1" x14ac:dyDescent="0.25">
      <c r="B132" s="665" t="str">
        <f>I$6</f>
        <v>Series D</v>
      </c>
      <c r="C132" s="662">
        <f ca="1">IF(AND(C125&lt;&gt;0,F155=0),0,IF(SUMIF($F$50:$O$50,$I$50,$F$62:$O$62)=0,0,SUMIF(D86:D124,$I$50,C86:C124)*$I$62/(SUMIF($F$50:$O$50,$I$50,$F$62:$O$62))))</f>
        <v>0</v>
      </c>
      <c r="K132" s="664"/>
      <c r="N132" s="665" t="str">
        <f t="shared" si="26"/>
        <v>Series D</v>
      </c>
      <c r="O132" s="662">
        <f ca="1">IF(AND(O125&lt;&gt;0,R155=0),0,IF(SUMIF($F$50:$O$50,$I$50,$F$62:$O$62)=0,0,SUMIF(P86:P124,$I$50,O86:O124)*$I$62/(SUMIF($F$50:$O$50,$I$50,$F$62:$O$62))))</f>
        <v>0</v>
      </c>
      <c r="U132" s="663"/>
      <c r="W132" s="664"/>
      <c r="Z132" s="665" t="str">
        <f t="shared" si="27"/>
        <v>Series D</v>
      </c>
      <c r="AA132" s="662">
        <f ca="1">IF(AND(AA125&lt;&gt;0,AD155=0),0,IF(SUMIF($F$50:$O$50,$I$50,$F$62:$O$62)=0,0,SUMIF(AB86:AB124,$I$50,AA86:AA124)*$I$62/(SUMIF($F$50:$O$50,$I$50,$F$62:$O$62))))</f>
        <v>0</v>
      </c>
      <c r="AB132" s="663"/>
      <c r="AC132" s="663"/>
      <c r="AD132" s="663"/>
      <c r="AE132" s="663"/>
      <c r="AF132" s="663"/>
      <c r="AG132" s="663"/>
      <c r="AH132" s="663"/>
      <c r="AI132" s="664"/>
      <c r="AL132" s="665" t="str">
        <f t="shared" si="28"/>
        <v>Series D</v>
      </c>
      <c r="AM132" s="662">
        <f ca="1">IF(AND(AM125&lt;&gt;0,AP155=0),0,IF(SUMIF($F$50:$O$50,$I$50,$F$62:$O$62)=0,0,SUMIF(AN86:AN124,$I$50,AM86:AM124)*$I$62/(SUMIF($F$50:$O$50,$I$50,$F$62:$O$62))))</f>
        <v>0</v>
      </c>
      <c r="AN132" s="663"/>
      <c r="AU132" s="664"/>
      <c r="AX132" s="665" t="str">
        <f t="shared" si="29"/>
        <v>Series D</v>
      </c>
      <c r="AY132" s="662">
        <f ca="1">IF(AND(AY125&lt;&gt;0,BB155=0),0,IF(SUMIF($F$50:$O$50,$I$50,$F$62:$O$62)=0,0,SUMIF(AZ86:AZ124,$I$50,AY86:AY124)*$I$62/(SUMIF($F$50:$O$50,$I$50,$F$62:$O$62))))</f>
        <v>0</v>
      </c>
      <c r="BG132" s="664"/>
      <c r="BJ132" s="665" t="str">
        <f t="shared" si="30"/>
        <v>Series D</v>
      </c>
      <c r="BK132" s="662">
        <f ca="1">IF(AND(BK125&lt;&gt;0,BN155=0),0,IF(SUMIF($F$50:$O$50,$I$50,$F$62:$O$62)=0,0,SUMIF(BL86:BL124,$I$50,BK86:BK124)*$I$62/(SUMIF($F$50:$O$50,$I$50,$F$62:$O$62))))</f>
        <v>0</v>
      </c>
      <c r="BS132" s="664"/>
      <c r="BV132" s="665" t="str">
        <f t="shared" si="31"/>
        <v>Series D</v>
      </c>
      <c r="BW132" s="662">
        <f ca="1">IF(AND(BW125&lt;&gt;0,BZ155=0),0,IF(SUMIF($F$50:$O$50,$I$50,$F$62:$O$62)=0,0,SUMIF(BX86:BX124,$I$50,BW86:BW124)*$I$62/(SUMIF($F$50:$O$50,$I$50,$F$62:$O$62))))</f>
        <v>0</v>
      </c>
      <c r="CE132" s="664"/>
      <c r="CH132" s="665" t="str">
        <f t="shared" si="32"/>
        <v>Series D</v>
      </c>
      <c r="CI132" s="662">
        <f ca="1">IF(AND(CI125&lt;&gt;0,CL155=0),0,IF(SUMIF($F$50:$O$50,$I$50,$F$62:$O$62)=0,0,SUMIF(CJ86:CJ124,$I$50,CI86:CI124)*$I$62/(SUMIF($F$50:$O$50,$I$50,$F$62:$O$62))))</f>
        <v>0</v>
      </c>
      <c r="CQ132" s="664"/>
      <c r="CT132" s="665" t="str">
        <f t="shared" si="33"/>
        <v>Series D</v>
      </c>
      <c r="CU132" s="662">
        <f ca="1">IF(AND(CU125&lt;&gt;0,CX155=0),0,IF(SUMIF($F$50:$O$50,$I$50,$F$62:$O$62)=0,0,SUMIF(CV86:CV124,$I$50,CU86:CU124)*$I$62/(SUMIF($F$50:$O$50,$I$50,$F$62:$O$62))))</f>
        <v>0</v>
      </c>
      <c r="DC132" s="664"/>
      <c r="DF132" s="665" t="str">
        <f t="shared" si="34"/>
        <v>Series D</v>
      </c>
      <c r="DG132" s="662">
        <f ca="1">IF(AND(DG125&lt;&gt;0,DJ155=0),0,IF(SUMIF($F$50:$O$50,$I$50,$F$62:$O$62)=0,0,SUMIF(DH86:DH124,$I$50,DG86:DG124)*$I$62/(SUMIF($F$50:$O$50,$I$50,$F$62:$O$62))))</f>
        <v>0</v>
      </c>
      <c r="DO132" s="664"/>
    </row>
    <row r="133" spans="2:119" hidden="1" x14ac:dyDescent="0.25">
      <c r="B133" s="665" t="str">
        <f>J$6</f>
        <v>-</v>
      </c>
      <c r="C133" s="662">
        <f ca="1">IF(AND(F156=0,C125&lt;&gt;0),0,IF(SUMIF($F$50:$O$50,$J$50,$F$62:$O$62)=0,0,SUMIF(D86:D124,$J$50,C86:C124)*$J$62/(SUMIF($F$50:$O$50,$J$50,$F$62:$O$62))))</f>
        <v>0</v>
      </c>
      <c r="K133" s="664"/>
      <c r="N133" s="665" t="str">
        <f t="shared" si="26"/>
        <v>-</v>
      </c>
      <c r="O133" s="662">
        <f ca="1">IF(AND(R156=0,O125&lt;&gt;0),0,IF(SUMIF($F$50:$O$50,$J$50,$F$62:$O$62)=0,0,SUMIF(P86:P124,$J$50,O86:O124)*$J$62/(SUMIF($F$50:$O$50,$J$50,$F$62:$O$62))))</f>
        <v>0</v>
      </c>
      <c r="U133" s="663"/>
      <c r="W133" s="664"/>
      <c r="Z133" s="665" t="str">
        <f t="shared" si="27"/>
        <v>-</v>
      </c>
      <c r="AA133" s="662">
        <f ca="1">IF(AND(AD156=0,AA125&lt;&gt;0),0,IF(SUMIF($F$50:$O$50,$J$50,$F$62:$O$62)=0,0,SUMIF(AB86:AB124,$J$50,AA86:AA124)*$J$62/(SUMIF($F$50:$O$50,$J$50,$F$62:$O$62))))</f>
        <v>0</v>
      </c>
      <c r="AB133" s="663"/>
      <c r="AC133" s="663"/>
      <c r="AD133" s="663"/>
      <c r="AE133" s="663"/>
      <c r="AF133" s="663"/>
      <c r="AG133" s="663"/>
      <c r="AH133" s="663"/>
      <c r="AI133" s="664"/>
      <c r="AL133" s="665" t="str">
        <f t="shared" si="28"/>
        <v>-</v>
      </c>
      <c r="AM133" s="662">
        <f ca="1">IF(AND(AP156=0,AM125&lt;&gt;0),0,IF(SUMIF($F$50:$O$50,$J$50,$F$62:$O$62)=0,0,SUMIF(AN86:AN124,$J$50,AM86:AM124)*$J$62/(SUMIF($F$50:$O$50,$J$50,$F$62:$O$62))))</f>
        <v>0</v>
      </c>
      <c r="AN133" s="663"/>
      <c r="AU133" s="664"/>
      <c r="AX133" s="665" t="str">
        <f t="shared" si="29"/>
        <v>-</v>
      </c>
      <c r="AY133" s="662">
        <f ca="1">IF(AND(BB156=0,AY125&lt;&gt;0),0,IF(SUMIF($F$50:$O$50,$J$50,$F$62:$O$62)=0,0,SUMIF(AZ86:AZ124,$J$50,AY86:AY124)*$J$62/(SUMIF($F$50:$O$50,$J$50,$F$62:$O$62))))</f>
        <v>0</v>
      </c>
      <c r="BG133" s="664"/>
      <c r="BJ133" s="665" t="str">
        <f t="shared" si="30"/>
        <v>-</v>
      </c>
      <c r="BK133" s="662">
        <f ca="1">IF(AND(BN156=0,BK125&lt;&gt;0),0,IF(SUMIF($F$50:$O$50,$J$50,$F$62:$O$62)=0,0,SUMIF(BL86:BL124,$J$50,BK86:BK124)*$J$62/(SUMIF($F$50:$O$50,$J$50,$F$62:$O$62))))</f>
        <v>0</v>
      </c>
      <c r="BS133" s="664"/>
      <c r="BV133" s="665" t="str">
        <f t="shared" si="31"/>
        <v>-</v>
      </c>
      <c r="BW133" s="662">
        <f ca="1">IF(AND(BZ156=0,BW125&lt;&gt;0),0,IF(SUMIF($F$50:$O$50,$J$50,$F$62:$O$62)=0,0,SUMIF(BX86:BX124,$J$50,BW86:BW124)*$J$62/(SUMIF($F$50:$O$50,$J$50,$F$62:$O$62))))</f>
        <v>0</v>
      </c>
      <c r="CE133" s="664"/>
      <c r="CH133" s="665" t="str">
        <f t="shared" si="32"/>
        <v>-</v>
      </c>
      <c r="CI133" s="662">
        <f ca="1">IF(AND(CL156=0,CI125&lt;&gt;0),0,IF(SUMIF($F$50:$O$50,$J$50,$F$62:$O$62)=0,0,SUMIF(CJ86:CJ124,$J$50,CI86:CI124)*$J$62/(SUMIF($F$50:$O$50,$J$50,$F$62:$O$62))))</f>
        <v>0</v>
      </c>
      <c r="CQ133" s="664"/>
      <c r="CT133" s="665" t="str">
        <f t="shared" si="33"/>
        <v>-</v>
      </c>
      <c r="CU133" s="662">
        <f ca="1">IF(AND(CX156=0,CU125&lt;&gt;0),0,IF(SUMIF($F$50:$O$50,$J$50,$F$62:$O$62)=0,0,SUMIF(CV86:CV124,$J$50,CU86:CU124)*$J$62/(SUMIF($F$50:$O$50,$J$50,$F$62:$O$62))))</f>
        <v>0</v>
      </c>
      <c r="DC133" s="664"/>
      <c r="DF133" s="665" t="str">
        <f t="shared" si="34"/>
        <v>-</v>
      </c>
      <c r="DG133" s="662">
        <f ca="1">IF(AND(DJ156=0,DG125&lt;&gt;0),0,IF(SUMIF($F$50:$O$50,$J$50,$F$62:$O$62)=0,0,SUMIF(DH86:DH124,$J$50,DG86:DG124)*$J$62/(SUMIF($F$50:$O$50,$J$50,$F$62:$O$62))))</f>
        <v>0</v>
      </c>
      <c r="DO133" s="664"/>
    </row>
    <row r="134" spans="2:119" hidden="1" x14ac:dyDescent="0.25">
      <c r="B134" s="665" t="str">
        <f>K$6</f>
        <v>-</v>
      </c>
      <c r="C134" s="662">
        <f ca="1">IF(AND(C125&lt;&gt;0,F157=0),0,IF(SUMIF($F$50:$O$50,$K$50,$F$62:$O$62)=0,0,SUMIF(D86:D124,$K$50,C86:C124)*$K$62/(SUMIF($F$50:$O$50,$K$50,$F$62:$O$62))))</f>
        <v>0</v>
      </c>
      <c r="K134" s="664"/>
      <c r="N134" s="665" t="str">
        <f t="shared" si="26"/>
        <v>-</v>
      </c>
      <c r="O134" s="662">
        <f ca="1">IF(AND(O125&lt;&gt;0,R157=0),0,IF(SUMIF($F$50:$O$50,$K$50,$F$62:$O$62)=0,0,SUMIF(P86:P124,$K$50,O86:O124)*$K$62/(SUMIF($F$50:$O$50,$K$50,$F$62:$O$62))))</f>
        <v>0</v>
      </c>
      <c r="U134" s="663"/>
      <c r="W134" s="664"/>
      <c r="Z134" s="665" t="str">
        <f t="shared" si="27"/>
        <v>-</v>
      </c>
      <c r="AA134" s="662">
        <f ca="1">IF(AND(AA125&lt;&gt;0,AD157=0),0,IF(SUMIF($F$50:$O$50,$K$50,$F$62:$O$62)=0,0,SUMIF(AB86:AB124,$K$50,AA86:AA124)*$K$62/(SUMIF($F$50:$O$50,$K$50,$F$62:$O$62))))</f>
        <v>0</v>
      </c>
      <c r="AB134" s="663"/>
      <c r="AC134" s="663"/>
      <c r="AD134" s="663"/>
      <c r="AE134" s="663"/>
      <c r="AF134" s="663"/>
      <c r="AG134" s="663"/>
      <c r="AH134" s="663"/>
      <c r="AI134" s="664"/>
      <c r="AL134" s="665" t="str">
        <f t="shared" si="28"/>
        <v>-</v>
      </c>
      <c r="AM134" s="662">
        <f ca="1">IF(AND(AM125&lt;&gt;0,AP157=0),0,IF(SUMIF($F$50:$O$50,$K$50,$F$62:$O$62)=0,0,SUMIF(AN86:AN124,$K$50,AM86:AM124)*$K$62/(SUMIF($F$50:$O$50,$K$50,$F$62:$O$62))))</f>
        <v>0</v>
      </c>
      <c r="AN134" s="663"/>
      <c r="AU134" s="664"/>
      <c r="AX134" s="665" t="str">
        <f t="shared" si="29"/>
        <v>-</v>
      </c>
      <c r="AY134" s="662">
        <f ca="1">IF(AND(AY125&lt;&gt;0,BB157=0),0,IF(SUMIF($F$50:$O$50,$K$50,$F$62:$O$62)=0,0,SUMIF(AZ86:AZ124,$K$50,AY86:AY124)*$K$62/(SUMIF($F$50:$O$50,$K$50,$F$62:$O$62))))</f>
        <v>0</v>
      </c>
      <c r="BG134" s="664"/>
      <c r="BJ134" s="665" t="str">
        <f t="shared" si="30"/>
        <v>-</v>
      </c>
      <c r="BK134" s="662">
        <f ca="1">IF(AND(BK125&lt;&gt;0,BN157=0),0,IF(SUMIF($F$50:$O$50,$K$50,$F$62:$O$62)=0,0,SUMIF(BL86:BL124,$K$50,BK86:BK124)*$K$62/(SUMIF($F$50:$O$50,$K$50,$F$62:$O$62))))</f>
        <v>0</v>
      </c>
      <c r="BS134" s="664"/>
      <c r="BV134" s="665" t="str">
        <f t="shared" si="31"/>
        <v>-</v>
      </c>
      <c r="BW134" s="662">
        <f ca="1">IF(AND(BW125&lt;&gt;0,BZ157=0),0,IF(SUMIF($F$50:$O$50,$K$50,$F$62:$O$62)=0,0,SUMIF(BX86:BX124,$K$50,BW86:BW124)*$K$62/(SUMIF($F$50:$O$50,$K$50,$F$62:$O$62))))</f>
        <v>0</v>
      </c>
      <c r="CE134" s="664"/>
      <c r="CH134" s="665" t="str">
        <f t="shared" si="32"/>
        <v>-</v>
      </c>
      <c r="CI134" s="662">
        <f ca="1">IF(AND(CI125&lt;&gt;0,CL157=0),0,IF(SUMIF($F$50:$O$50,$K$50,$F$62:$O$62)=0,0,SUMIF(CJ86:CJ124,$K$50,CI86:CI124)*$K$62/(SUMIF($F$50:$O$50,$K$50,$F$62:$O$62))))</f>
        <v>0</v>
      </c>
      <c r="CQ134" s="664"/>
      <c r="CT134" s="665" t="str">
        <f t="shared" si="33"/>
        <v>-</v>
      </c>
      <c r="CU134" s="662">
        <f ca="1">IF(AND(CU125&lt;&gt;0,CX157=0),0,IF(SUMIF($F$50:$O$50,$K$50,$F$62:$O$62)=0,0,SUMIF(CV86:CV124,$K$50,CU86:CU124)*$K$62/(SUMIF($F$50:$O$50,$K$50,$F$62:$O$62))))</f>
        <v>0</v>
      </c>
      <c r="DC134" s="664"/>
      <c r="DF134" s="665" t="str">
        <f t="shared" si="34"/>
        <v>-</v>
      </c>
      <c r="DG134" s="662">
        <f ca="1">IF(AND(DG125&lt;&gt;0,DJ157=0),0,IF(SUMIF($F$50:$O$50,$K$50,$F$62:$O$62)=0,0,SUMIF(DH86:DH124,$K$50,DG86:DG124)*$K$62/(SUMIF($F$50:$O$50,$K$50,$F$62:$O$62))))</f>
        <v>0</v>
      </c>
      <c r="DO134" s="664"/>
    </row>
    <row r="135" spans="2:119" hidden="1" x14ac:dyDescent="0.25">
      <c r="B135" s="665" t="str">
        <f>L$6</f>
        <v>-</v>
      </c>
      <c r="C135" s="662">
        <f ca="1">IF(AND(C125&lt;&gt;0,F158=0),0,IF(SUMIF($F$50:$O$50,$L$50,$F$62:$O$62)=0,0,SUMIF(D86:D124,$L$50,C86:C124)*$L$62/(SUMIF($F$50:$O$50,$L$50,$F$62:$O$62))))</f>
        <v>0</v>
      </c>
      <c r="K135" s="664"/>
      <c r="N135" s="665" t="str">
        <f t="shared" si="26"/>
        <v>-</v>
      </c>
      <c r="O135" s="662">
        <f ca="1">IF(AND(O125&lt;&gt;0,R158=0),0,IF(SUMIF($F$50:$O$50,$L$50,$F$62:$O$62)=0,0,SUMIF(P86:P124,$L$50,O86:O124)*$L$62/(SUMIF($F$50:$O$50,$L$50,$F$62:$O$62))))</f>
        <v>0</v>
      </c>
      <c r="U135" s="663"/>
      <c r="W135" s="664"/>
      <c r="Z135" s="665" t="str">
        <f t="shared" si="27"/>
        <v>-</v>
      </c>
      <c r="AA135" s="662">
        <f ca="1">IF(AND(AA125&lt;&gt;0,AD158=0),0,IF(SUMIF($F$50:$O$50,$L$50,$F$62:$O$62)=0,0,SUMIF(AB86:AB124,$L$50,AA86:AA124)*$L$62/(SUMIF($F$50:$O$50,$L$50,$F$62:$O$62))))</f>
        <v>0</v>
      </c>
      <c r="AB135" s="663"/>
      <c r="AC135" s="663"/>
      <c r="AD135" s="663"/>
      <c r="AE135" s="663"/>
      <c r="AF135" s="663"/>
      <c r="AG135" s="663"/>
      <c r="AH135" s="663"/>
      <c r="AI135" s="664"/>
      <c r="AL135" s="665" t="str">
        <f t="shared" si="28"/>
        <v>-</v>
      </c>
      <c r="AM135" s="662">
        <f ca="1">IF(AND(AM125&lt;&gt;0,AP158=0),0,IF(SUMIF($F$50:$O$50,$L$50,$F$62:$O$62)=0,0,SUMIF(AN86:AN124,$L$50,AM86:AM124)*$L$62/(SUMIF($F$50:$O$50,$L$50,$F$62:$O$62))))</f>
        <v>0</v>
      </c>
      <c r="AN135" s="663"/>
      <c r="AU135" s="664"/>
      <c r="AX135" s="665" t="str">
        <f t="shared" si="29"/>
        <v>-</v>
      </c>
      <c r="AY135" s="662">
        <f ca="1">IF(AND(AY125&lt;&gt;0,BB158=0),0,IF(SUMIF($F$50:$O$50,$L$50,$F$62:$O$62)=0,0,SUMIF(AZ86:AZ124,$L$50,AY86:AY124)*$L$62/(SUMIF($F$50:$O$50,$L$50,$F$62:$O$62))))</f>
        <v>0</v>
      </c>
      <c r="BG135" s="664"/>
      <c r="BJ135" s="665" t="str">
        <f t="shared" si="30"/>
        <v>-</v>
      </c>
      <c r="BK135" s="662">
        <f ca="1">IF(AND(BK125&lt;&gt;0,BN158=0),0,IF(SUMIF($F$50:$O$50,$L$50,$F$62:$O$62)=0,0,SUMIF(BL86:BL124,$L$50,BK86:BK124)*$L$62/(SUMIF($F$50:$O$50,$L$50,$F$62:$O$62))))</f>
        <v>0</v>
      </c>
      <c r="BS135" s="664"/>
      <c r="BV135" s="665" t="str">
        <f t="shared" si="31"/>
        <v>-</v>
      </c>
      <c r="BW135" s="662">
        <f ca="1">IF(AND(BW125&lt;&gt;0,BZ158=0),0,IF(SUMIF($F$50:$O$50,$L$50,$F$62:$O$62)=0,0,SUMIF(BX86:BX124,$L$50,BW86:BW124)*$L$62/(SUMIF($F$50:$O$50,$L$50,$F$62:$O$62))))</f>
        <v>0</v>
      </c>
      <c r="CE135" s="664"/>
      <c r="CH135" s="665" t="str">
        <f t="shared" si="32"/>
        <v>-</v>
      </c>
      <c r="CI135" s="662">
        <f ca="1">IF(AND(CI125&lt;&gt;0,CL158=0),0,IF(SUMIF($F$50:$O$50,$L$50,$F$62:$O$62)=0,0,SUMIF(CJ86:CJ124,$L$50,CI86:CI124)*$L$62/(SUMIF($F$50:$O$50,$L$50,$F$62:$O$62))))</f>
        <v>0</v>
      </c>
      <c r="CQ135" s="664"/>
      <c r="CT135" s="665" t="str">
        <f t="shared" si="33"/>
        <v>-</v>
      </c>
      <c r="CU135" s="662">
        <f ca="1">IF(AND(CU125&lt;&gt;0,CX158=0),0,IF(SUMIF($F$50:$O$50,$L$50,$F$62:$O$62)=0,0,SUMIF(CV86:CV124,$L$50,CU86:CU124)*$L$62/(SUMIF($F$50:$O$50,$L$50,$F$62:$O$62))))</f>
        <v>0</v>
      </c>
      <c r="DC135" s="664"/>
      <c r="DF135" s="665" t="str">
        <f t="shared" si="34"/>
        <v>-</v>
      </c>
      <c r="DG135" s="662">
        <f ca="1">IF(AND(DG125&lt;&gt;0,DJ158=0),0,IF(SUMIF($F$50:$O$50,$L$50,$F$62:$O$62)=0,0,SUMIF(DH86:DH124,$L$50,DG86:DG124)*$L$62/(SUMIF($F$50:$O$50,$L$50,$F$62:$O$62))))</f>
        <v>0</v>
      </c>
      <c r="DO135" s="664"/>
    </row>
    <row r="136" spans="2:119" hidden="1" x14ac:dyDescent="0.25">
      <c r="B136" s="665" t="str">
        <f>M$6</f>
        <v>-</v>
      </c>
      <c r="C136" s="662">
        <f ca="1">IF(AND(C125&lt;&gt;0,F159=0),0,IF(SUMIF($F$50:$O$50,$M$50,$F$62:$O$62)=0,0,SUMIF(D86:D124,$M$50,C86:C124)*$M$62/(SUMIF($F$50:$O$50,$M$50,$F$62:$O$62))))</f>
        <v>0</v>
      </c>
      <c r="K136" s="664"/>
      <c r="N136" s="665" t="str">
        <f t="shared" si="26"/>
        <v>-</v>
      </c>
      <c r="O136" s="662">
        <f ca="1">IF(AND(O125&lt;&gt;0,R159=0),0,IF(SUMIF($F$50:$O$50,$M$50,$F$62:$O$62)=0,0,SUMIF(P86:P124,$M$50,O86:O124)*$M$62/(SUMIF($F$50:$O$50,$M$50,$F$62:$O$62))))</f>
        <v>0</v>
      </c>
      <c r="U136" s="663"/>
      <c r="W136" s="664"/>
      <c r="Z136" s="665" t="str">
        <f t="shared" si="27"/>
        <v>-</v>
      </c>
      <c r="AA136" s="662">
        <f ca="1">IF(AND(AA125&lt;&gt;0,AD159=0),0,IF(SUMIF($F$50:$O$50,$M$50,$F$62:$O$62)=0,0,SUMIF(AB86:AB124,$M$50,AA86:AA124)*$M$62/(SUMIF($F$50:$O$50,$M$50,$F$62:$O$62))))</f>
        <v>0</v>
      </c>
      <c r="AB136" s="663"/>
      <c r="AC136" s="663"/>
      <c r="AD136" s="663"/>
      <c r="AE136" s="663"/>
      <c r="AF136" s="663"/>
      <c r="AG136" s="663"/>
      <c r="AH136" s="663"/>
      <c r="AI136" s="664"/>
      <c r="AL136" s="665" t="str">
        <f t="shared" si="28"/>
        <v>-</v>
      </c>
      <c r="AM136" s="662">
        <f ca="1">IF(AND(AM125&lt;&gt;0,AP159=0),0,IF(SUMIF($F$50:$O$50,$M$50,$F$62:$O$62)=0,0,SUMIF(AN86:AN124,$M$50,AM86:AM124)*$M$62/(SUMIF($F$50:$O$50,$M$50,$F$62:$O$62))))</f>
        <v>0</v>
      </c>
      <c r="AN136" s="663"/>
      <c r="AU136" s="664"/>
      <c r="AX136" s="665" t="str">
        <f t="shared" si="29"/>
        <v>-</v>
      </c>
      <c r="AY136" s="662">
        <f ca="1">IF(AND(AY125&lt;&gt;0,BB159=0),0,IF(SUMIF($F$50:$O$50,$M$50,$F$62:$O$62)=0,0,SUMIF(AZ86:AZ124,$M$50,AY86:AY124)*$M$62/(SUMIF($F$50:$O$50,$M$50,$F$62:$O$62))))</f>
        <v>0</v>
      </c>
      <c r="BG136" s="664"/>
      <c r="BJ136" s="665" t="str">
        <f t="shared" si="30"/>
        <v>-</v>
      </c>
      <c r="BK136" s="662">
        <f ca="1">IF(AND(BK125&lt;&gt;0,BN159=0),0,IF(SUMIF($F$50:$O$50,$M$50,$F$62:$O$62)=0,0,SUMIF(BL86:BL124,$M$50,BK86:BK124)*$M$62/(SUMIF($F$50:$O$50,$M$50,$F$62:$O$62))))</f>
        <v>0</v>
      </c>
      <c r="BS136" s="664"/>
      <c r="BV136" s="665" t="str">
        <f t="shared" si="31"/>
        <v>-</v>
      </c>
      <c r="BW136" s="662">
        <f ca="1">IF(AND(BW125&lt;&gt;0,BZ159=0),0,IF(SUMIF($F$50:$O$50,$M$50,$F$62:$O$62)=0,0,SUMIF(BX86:BX124,$M$50,BW86:BW124)*$M$62/(SUMIF($F$50:$O$50,$M$50,$F$62:$O$62))))</f>
        <v>0</v>
      </c>
      <c r="CE136" s="664"/>
      <c r="CH136" s="665" t="str">
        <f t="shared" si="32"/>
        <v>-</v>
      </c>
      <c r="CI136" s="662">
        <f ca="1">IF(AND(CI125&lt;&gt;0,CL159=0),0,IF(SUMIF($F$50:$O$50,$M$50,$F$62:$O$62)=0,0,SUMIF(CJ86:CJ124,$M$50,CI86:CI124)*$M$62/(SUMIF($F$50:$O$50,$M$50,$F$62:$O$62))))</f>
        <v>0</v>
      </c>
      <c r="CQ136" s="664"/>
      <c r="CT136" s="665" t="str">
        <f t="shared" si="33"/>
        <v>-</v>
      </c>
      <c r="CU136" s="662">
        <f ca="1">IF(AND(CU125&lt;&gt;0,CX159=0),0,IF(SUMIF($F$50:$O$50,$M$50,$F$62:$O$62)=0,0,SUMIF(CV86:CV124,$M$50,CU86:CU124)*$M$62/(SUMIF($F$50:$O$50,$M$50,$F$62:$O$62))))</f>
        <v>0</v>
      </c>
      <c r="DC136" s="664"/>
      <c r="DF136" s="665" t="str">
        <f t="shared" si="34"/>
        <v>-</v>
      </c>
      <c r="DG136" s="662">
        <f ca="1">IF(AND(DG125&lt;&gt;0,DJ159=0),0,IF(SUMIF($F$50:$O$50,$M$50,$F$62:$O$62)=0,0,SUMIF(DH86:DH124,$M$50,DG86:DG124)*$M$62/(SUMIF($F$50:$O$50,$M$50,$F$62:$O$62))))</f>
        <v>0</v>
      </c>
      <c r="DO136" s="664"/>
    </row>
    <row r="137" spans="2:119" hidden="1" x14ac:dyDescent="0.25">
      <c r="B137" s="665" t="str">
        <f>N$6</f>
        <v>-</v>
      </c>
      <c r="C137" s="662">
        <f ca="1">IF(AND(C125&lt;&gt;0,F160=0),0,IF(SUMIF($F$50:$O$50,$N$50,$F$62:$O$62)=0,0,SUMIF(D86:D124,$N$50,C86:C124)*$N$62/(SUMIF($F$50:$O$50,$N$50,$F$62:$O$62))))</f>
        <v>0</v>
      </c>
      <c r="K137" s="664"/>
      <c r="N137" s="665" t="str">
        <f t="shared" si="26"/>
        <v>-</v>
      </c>
      <c r="O137" s="662">
        <f ca="1">IF(AND(O125&lt;&gt;0,R160=0),0,IF(SUMIF($F$50:$O$50,$N$50,$F$62:$O$62)=0,0,SUMIF(P86:P124,$N$50,O86:O124)*$N$62/(SUMIF($F$50:$O$50,$N$50,$F$62:$O$62))))</f>
        <v>0</v>
      </c>
      <c r="U137" s="663"/>
      <c r="W137" s="664"/>
      <c r="Z137" s="665" t="str">
        <f t="shared" si="27"/>
        <v>-</v>
      </c>
      <c r="AA137" s="662">
        <f ca="1">IF(AND(AA125&lt;&gt;0,AD160=0),0,IF(SUMIF($F$50:$O$50,$N$50,$F$62:$O$62)=0,0,SUMIF(AB86:AB124,$N$50,AA86:AA124)*$N$62/(SUMIF($F$50:$O$50,$N$50,$F$62:$O$62))))</f>
        <v>0</v>
      </c>
      <c r="AB137" s="663"/>
      <c r="AC137" s="663"/>
      <c r="AD137" s="663"/>
      <c r="AE137" s="663"/>
      <c r="AF137" s="663"/>
      <c r="AG137" s="663"/>
      <c r="AH137" s="663"/>
      <c r="AI137" s="664"/>
      <c r="AL137" s="665" t="str">
        <f t="shared" si="28"/>
        <v>-</v>
      </c>
      <c r="AM137" s="662">
        <f ca="1">IF(AND(AM125&lt;&gt;0,AP160=0),0,IF(SUMIF($F$50:$O$50,$N$50,$F$62:$O$62)=0,0,SUMIF(AN86:AN124,$N$50,AM86:AM124)*$N$62/(SUMIF($F$50:$O$50,$N$50,$F$62:$O$62))))</f>
        <v>0</v>
      </c>
      <c r="AN137" s="663"/>
      <c r="AU137" s="664"/>
      <c r="AX137" s="665" t="str">
        <f t="shared" si="29"/>
        <v>-</v>
      </c>
      <c r="AY137" s="662">
        <f ca="1">IF(AND(AY125&lt;&gt;0,BB160=0),0,IF(SUMIF($F$50:$O$50,$N$50,$F$62:$O$62)=0,0,SUMIF(AZ86:AZ124,$N$50,AY86:AY124)*$N$62/(SUMIF($F$50:$O$50,$N$50,$F$62:$O$62))))</f>
        <v>0</v>
      </c>
      <c r="BG137" s="664"/>
      <c r="BJ137" s="665" t="str">
        <f t="shared" si="30"/>
        <v>-</v>
      </c>
      <c r="BK137" s="662">
        <f ca="1">IF(AND(BK125&lt;&gt;0,BN160=0),0,IF(SUMIF($F$50:$O$50,$N$50,$F$62:$O$62)=0,0,SUMIF(BL86:BL124,$N$50,BK86:BK124)*$N$62/(SUMIF($F$50:$O$50,$N$50,$F$62:$O$62))))</f>
        <v>0</v>
      </c>
      <c r="BS137" s="664"/>
      <c r="BV137" s="665" t="str">
        <f t="shared" si="31"/>
        <v>-</v>
      </c>
      <c r="BW137" s="662">
        <f ca="1">IF(AND(BW125&lt;&gt;0,BZ160=0),0,IF(SUMIF($F$50:$O$50,$N$50,$F$62:$O$62)=0,0,SUMIF(BX86:BX124,$N$50,BW86:BW124)*$N$62/(SUMIF($F$50:$O$50,$N$50,$F$62:$O$62))))</f>
        <v>0</v>
      </c>
      <c r="CE137" s="664"/>
      <c r="CH137" s="665" t="str">
        <f t="shared" si="32"/>
        <v>-</v>
      </c>
      <c r="CI137" s="662">
        <f ca="1">IF(AND(CI125&lt;&gt;0,CL160=0),0,IF(SUMIF($F$50:$O$50,$N$50,$F$62:$O$62)=0,0,SUMIF(CJ86:CJ124,$N$50,CI86:CI124)*$N$62/(SUMIF($F$50:$O$50,$N$50,$F$62:$O$62))))</f>
        <v>0</v>
      </c>
      <c r="CQ137" s="664"/>
      <c r="CT137" s="665" t="str">
        <f t="shared" si="33"/>
        <v>-</v>
      </c>
      <c r="CU137" s="662">
        <f ca="1">IF(AND(CU125&lt;&gt;0,CX160=0),0,IF(SUMIF($F$50:$O$50,$N$50,$F$62:$O$62)=0,0,SUMIF(CV86:CV124,$N$50,CU86:CU124)*$N$62/(SUMIF($F$50:$O$50,$N$50,$F$62:$O$62))))</f>
        <v>0</v>
      </c>
      <c r="DC137" s="664"/>
      <c r="DF137" s="665" t="str">
        <f t="shared" si="34"/>
        <v>-</v>
      </c>
      <c r="DG137" s="662">
        <f ca="1">IF(AND(DG125&lt;&gt;0,DJ160=0),0,IF(SUMIF($F$50:$O$50,$N$50,$F$62:$O$62)=0,0,SUMIF(DH86:DH124,$N$50,DG86:DG124)*$N$62/(SUMIF($F$50:$O$50,$N$50,$F$62:$O$62))))</f>
        <v>0</v>
      </c>
      <c r="DO137" s="664"/>
    </row>
    <row r="138" spans="2:119" hidden="1" x14ac:dyDescent="0.25">
      <c r="B138" s="665" t="str">
        <f>O$6</f>
        <v>-</v>
      </c>
      <c r="C138" s="662">
        <f ca="1">IF(AND(C125&lt;&gt;0,F161=0),0,IF(SUMIF($F$50:$O$50,$O$50,$F$62:$O$62)=0,0,SUMIF(D86:D124,$O$50,C86:C124)*$O$62/(SUMIF($F$50:$O$50,$O$50,$F$62:$O$62))))</f>
        <v>0</v>
      </c>
      <c r="K138" s="664"/>
      <c r="N138" s="665" t="str">
        <f t="shared" si="26"/>
        <v>-</v>
      </c>
      <c r="O138" s="662">
        <f ca="1">IF(AND(O125&lt;&gt;0,R161=0),0,IF(SUMIF($F$50:$O$50,$O$50,$F$62:$O$62)=0,0,SUMIF(P86:P124,$O$50,O86:O124)*$O$62/(SUMIF($F$50:$O$50,$O$50,$F$62:$O$62))))</f>
        <v>0</v>
      </c>
      <c r="U138" s="663"/>
      <c r="W138" s="664"/>
      <c r="Z138" s="665" t="str">
        <f t="shared" si="27"/>
        <v>-</v>
      </c>
      <c r="AA138" s="662">
        <f ca="1">IF(AND(AA125&lt;&gt;0,AD161=0),0,IF(SUMIF($F$50:$O$50,$O$50,$F$62:$O$62)=0,0,SUMIF(AB86:AB124,$O$50,AA86:AA124)*$O$62/(SUMIF($F$50:$O$50,$O$50,$F$62:$O$62))))</f>
        <v>0</v>
      </c>
      <c r="AB138" s="663"/>
      <c r="AC138" s="663"/>
      <c r="AD138" s="663"/>
      <c r="AE138" s="663"/>
      <c r="AF138" s="663"/>
      <c r="AG138" s="663"/>
      <c r="AH138" s="663"/>
      <c r="AI138" s="664"/>
      <c r="AL138" s="665" t="str">
        <f t="shared" si="28"/>
        <v>-</v>
      </c>
      <c r="AM138" s="662">
        <f ca="1">IF(AND(AM125&lt;&gt;0,AP161=0),0,IF(SUMIF($F$50:$O$50,$O$50,$F$62:$O$62)=0,0,SUMIF(AN86:AN124,$O$50,AM86:AM124)*$O$62/(SUMIF($F$50:$O$50,$O$50,$F$62:$O$62))))</f>
        <v>0</v>
      </c>
      <c r="AN138" s="663"/>
      <c r="AU138" s="664"/>
      <c r="AX138" s="665" t="str">
        <f t="shared" si="29"/>
        <v>-</v>
      </c>
      <c r="AY138" s="662">
        <f ca="1">IF(AND(AY125&lt;&gt;0,BB161=0),0,IF(SUMIF($F$50:$O$50,$O$50,$F$62:$O$62)=0,0,SUMIF(AZ86:AZ124,$O$50,AY86:AY124)*$O$62/(SUMIF($F$50:$O$50,$O$50,$F$62:$O$62))))</f>
        <v>0</v>
      </c>
      <c r="BG138" s="664"/>
      <c r="BJ138" s="665" t="str">
        <f t="shared" si="30"/>
        <v>-</v>
      </c>
      <c r="BK138" s="662">
        <f ca="1">IF(AND(BK125&lt;&gt;0,BN161=0),0,IF(SUMIF($F$50:$O$50,$O$50,$F$62:$O$62)=0,0,SUMIF(BL86:BL124,$O$50,BK86:BK124)*$O$62/(SUMIF($F$50:$O$50,$O$50,$F$62:$O$62))))</f>
        <v>0</v>
      </c>
      <c r="BS138" s="664"/>
      <c r="BV138" s="665" t="str">
        <f t="shared" si="31"/>
        <v>-</v>
      </c>
      <c r="BW138" s="662">
        <f ca="1">IF(AND(BW125&lt;&gt;0,BZ161=0),0,IF(SUMIF($F$50:$O$50,$O$50,$F$62:$O$62)=0,0,SUMIF(BX86:BX124,$O$50,BW86:BW124)*$O$62/(SUMIF($F$50:$O$50,$O$50,$F$62:$O$62))))</f>
        <v>0</v>
      </c>
      <c r="CE138" s="664"/>
      <c r="CH138" s="665" t="str">
        <f t="shared" si="32"/>
        <v>-</v>
      </c>
      <c r="CI138" s="662">
        <f ca="1">IF(AND(CI125&lt;&gt;0,CL161=0),0,IF(SUMIF($F$50:$O$50,$O$50,$F$62:$O$62)=0,0,SUMIF(CJ86:CJ124,$O$50,CI86:CI124)*$O$62/(SUMIF($F$50:$O$50,$O$50,$F$62:$O$62))))</f>
        <v>0</v>
      </c>
      <c r="CQ138" s="664"/>
      <c r="CT138" s="665" t="str">
        <f t="shared" si="33"/>
        <v>-</v>
      </c>
      <c r="CU138" s="662">
        <f ca="1">IF(AND(CU125&lt;&gt;0,CX161=0),0,IF(SUMIF($F$50:$O$50,$O$50,$F$62:$O$62)=0,0,SUMIF(CV86:CV124,$O$50,CU86:CU124)*$O$62/(SUMIF($F$50:$O$50,$O$50,$F$62:$O$62))))</f>
        <v>0</v>
      </c>
      <c r="DC138" s="664"/>
      <c r="DF138" s="665" t="str">
        <f t="shared" si="34"/>
        <v>-</v>
      </c>
      <c r="DG138" s="662">
        <f ca="1">IF(AND(DG125&lt;&gt;0,DJ161=0),0,IF(SUMIF($F$50:$O$50,$O$50,$F$62:$O$62)=0,0,SUMIF(DH86:DH124,$O$50,DG86:DG124)*$O$62/(SUMIF($F$50:$O$50,$O$50,$F$62:$O$62))))</f>
        <v>0</v>
      </c>
      <c r="DO138" s="664"/>
    </row>
    <row r="139" spans="2:119" hidden="1" x14ac:dyDescent="0.25">
      <c r="B139" s="665" t="str">
        <f>CONCATENATE("Warrants ",B129)</f>
        <v>Warrants Series A</v>
      </c>
      <c r="C139" s="662">
        <f ca="1">IF(AND(C125&lt;&gt;0,F162=0),0,IF(SUMIF($F$50:$O$50,$F$50,$F$63:$O$63)=0,0,SUMIF(E86:E124,$F$50,C86:C124)*$F$63/(SUMIF($F$50:$O$50,$F$50,$F$63:$O$63))))</f>
        <v>0</v>
      </c>
      <c r="K139" s="664"/>
      <c r="N139" s="665" t="str">
        <f t="shared" si="26"/>
        <v>Warrants Series A</v>
      </c>
      <c r="O139" s="662">
        <f ca="1">IF(AND(O125&lt;&gt;0,R162=0),0,IF(SUMIF($F$50:$O$50,$F$50,$F$63:$O$63)=0,0,SUMIF(Q86:Q124,$F$50,O86:O124)*$F$63/(SUMIF($F$50:$O$50,$F$50,$F$63:$O$63))))</f>
        <v>0</v>
      </c>
      <c r="U139" s="663"/>
      <c r="W139" s="664"/>
      <c r="Z139" s="665" t="str">
        <f t="shared" si="27"/>
        <v>Warrants Series A</v>
      </c>
      <c r="AA139" s="662">
        <f ca="1">IF(AND(AA125&lt;&gt;0,AD162=0),0,IF(SUMIF($F$50:$O$50,$F$50,$F$63:$O$63)=0,0,SUMIF(AC86:AC124,$F$50,AA86:AA124)*$F$63/(SUMIF($F$50:$O$50,$F$50,$F$63:$O$63))))</f>
        <v>0</v>
      </c>
      <c r="AB139" s="663"/>
      <c r="AC139" s="663"/>
      <c r="AD139" s="663"/>
      <c r="AE139" s="663"/>
      <c r="AF139" s="663"/>
      <c r="AG139" s="663"/>
      <c r="AH139" s="663"/>
      <c r="AI139" s="664"/>
      <c r="AL139" s="665" t="str">
        <f t="shared" si="28"/>
        <v>Warrants Series A</v>
      </c>
      <c r="AM139" s="662">
        <f ca="1">IF(AND(AM125&lt;&gt;0,AP162=0),0,IF(SUMIF($F$50:$O$50,$F$50,$F$63:$O$63)=0,0,SUMIF(AO86:AO124,$F$50,AM86:AM124)*$F$63/(SUMIF($F$50:$O$50,$F$50,$F$63:$O$63))))</f>
        <v>0</v>
      </c>
      <c r="AN139" s="663"/>
      <c r="AU139" s="664"/>
      <c r="AX139" s="665" t="str">
        <f t="shared" si="29"/>
        <v>Warrants Series A</v>
      </c>
      <c r="AY139" s="662">
        <f ca="1">IF(AND(AY125&lt;&gt;0,BB162=0),0,IF(SUMIF($F$50:$O$50,$F$50,$F$63:$O$63)=0,0,SUMIF(BA86:BA124,$F$50,AY86:AY124)*$F$63/(SUMIF($F$50:$O$50,$F$50,$F$63:$O$63))))</f>
        <v>0</v>
      </c>
      <c r="BG139" s="664"/>
      <c r="BJ139" s="665" t="str">
        <f t="shared" si="30"/>
        <v>Warrants Series A</v>
      </c>
      <c r="BK139" s="662">
        <f ca="1">IF(AND(BK125&lt;&gt;0,BN162=0),0,IF(SUMIF($F$50:$O$50,$F$50,$F$63:$O$63)=0,0,SUMIF(BM86:BM124,$F$50,BK86:BK124)*$F$63/(SUMIF($F$50:$O$50,$F$50,$F$63:$O$63))))</f>
        <v>0</v>
      </c>
      <c r="BS139" s="664"/>
      <c r="BV139" s="665" t="str">
        <f t="shared" si="31"/>
        <v>Warrants Series A</v>
      </c>
      <c r="BW139" s="662">
        <f ca="1">IF(AND(BW125&lt;&gt;0,BZ162=0),0,IF(SUMIF($F$50:$O$50,$F$50,$F$63:$O$63)=0,0,SUMIF(BY86:BY124,$F$50,BW86:BW124)*$F$63/(SUMIF($F$50:$O$50,$F$50,$F$63:$O$63))))</f>
        <v>0</v>
      </c>
      <c r="CE139" s="664"/>
      <c r="CH139" s="665" t="str">
        <f t="shared" si="32"/>
        <v>Warrants Series A</v>
      </c>
      <c r="CI139" s="662">
        <f ca="1">IF(AND(CI125&lt;&gt;0,CL162=0),0,IF(SUMIF($F$50:$O$50,$F$50,$F$63:$O$63)=0,0,SUMIF(CK86:CK124,$F$50,CI86:CI124)*$F$63/(SUMIF($F$50:$O$50,$F$50,$F$63:$O$63))))</f>
        <v>0</v>
      </c>
      <c r="CQ139" s="664"/>
      <c r="CT139" s="665" t="str">
        <f t="shared" si="33"/>
        <v>Warrants Series A</v>
      </c>
      <c r="CU139" s="662">
        <f ca="1">IF(AND(CU125&lt;&gt;0,CX162=0),0,IF(SUMIF($F$50:$O$50,$F$50,$F$63:$O$63)=0,0,SUMIF(CW86:CW124,$F$50,CU86:CU124)*$F$63/(SUMIF($F$50:$O$50,$F$50,$F$63:$O$63))))</f>
        <v>0</v>
      </c>
      <c r="DC139" s="664"/>
      <c r="DF139" s="665" t="str">
        <f t="shared" si="34"/>
        <v>Warrants Series A</v>
      </c>
      <c r="DG139" s="662">
        <f ca="1">IF(AND(DG125&lt;&gt;0,DJ162=0),0,IF(SUMIF($F$50:$O$50,$F$50,$F$63:$O$63)=0,0,SUMIF(DI86:DI124,$F$50,DG86:DG124)*$F$63/(SUMIF($F$50:$O$50,$F$50,$F$63:$O$63))))</f>
        <v>0</v>
      </c>
      <c r="DO139" s="664"/>
    </row>
    <row r="140" spans="2:119" hidden="1" x14ac:dyDescent="0.25">
      <c r="B140" s="665" t="str">
        <f t="shared" ref="B140:B148" si="35">CONCATENATE("Warrants ",B130)</f>
        <v>Warrants Series B</v>
      </c>
      <c r="C140" s="662">
        <f ca="1">IF(AND(C125&lt;&gt;0,F163=0),0,IF(SUMIF($F$50:$O$50,$G$50,$F$63:$O$63)=0,0,SUMIF(E86:E124,$G$50,C86:C124)*$G$63/(SUMIF($F$50:$O$50,$G$50,$F$63:$O$63))))</f>
        <v>0</v>
      </c>
      <c r="K140" s="664"/>
      <c r="N140" s="665" t="str">
        <f t="shared" si="26"/>
        <v>Warrants Series B</v>
      </c>
      <c r="O140" s="662">
        <f ca="1">IF(AND(O125&lt;&gt;0,R163=0),0,IF(SUMIF($F$50:$O$50,$G$50,$F$63:$O$63)=0,0,SUMIF(Q86:Q124,$G$50,O86:O124)*$G$63/(SUMIF($F$50:$O$50,$G$50,$F$63:$O$63))))</f>
        <v>0</v>
      </c>
      <c r="U140" s="663"/>
      <c r="W140" s="664"/>
      <c r="Z140" s="665" t="str">
        <f t="shared" si="27"/>
        <v>Warrants Series B</v>
      </c>
      <c r="AA140" s="662">
        <f ca="1">IF(AND(AA125&lt;&gt;0,AD163=0),0,IF(SUMIF($F$50:$O$50,$G$50,$F$63:$O$63)=0,0,SUMIF(AC86:AC124,$G$50,AA86:AA124)*$G$63/(SUMIF($F$50:$O$50,$G$50,$F$63:$O$63))))</f>
        <v>0</v>
      </c>
      <c r="AB140" s="663"/>
      <c r="AC140" s="663"/>
      <c r="AD140" s="663"/>
      <c r="AE140" s="663"/>
      <c r="AF140" s="663"/>
      <c r="AG140" s="663"/>
      <c r="AH140" s="663"/>
      <c r="AI140" s="664"/>
      <c r="AL140" s="665" t="str">
        <f t="shared" si="28"/>
        <v>Warrants Series B</v>
      </c>
      <c r="AM140" s="662">
        <f ca="1">IF(AND(AM125&lt;&gt;0,AP163=0),0,IF(SUMIF($F$50:$O$50,$G$50,$F$63:$O$63)=0,0,SUMIF(AO86:AO124,$G$50,AM86:AM124)*$G$63/(SUMIF($F$50:$O$50,$G$50,$F$63:$O$63))))</f>
        <v>0</v>
      </c>
      <c r="AN140" s="663"/>
      <c r="AU140" s="664"/>
      <c r="AX140" s="665" t="str">
        <f t="shared" si="29"/>
        <v>Warrants Series B</v>
      </c>
      <c r="AY140" s="662">
        <f ca="1">IF(AND(AY125&lt;&gt;0,BB163=0),0,IF(SUMIF($F$50:$O$50,$G$50,$F$63:$O$63)=0,0,SUMIF(BA86:BA124,$G$50,AY86:AY124)*$G$63/(SUMIF($F$50:$O$50,$G$50,$F$63:$O$63))))</f>
        <v>0</v>
      </c>
      <c r="BG140" s="664"/>
      <c r="BJ140" s="665" t="str">
        <f t="shared" si="30"/>
        <v>Warrants Series B</v>
      </c>
      <c r="BK140" s="662">
        <f ca="1">IF(AND(BK125&lt;&gt;0,BN163=0),0,IF(SUMIF($F$50:$O$50,$G$50,$F$63:$O$63)=0,0,SUMIF(BM86:BM124,$G$50,BK86:BK124)*$G$63/(SUMIF($F$50:$O$50,$G$50,$F$63:$O$63))))</f>
        <v>0</v>
      </c>
      <c r="BS140" s="664"/>
      <c r="BV140" s="665" t="str">
        <f t="shared" si="31"/>
        <v>Warrants Series B</v>
      </c>
      <c r="BW140" s="662">
        <f ca="1">IF(AND(BW125&lt;&gt;0,BZ163=0),0,IF(SUMIF($F$50:$O$50,$G$50,$F$63:$O$63)=0,0,SUMIF(BY86:BY124,$G$50,BW86:BW124)*$G$63/(SUMIF($F$50:$O$50,$G$50,$F$63:$O$63))))</f>
        <v>0</v>
      </c>
      <c r="CE140" s="664"/>
      <c r="CH140" s="665" t="str">
        <f t="shared" si="32"/>
        <v>Warrants Series B</v>
      </c>
      <c r="CI140" s="662">
        <f ca="1">IF(AND(CI125&lt;&gt;0,CL163=0),0,IF(SUMIF($F$50:$O$50,$G$50,$F$63:$O$63)=0,0,SUMIF(CK86:CK124,$G$50,CI86:CI124)*$G$63/(SUMIF($F$50:$O$50,$G$50,$F$63:$O$63))))</f>
        <v>0</v>
      </c>
      <c r="CQ140" s="664"/>
      <c r="CT140" s="665" t="str">
        <f t="shared" si="33"/>
        <v>Warrants Series B</v>
      </c>
      <c r="CU140" s="662">
        <f ca="1">IF(AND(CU125&lt;&gt;0,CX163=0),0,IF(SUMIF($F$50:$O$50,$G$50,$F$63:$O$63)=0,0,SUMIF(CW86:CW124,$G$50,CU86:CU124)*$G$63/(SUMIF($F$50:$O$50,$G$50,$F$63:$O$63))))</f>
        <v>0</v>
      </c>
      <c r="DC140" s="664"/>
      <c r="DF140" s="665" t="str">
        <f t="shared" si="34"/>
        <v>Warrants Series B</v>
      </c>
      <c r="DG140" s="662">
        <f ca="1">IF(AND(DG125&lt;&gt;0,DJ163=0),0,IF(SUMIF($F$50:$O$50,$G$50,$F$63:$O$63)=0,0,SUMIF(DI86:DI124,$G$50,DG86:DG124)*$G$63/(SUMIF($F$50:$O$50,$G$50,$F$63:$O$63))))</f>
        <v>0</v>
      </c>
      <c r="DO140" s="664"/>
    </row>
    <row r="141" spans="2:119" hidden="1" x14ac:dyDescent="0.25">
      <c r="B141" s="665" t="str">
        <f t="shared" si="35"/>
        <v>Warrants Series C</v>
      </c>
      <c r="C141" s="662">
        <f ca="1">IF(AND(C125&lt;&gt;0,F164=0),0,IF(SUMIF($F$50:$O$50,$H$50,$F$63:$O$63)=0,0,SUMIF(E86:E124,$H$50,C86:C124)*$H$63/(SUMIF($F$50:$O$50,$H$50,$F$63:$O$63))))</f>
        <v>0</v>
      </c>
      <c r="K141" s="664"/>
      <c r="N141" s="665" t="str">
        <f t="shared" si="26"/>
        <v>Warrants Series C</v>
      </c>
      <c r="O141" s="662">
        <f ca="1">IF(AND(O125&lt;&gt;0,R164=0),0,IF(SUMIF($F$50:$O$50,$H$50,$F$63:$O$63)=0,0,SUMIF(Q86:Q124,$H$50,O86:O124)*$H$63/(SUMIF($F$50:$O$50,$H$50,$F$63:$O$63))))</f>
        <v>0</v>
      </c>
      <c r="U141" s="663"/>
      <c r="W141" s="664"/>
      <c r="Z141" s="665" t="str">
        <f t="shared" si="27"/>
        <v>Warrants Series C</v>
      </c>
      <c r="AA141" s="662">
        <f ca="1">IF(AND(AA125&lt;&gt;0,AD164=0),0,IF(SUMIF($F$50:$O$50,$H$50,$F$63:$O$63)=0,0,SUMIF(AC86:AC124,$H$50,AA86:AA124)*$H$63/(SUMIF($F$50:$O$50,$H$50,$F$63:$O$63))))</f>
        <v>0</v>
      </c>
      <c r="AB141" s="663"/>
      <c r="AC141" s="663"/>
      <c r="AD141" s="663"/>
      <c r="AE141" s="663"/>
      <c r="AF141" s="663"/>
      <c r="AG141" s="663"/>
      <c r="AH141" s="663"/>
      <c r="AI141" s="664"/>
      <c r="AL141" s="665" t="str">
        <f t="shared" si="28"/>
        <v>Warrants Series C</v>
      </c>
      <c r="AM141" s="662">
        <f ca="1">IF(AND(AM125&lt;&gt;0,AP164=0),0,IF(SUMIF($F$50:$O$50,$H$50,$F$63:$O$63)=0,0,SUMIF(AO86:AO124,$H$50,AM86:AM124)*$H$63/(SUMIF($F$50:$O$50,$H$50,$F$63:$O$63))))</f>
        <v>0</v>
      </c>
      <c r="AN141" s="663"/>
      <c r="AU141" s="664"/>
      <c r="AX141" s="665" t="str">
        <f t="shared" si="29"/>
        <v>Warrants Series C</v>
      </c>
      <c r="AY141" s="662">
        <f ca="1">IF(AND(AY125&lt;&gt;0,BB164=0),0,IF(SUMIF($F$50:$O$50,$H$50,$F$63:$O$63)=0,0,SUMIF(BA86:BA124,$H$50,AY86:AY124)*$H$63/(SUMIF($F$50:$O$50,$H$50,$F$63:$O$63))))</f>
        <v>0</v>
      </c>
      <c r="BG141" s="664"/>
      <c r="BJ141" s="665" t="str">
        <f t="shared" si="30"/>
        <v>Warrants Series C</v>
      </c>
      <c r="BK141" s="662">
        <f ca="1">IF(AND(BK125&lt;&gt;0,BN164=0),0,IF(SUMIF($F$50:$O$50,$H$50,$F$63:$O$63)=0,0,SUMIF(BM86:BM124,$H$50,BK86:BK124)*$H$63/(SUMIF($F$50:$O$50,$H$50,$F$63:$O$63))))</f>
        <v>0</v>
      </c>
      <c r="BS141" s="664"/>
      <c r="BV141" s="665" t="str">
        <f t="shared" si="31"/>
        <v>Warrants Series C</v>
      </c>
      <c r="BW141" s="662">
        <f ca="1">IF(AND(BW125&lt;&gt;0,BZ164=0),0,IF(SUMIF($F$50:$O$50,$H$50,$F$63:$O$63)=0,0,SUMIF(BY86:BY124,$H$50,BW86:BW124)*$H$63/(SUMIF($F$50:$O$50,$H$50,$F$63:$O$63))))</f>
        <v>0</v>
      </c>
      <c r="CE141" s="664"/>
      <c r="CH141" s="665" t="str">
        <f t="shared" si="32"/>
        <v>Warrants Series C</v>
      </c>
      <c r="CI141" s="662">
        <f ca="1">IF(AND(CI125&lt;&gt;0,CL164=0),0,IF(SUMIF($F$50:$O$50,$H$50,$F$63:$O$63)=0,0,SUMIF(CK86:CK124,$H$50,CI86:CI124)*$H$63/(SUMIF($F$50:$O$50,$H$50,$F$63:$O$63))))</f>
        <v>0</v>
      </c>
      <c r="CQ141" s="664"/>
      <c r="CT141" s="665" t="str">
        <f t="shared" si="33"/>
        <v>Warrants Series C</v>
      </c>
      <c r="CU141" s="662">
        <f ca="1">IF(AND(CU125&lt;&gt;0,CX164=0),0,IF(SUMIF($F$50:$O$50,$H$50,$F$63:$O$63)=0,0,SUMIF(CW86:CW124,$H$50,CU86:CU124)*$H$63/(SUMIF($F$50:$O$50,$H$50,$F$63:$O$63))))</f>
        <v>0</v>
      </c>
      <c r="DC141" s="664"/>
      <c r="DF141" s="665" t="str">
        <f t="shared" si="34"/>
        <v>Warrants Series C</v>
      </c>
      <c r="DG141" s="662">
        <f ca="1">IF(AND(DG125&lt;&gt;0,DJ164=0),0,IF(SUMIF($F$50:$O$50,$H$50,$F$63:$O$63)=0,0,SUMIF(DI86:DI124,$H$50,DG86:DG124)*$H$63/(SUMIF($F$50:$O$50,$H$50,$F$63:$O$63))))</f>
        <v>0</v>
      </c>
      <c r="DO141" s="664"/>
    </row>
    <row r="142" spans="2:119" hidden="1" x14ac:dyDescent="0.25">
      <c r="B142" s="665" t="str">
        <f t="shared" si="35"/>
        <v>Warrants Series D</v>
      </c>
      <c r="C142" s="662">
        <f ca="1">IF(AND(C125&lt;&gt;0,F165=0),0,IF(SUMIF($F$50:$O$50,$I$50,$F$63:$O$63)=0,0,SUMIF(E86:E124,$I$50,C86:C124)*$I$63/(SUMIF($F$50:$O$50,$I$50,$F$63:$O$63))))</f>
        <v>0</v>
      </c>
      <c r="K142" s="664"/>
      <c r="N142" s="665" t="str">
        <f t="shared" si="26"/>
        <v>Warrants Series D</v>
      </c>
      <c r="O142" s="662">
        <f ca="1">IF(AND(O125&lt;&gt;0,R165=0),0,IF(SUMIF($F$50:$O$50,$I$50,$F$63:$O$63)=0,0,SUMIF(Q86:Q124,$I$50,O86:O124)*$I$63/(SUMIF($F$50:$O$50,$I$50,$F$63:$O$63))))</f>
        <v>0</v>
      </c>
      <c r="U142" s="663"/>
      <c r="W142" s="664"/>
      <c r="Z142" s="665" t="str">
        <f t="shared" si="27"/>
        <v>Warrants Series D</v>
      </c>
      <c r="AA142" s="662">
        <f ca="1">IF(AND(AA125&lt;&gt;0,AD165=0),0,IF(SUMIF($F$50:$O$50,$I$50,$F$63:$O$63)=0,0,SUMIF(AC86:AC124,$I$50,AA86:AA124)*$I$63/(SUMIF($F$50:$O$50,$I$50,$F$63:$O$63))))</f>
        <v>0</v>
      </c>
      <c r="AB142" s="663"/>
      <c r="AC142" s="663"/>
      <c r="AD142" s="663"/>
      <c r="AE142" s="663"/>
      <c r="AF142" s="663"/>
      <c r="AG142" s="663"/>
      <c r="AH142" s="663"/>
      <c r="AI142" s="664"/>
      <c r="AL142" s="665" t="str">
        <f t="shared" si="28"/>
        <v>Warrants Series D</v>
      </c>
      <c r="AM142" s="662">
        <f ca="1">IF(AND(AM125&lt;&gt;0,AP165=0),0,IF(SUMIF($F$50:$O$50,$I$50,$F$63:$O$63)=0,0,SUMIF(AO86:AO124,$I$50,AM86:AM124)*$I$63/(SUMIF($F$50:$O$50,$I$50,$F$63:$O$63))))</f>
        <v>0</v>
      </c>
      <c r="AN142" s="663"/>
      <c r="AU142" s="664"/>
      <c r="AX142" s="665" t="str">
        <f t="shared" si="29"/>
        <v>Warrants Series D</v>
      </c>
      <c r="AY142" s="662">
        <f ca="1">IF(AND(AY125&lt;&gt;0,BB165=0),0,IF(SUMIF($F$50:$O$50,$I$50,$F$63:$O$63)=0,0,SUMIF(BA86:BA124,$I$50,AY86:AY124)*$I$63/(SUMIF($F$50:$O$50,$I$50,$F$63:$O$63))))</f>
        <v>0</v>
      </c>
      <c r="BG142" s="664"/>
      <c r="BJ142" s="665" t="str">
        <f t="shared" si="30"/>
        <v>Warrants Series D</v>
      </c>
      <c r="BK142" s="662">
        <f ca="1">IF(AND(BK125&lt;&gt;0,BN165=0),0,IF(SUMIF($F$50:$O$50,$I$50,$F$63:$O$63)=0,0,SUMIF(BM86:BM124,$I$50,BK86:BK124)*$I$63/(SUMIF($F$50:$O$50,$I$50,$F$63:$O$63))))</f>
        <v>0</v>
      </c>
      <c r="BS142" s="664"/>
      <c r="BV142" s="665" t="str">
        <f t="shared" si="31"/>
        <v>Warrants Series D</v>
      </c>
      <c r="BW142" s="662">
        <f ca="1">IF(AND(BW125&lt;&gt;0,BZ165=0),0,IF(SUMIF($F$50:$O$50,$I$50,$F$63:$O$63)=0,0,SUMIF(BY86:BY124,$I$50,BW86:BW124)*$I$63/(SUMIF($F$50:$O$50,$I$50,$F$63:$O$63))))</f>
        <v>0</v>
      </c>
      <c r="CE142" s="664"/>
      <c r="CH142" s="665" t="str">
        <f t="shared" si="32"/>
        <v>Warrants Series D</v>
      </c>
      <c r="CI142" s="662">
        <f ca="1">IF(AND(CI125&lt;&gt;0,CL165=0),0,IF(SUMIF($F$50:$O$50,$I$50,$F$63:$O$63)=0,0,SUMIF(CK86:CK124,$I$50,CI86:CI124)*$I$63/(SUMIF($F$50:$O$50,$I$50,$F$63:$O$63))))</f>
        <v>0</v>
      </c>
      <c r="CQ142" s="664"/>
      <c r="CT142" s="665" t="str">
        <f t="shared" si="33"/>
        <v>Warrants Series D</v>
      </c>
      <c r="CU142" s="662">
        <f ca="1">IF(AND(CU125&lt;&gt;0,CX165=0),0,IF(SUMIF($F$50:$O$50,$I$50,$F$63:$O$63)=0,0,SUMIF(CW86:CW124,$I$50,CU86:CU124)*$I$63/(SUMIF($F$50:$O$50,$I$50,$F$63:$O$63))))</f>
        <v>0</v>
      </c>
      <c r="DC142" s="664"/>
      <c r="DF142" s="665" t="str">
        <f t="shared" si="34"/>
        <v>Warrants Series D</v>
      </c>
      <c r="DG142" s="662">
        <f ca="1">IF(AND(DG125&lt;&gt;0,DJ165=0),0,IF(SUMIF($F$50:$O$50,$I$50,$F$63:$O$63)=0,0,SUMIF(DI86:DI124,$I$50,DG86:DG124)*$I$63/(SUMIF($F$50:$O$50,$I$50,$F$63:$O$63))))</f>
        <v>0</v>
      </c>
      <c r="DO142" s="664"/>
    </row>
    <row r="143" spans="2:119" hidden="1" x14ac:dyDescent="0.25">
      <c r="B143" s="665" t="str">
        <f t="shared" si="35"/>
        <v>Warrants -</v>
      </c>
      <c r="C143" s="662">
        <f ca="1">IF(AND(C125&lt;&gt;0,F166=0),0,IF(SUMIF($F$50:$O$50,$J$50,$F$63:$O$63)=0,0,SUMIF(E86:E124,$J$50,C86:C124)*$J$63/(SUMIF($F$50:$O$50,$J$50,$F$63:$O$63))))</f>
        <v>0</v>
      </c>
      <c r="K143" s="664"/>
      <c r="N143" s="665" t="str">
        <f t="shared" si="26"/>
        <v>Warrants -</v>
      </c>
      <c r="O143" s="662">
        <f ca="1">IF(AND(O125&lt;&gt;0,R166=0),0,IF(SUMIF($F$50:$O$50,$J$50,$F$63:$O$63)=0,0,SUMIF(Q86:Q124,$J$50,O86:O124)*$J$63/(SUMIF($F$50:$O$50,$J$50,$F$63:$O$63))))</f>
        <v>0</v>
      </c>
      <c r="U143" s="663"/>
      <c r="W143" s="664"/>
      <c r="Z143" s="665" t="str">
        <f t="shared" si="27"/>
        <v>Warrants -</v>
      </c>
      <c r="AA143" s="662">
        <f ca="1">IF(AND(AA125&lt;&gt;0,AD166=0),0,IF(SUMIF($F$50:$O$50,$J$50,$F$63:$O$63)=0,0,SUMIF(AC86:AC124,$J$50,AA86:AA124)*$J$63/(SUMIF($F$50:$O$50,$J$50,$F$63:$O$63))))</f>
        <v>0</v>
      </c>
      <c r="AB143" s="663"/>
      <c r="AC143" s="663"/>
      <c r="AD143" s="663"/>
      <c r="AE143" s="663"/>
      <c r="AF143" s="663"/>
      <c r="AG143" s="663"/>
      <c r="AH143" s="663"/>
      <c r="AI143" s="664"/>
      <c r="AL143" s="665" t="str">
        <f t="shared" si="28"/>
        <v>Warrants -</v>
      </c>
      <c r="AM143" s="662">
        <f ca="1">IF(AND(AM125&lt;&gt;0,AP166=0),0,IF(SUMIF($F$50:$O$50,$J$50,$F$63:$O$63)=0,0,SUMIF(AO86:AO124,$J$50,AM86:AM124)*$J$63/(SUMIF($F$50:$O$50,$J$50,$F$63:$O$63))))</f>
        <v>0</v>
      </c>
      <c r="AN143" s="663"/>
      <c r="AU143" s="664"/>
      <c r="AX143" s="665" t="str">
        <f t="shared" si="29"/>
        <v>Warrants -</v>
      </c>
      <c r="AY143" s="662">
        <f ca="1">IF(AND(AY125&lt;&gt;0,BB166=0),0,IF(SUMIF($F$50:$O$50,$J$50,$F$63:$O$63)=0,0,SUMIF(BA86:BA124,$J$50,AY86:AY124)*$J$63/(SUMIF($F$50:$O$50,$J$50,$F$63:$O$63))))</f>
        <v>0</v>
      </c>
      <c r="BG143" s="664"/>
      <c r="BJ143" s="665" t="str">
        <f t="shared" si="30"/>
        <v>Warrants -</v>
      </c>
      <c r="BK143" s="662">
        <f ca="1">IF(AND(BK125&lt;&gt;0,BN166=0),0,IF(SUMIF($F$50:$O$50,$J$50,$F$63:$O$63)=0,0,SUMIF(BM86:BM124,$J$50,BK86:BK124)*$J$63/(SUMIF($F$50:$O$50,$J$50,$F$63:$O$63))))</f>
        <v>0</v>
      </c>
      <c r="BS143" s="664"/>
      <c r="BV143" s="665" t="str">
        <f t="shared" si="31"/>
        <v>Warrants -</v>
      </c>
      <c r="BW143" s="662">
        <f ca="1">IF(AND(BW125&lt;&gt;0,BZ166=0),0,IF(SUMIF($F$50:$O$50,$J$50,$F$63:$O$63)=0,0,SUMIF(BY86:BY124,$J$50,BW86:BW124)*$J$63/(SUMIF($F$50:$O$50,$J$50,$F$63:$O$63))))</f>
        <v>0</v>
      </c>
      <c r="CE143" s="664"/>
      <c r="CH143" s="665" t="str">
        <f t="shared" si="32"/>
        <v>Warrants -</v>
      </c>
      <c r="CI143" s="662">
        <f ca="1">IF(AND(CI125&lt;&gt;0,CL166=0),0,IF(SUMIF($F$50:$O$50,$J$50,$F$63:$O$63)=0,0,SUMIF(CK86:CK124,$J$50,CI86:CI124)*$J$63/(SUMIF($F$50:$O$50,$J$50,$F$63:$O$63))))</f>
        <v>0</v>
      </c>
      <c r="CQ143" s="664"/>
      <c r="CT143" s="665" t="str">
        <f t="shared" si="33"/>
        <v>Warrants -</v>
      </c>
      <c r="CU143" s="662">
        <f ca="1">IF(AND(CU125&lt;&gt;0,CX166=0),0,IF(SUMIF($F$50:$O$50,$J$50,$F$63:$O$63)=0,0,SUMIF(CW86:CW124,$J$50,CU86:CU124)*$J$63/(SUMIF($F$50:$O$50,$J$50,$F$63:$O$63))))</f>
        <v>0</v>
      </c>
      <c r="DC143" s="664"/>
      <c r="DF143" s="665" t="str">
        <f t="shared" si="34"/>
        <v>Warrants -</v>
      </c>
      <c r="DG143" s="662">
        <f ca="1">IF(AND(DG125&lt;&gt;0,DJ166=0),0,IF(SUMIF($F$50:$O$50,$J$50,$F$63:$O$63)=0,0,SUMIF(DI86:DI124,$J$50,DG86:DG124)*$J$63/(SUMIF($F$50:$O$50,$J$50,$F$63:$O$63))))</f>
        <v>0</v>
      </c>
      <c r="DO143" s="664"/>
    </row>
    <row r="144" spans="2:119" hidden="1" x14ac:dyDescent="0.25">
      <c r="B144" s="665" t="str">
        <f t="shared" si="35"/>
        <v>Warrants -</v>
      </c>
      <c r="C144" s="662">
        <f ca="1">IF(AND(C125&lt;&gt;0,F167=0),0,IF(SUMIF($F$50:$O$50,$K$50,$F$63:$O$63)=0,0,SUMIF(E86:E124,$K$50,C86:C124)*$K$63/(SUMIF($F$50:$O$50,$K$50,$F$63:$O$63))))</f>
        <v>0</v>
      </c>
      <c r="K144" s="664"/>
      <c r="N144" s="665" t="str">
        <f t="shared" si="26"/>
        <v>Warrants -</v>
      </c>
      <c r="O144" s="662">
        <f ca="1">IF(AND(O125&lt;&gt;0,R167=0),0,IF(SUMIF($F$50:$O$50,$K$50,$F$63:$O$63)=0,0,SUMIF(Q86:Q124,$K$50,O86:O124)*$K$63/(SUMIF($F$50:$O$50,$K$50,$F$63:$O$63))))</f>
        <v>0</v>
      </c>
      <c r="U144" s="663"/>
      <c r="W144" s="664"/>
      <c r="Z144" s="665" t="str">
        <f t="shared" si="27"/>
        <v>Warrants -</v>
      </c>
      <c r="AA144" s="662">
        <f ca="1">IF(AND(AA125&lt;&gt;0,AD167=0),0,IF(SUMIF($F$50:$O$50,$K$50,$F$63:$O$63)=0,0,SUMIF(AC86:AC124,$K$50,AA86:AA124)*$K$63/(SUMIF($F$50:$O$50,$K$50,$F$63:$O$63))))</f>
        <v>0</v>
      </c>
      <c r="AB144" s="663"/>
      <c r="AC144" s="663"/>
      <c r="AD144" s="663"/>
      <c r="AE144" s="663"/>
      <c r="AF144" s="663"/>
      <c r="AG144" s="663"/>
      <c r="AH144" s="663"/>
      <c r="AI144" s="664"/>
      <c r="AL144" s="665" t="str">
        <f t="shared" si="28"/>
        <v>Warrants -</v>
      </c>
      <c r="AM144" s="662">
        <f ca="1">IF(AND(AM125&lt;&gt;0,AP167=0),0,IF(SUMIF($F$50:$O$50,$K$50,$F$63:$O$63)=0,0,SUMIF(AO86:AO124,$K$50,AM86:AM124)*$K$63/(SUMIF($F$50:$O$50,$K$50,$F$63:$O$63))))</f>
        <v>0</v>
      </c>
      <c r="AN144" s="663"/>
      <c r="AU144" s="664"/>
      <c r="AX144" s="665" t="str">
        <f t="shared" si="29"/>
        <v>Warrants -</v>
      </c>
      <c r="AY144" s="662">
        <f ca="1">IF(AND(AY125&lt;&gt;0,BB167=0),0,IF(SUMIF($F$50:$O$50,$K$50,$F$63:$O$63)=0,0,SUMIF(BA86:BA124,$K$50,AY86:AY124)*$K$63/(SUMIF($F$50:$O$50,$K$50,$F$63:$O$63))))</f>
        <v>0</v>
      </c>
      <c r="BG144" s="664"/>
      <c r="BJ144" s="665" t="str">
        <f t="shared" si="30"/>
        <v>Warrants -</v>
      </c>
      <c r="BK144" s="662">
        <f ca="1">IF(AND(BK125&lt;&gt;0,BN167=0),0,IF(SUMIF($F$50:$O$50,$K$50,$F$63:$O$63)=0,0,SUMIF(BM86:BM124,$K$50,BK86:BK124)*$K$63/(SUMIF($F$50:$O$50,$K$50,$F$63:$O$63))))</f>
        <v>0</v>
      </c>
      <c r="BS144" s="664"/>
      <c r="BV144" s="665" t="str">
        <f t="shared" si="31"/>
        <v>Warrants -</v>
      </c>
      <c r="BW144" s="662">
        <f ca="1">IF(AND(BW125&lt;&gt;0,BZ167=0),0,IF(SUMIF($F$50:$O$50,$K$50,$F$63:$O$63)=0,0,SUMIF(BY86:BY124,$K$50,BW86:BW124)*$K$63/(SUMIF($F$50:$O$50,$K$50,$F$63:$O$63))))</f>
        <v>0</v>
      </c>
      <c r="CE144" s="664"/>
      <c r="CH144" s="665" t="str">
        <f t="shared" si="32"/>
        <v>Warrants -</v>
      </c>
      <c r="CI144" s="662">
        <f ca="1">IF(AND(CI125&lt;&gt;0,CL167=0),0,IF(SUMIF($F$50:$O$50,$K$50,$F$63:$O$63)=0,0,SUMIF(CK86:CK124,$K$50,CI86:CI124)*$K$63/(SUMIF($F$50:$O$50,$K$50,$F$63:$O$63))))</f>
        <v>0</v>
      </c>
      <c r="CQ144" s="664"/>
      <c r="CT144" s="665" t="str">
        <f t="shared" si="33"/>
        <v>Warrants -</v>
      </c>
      <c r="CU144" s="662">
        <f ca="1">IF(AND(CU125&lt;&gt;0,CX167=0),0,IF(SUMIF($F$50:$O$50,$K$50,$F$63:$O$63)=0,0,SUMIF(CW86:CW124,$K$50,CU86:CU124)*$K$63/(SUMIF($F$50:$O$50,$K$50,$F$63:$O$63))))</f>
        <v>0</v>
      </c>
      <c r="DC144" s="664"/>
      <c r="DF144" s="665" t="str">
        <f t="shared" si="34"/>
        <v>Warrants -</v>
      </c>
      <c r="DG144" s="662">
        <f ca="1">IF(AND(DG125&lt;&gt;0,DJ167=0),0,IF(SUMIF($F$50:$O$50,$K$50,$F$63:$O$63)=0,0,SUMIF(DI86:DI124,$K$50,DG86:DG124)*$K$63/(SUMIF($F$50:$O$50,$K$50,$F$63:$O$63))))</f>
        <v>0</v>
      </c>
      <c r="DO144" s="664"/>
    </row>
    <row r="145" spans="2:119" hidden="1" x14ac:dyDescent="0.25">
      <c r="B145" s="665" t="str">
        <f t="shared" si="35"/>
        <v>Warrants -</v>
      </c>
      <c r="C145" s="662">
        <f ca="1">IF(AND(C125&lt;&gt;0,F168=0),0,IF(SUMIF($F$50:$O$50,$L$50,$F$63:$O$63)=0,0,SUMIF(E86:E124,$L$50,C86:C124)*$L$63/(SUMIF($F$50:$O$50,$L$50,$F$63:$O$63))))</f>
        <v>0</v>
      </c>
      <c r="K145" s="664"/>
      <c r="N145" s="665" t="str">
        <f t="shared" si="26"/>
        <v>Warrants -</v>
      </c>
      <c r="O145" s="662">
        <f ca="1">IF(AND(O125&lt;&gt;0,R168=0),0,IF(SUMIF($F$50:$O$50,$L$50,$F$63:$O$63)=0,0,SUMIF(Q86:Q124,$L$50,O86:O124)*$L$63/(SUMIF($F$50:$O$50,$L$50,$F$63:$O$63))))</f>
        <v>0</v>
      </c>
      <c r="U145" s="663"/>
      <c r="W145" s="664"/>
      <c r="Z145" s="665" t="str">
        <f t="shared" si="27"/>
        <v>Warrants -</v>
      </c>
      <c r="AA145" s="662">
        <f ca="1">IF(AND(AA125&lt;&gt;0,AD168=0),0,IF(SUMIF($F$50:$O$50,$L$50,$F$63:$O$63)=0,0,SUMIF(AC86:AC124,$L$50,AA86:AA124)*$L$63/(SUMIF($F$50:$O$50,$L$50,$F$63:$O$63))))</f>
        <v>0</v>
      </c>
      <c r="AB145" s="663"/>
      <c r="AC145" s="663"/>
      <c r="AD145" s="663"/>
      <c r="AE145" s="663"/>
      <c r="AF145" s="663"/>
      <c r="AG145" s="663"/>
      <c r="AH145" s="663"/>
      <c r="AI145" s="664"/>
      <c r="AL145" s="665" t="str">
        <f t="shared" si="28"/>
        <v>Warrants -</v>
      </c>
      <c r="AM145" s="662">
        <f ca="1">IF(AND(AM125&lt;&gt;0,AP168=0),0,IF(SUMIF($F$50:$O$50,$L$50,$F$63:$O$63)=0,0,SUMIF(AO86:AO124,$L$50,AM86:AM124)*$L$63/(SUMIF($F$50:$O$50,$L$50,$F$63:$O$63))))</f>
        <v>0</v>
      </c>
      <c r="AN145" s="663"/>
      <c r="AU145" s="664"/>
      <c r="AX145" s="665" t="str">
        <f t="shared" si="29"/>
        <v>Warrants -</v>
      </c>
      <c r="AY145" s="662">
        <f ca="1">IF(AND(AY125&lt;&gt;0,BB168=0),0,IF(SUMIF($F$50:$O$50,$L$50,$F$63:$O$63)=0,0,SUMIF(BA86:BA124,$L$50,AY86:AY124)*$L$63/(SUMIF($F$50:$O$50,$L$50,$F$63:$O$63))))</f>
        <v>0</v>
      </c>
      <c r="BG145" s="664"/>
      <c r="BJ145" s="665" t="str">
        <f t="shared" si="30"/>
        <v>Warrants -</v>
      </c>
      <c r="BK145" s="662">
        <f ca="1">IF(AND(BK125&lt;&gt;0,BN168=0),0,IF(SUMIF($F$50:$O$50,$L$50,$F$63:$O$63)=0,0,SUMIF(BM86:BM124,$L$50,BK86:BK124)*$L$63/(SUMIF($F$50:$O$50,$L$50,$F$63:$O$63))))</f>
        <v>0</v>
      </c>
      <c r="BS145" s="664"/>
      <c r="BV145" s="665" t="str">
        <f t="shared" si="31"/>
        <v>Warrants -</v>
      </c>
      <c r="BW145" s="662">
        <f ca="1">IF(AND(BW125&lt;&gt;0,BZ168=0),0,IF(SUMIF($F$50:$O$50,$L$50,$F$63:$O$63)=0,0,SUMIF(BY86:BY124,$L$50,BW86:BW124)*$L$63/(SUMIF($F$50:$O$50,$L$50,$F$63:$O$63))))</f>
        <v>0</v>
      </c>
      <c r="CE145" s="664"/>
      <c r="CH145" s="665" t="str">
        <f t="shared" si="32"/>
        <v>Warrants -</v>
      </c>
      <c r="CI145" s="662">
        <f ca="1">IF(AND(CI125&lt;&gt;0,CL168=0),0,IF(SUMIF($F$50:$O$50,$L$50,$F$63:$O$63)=0,0,SUMIF(CK86:CK124,$L$50,CI86:CI124)*$L$63/(SUMIF($F$50:$O$50,$L$50,$F$63:$O$63))))</f>
        <v>0</v>
      </c>
      <c r="CQ145" s="664"/>
      <c r="CT145" s="665" t="str">
        <f t="shared" si="33"/>
        <v>Warrants -</v>
      </c>
      <c r="CU145" s="662">
        <f ca="1">IF(AND(CU125&lt;&gt;0,CX168=0),0,IF(SUMIF($F$50:$O$50,$L$50,$F$63:$O$63)=0,0,SUMIF(CW86:CW124,$L$50,CU86:CU124)*$L$63/(SUMIF($F$50:$O$50,$L$50,$F$63:$O$63))))</f>
        <v>0</v>
      </c>
      <c r="DC145" s="664"/>
      <c r="DF145" s="665" t="str">
        <f t="shared" si="34"/>
        <v>Warrants -</v>
      </c>
      <c r="DG145" s="662">
        <f ca="1">IF(AND(DG125&lt;&gt;0,DJ168=0),0,IF(SUMIF($F$50:$O$50,$L$50,$F$63:$O$63)=0,0,SUMIF(DI86:DI124,$L$50,DG86:DG124)*$L$63/(SUMIF($F$50:$O$50,$L$50,$F$63:$O$63))))</f>
        <v>0</v>
      </c>
      <c r="DO145" s="664"/>
    </row>
    <row r="146" spans="2:119" hidden="1" x14ac:dyDescent="0.25">
      <c r="B146" s="665" t="str">
        <f t="shared" si="35"/>
        <v>Warrants -</v>
      </c>
      <c r="C146" s="662">
        <f ca="1">IF(AND(C125&lt;&gt;0,F169=0),0,IF(SUMIF($F$50:$O$50,$M$50,$F$63:$O$63)=0,0,SUMIF(E86:E124,$M$50,C86:C124)*$M$63/(SUMIF($F$50:$O$50,$M$50,$F$63:$O$63))))</f>
        <v>0</v>
      </c>
      <c r="K146" s="664"/>
      <c r="N146" s="665" t="str">
        <f t="shared" si="26"/>
        <v>Warrants -</v>
      </c>
      <c r="O146" s="662">
        <f ca="1">IF(AND(O125&lt;&gt;0,R169=0),0,IF(SUMIF($F$50:$O$50,$M$50,$F$63:$O$63)=0,0,SUMIF(Q86:Q124,$M$50,O86:O124)*$M$63/(SUMIF($F$50:$O$50,$M$50,$F$63:$O$63))))</f>
        <v>0</v>
      </c>
      <c r="U146" s="663"/>
      <c r="W146" s="664"/>
      <c r="Z146" s="665" t="str">
        <f t="shared" si="27"/>
        <v>Warrants -</v>
      </c>
      <c r="AA146" s="662">
        <f ca="1">IF(AND(AA125&lt;&gt;0,AD169=0),0,IF(SUMIF($F$50:$O$50,$M$50,$F$63:$O$63)=0,0,SUMIF(AC86:AC124,$M$50,AA86:AA124)*$M$63/(SUMIF($F$50:$O$50,$M$50,$F$63:$O$63))))</f>
        <v>0</v>
      </c>
      <c r="AB146" s="663"/>
      <c r="AC146" s="663"/>
      <c r="AD146" s="663"/>
      <c r="AE146" s="663"/>
      <c r="AF146" s="663"/>
      <c r="AG146" s="663"/>
      <c r="AH146" s="663"/>
      <c r="AI146" s="664"/>
      <c r="AL146" s="665" t="str">
        <f t="shared" si="28"/>
        <v>Warrants -</v>
      </c>
      <c r="AM146" s="662">
        <f ca="1">IF(AND(AM125&lt;&gt;0,AP169=0),0,IF(SUMIF($F$50:$O$50,$M$50,$F$63:$O$63)=0,0,SUMIF(AO86:AO124,$M$50,AM86:AM124)*$M$63/(SUMIF($F$50:$O$50,$M$50,$F$63:$O$63))))</f>
        <v>0</v>
      </c>
      <c r="AN146" s="663"/>
      <c r="AU146" s="664"/>
      <c r="AX146" s="665" t="str">
        <f t="shared" si="29"/>
        <v>Warrants -</v>
      </c>
      <c r="AY146" s="662">
        <f ca="1">IF(AND(AY125&lt;&gt;0,BB169=0),0,IF(SUMIF($F$50:$O$50,$M$50,$F$63:$O$63)=0,0,SUMIF(BA86:BA124,$M$50,AY86:AY124)*$M$63/(SUMIF($F$50:$O$50,$M$50,$F$63:$O$63))))</f>
        <v>0</v>
      </c>
      <c r="BG146" s="664"/>
      <c r="BJ146" s="665" t="str">
        <f t="shared" si="30"/>
        <v>Warrants -</v>
      </c>
      <c r="BK146" s="662">
        <f ca="1">IF(AND(BK125&lt;&gt;0,BN169=0),0,IF(SUMIF($F$50:$O$50,$M$50,$F$63:$O$63)=0,0,SUMIF(BM86:BM124,$M$50,BK86:BK124)*$M$63/(SUMIF($F$50:$O$50,$M$50,$F$63:$O$63))))</f>
        <v>0</v>
      </c>
      <c r="BS146" s="664"/>
      <c r="BV146" s="665" t="str">
        <f t="shared" si="31"/>
        <v>Warrants -</v>
      </c>
      <c r="BW146" s="662">
        <f ca="1">IF(AND(BW125&lt;&gt;0,BZ169=0),0,IF(SUMIF($F$50:$O$50,$M$50,$F$63:$O$63)=0,0,SUMIF(BY86:BY124,$M$50,BW86:BW124)*$M$63/(SUMIF($F$50:$O$50,$M$50,$F$63:$O$63))))</f>
        <v>0</v>
      </c>
      <c r="CE146" s="664"/>
      <c r="CH146" s="665" t="str">
        <f t="shared" si="32"/>
        <v>Warrants -</v>
      </c>
      <c r="CI146" s="662">
        <f ca="1">IF(AND(CI125&lt;&gt;0,CL169=0),0,IF(SUMIF($F$50:$O$50,$M$50,$F$63:$O$63)=0,0,SUMIF(CK86:CK124,$M$50,CI86:CI124)*$M$63/(SUMIF($F$50:$O$50,$M$50,$F$63:$O$63))))</f>
        <v>0</v>
      </c>
      <c r="CQ146" s="664"/>
      <c r="CT146" s="665" t="str">
        <f t="shared" si="33"/>
        <v>Warrants -</v>
      </c>
      <c r="CU146" s="662">
        <f ca="1">IF(AND(CU125&lt;&gt;0,CX169=0),0,IF(SUMIF($F$50:$O$50,$M$50,$F$63:$O$63)=0,0,SUMIF(CW86:CW124,$M$50,CU86:CU124)*$M$63/(SUMIF($F$50:$O$50,$M$50,$F$63:$O$63))))</f>
        <v>0</v>
      </c>
      <c r="DC146" s="664"/>
      <c r="DF146" s="665" t="str">
        <f t="shared" si="34"/>
        <v>Warrants -</v>
      </c>
      <c r="DG146" s="662">
        <f ca="1">IF(AND(DG125&lt;&gt;0,DJ169=0),0,IF(SUMIF($F$50:$O$50,$M$50,$F$63:$O$63)=0,0,SUMIF(DI86:DI124,$M$50,DG86:DG124)*$M$63/(SUMIF($F$50:$O$50,$M$50,$F$63:$O$63))))</f>
        <v>0</v>
      </c>
      <c r="DO146" s="664"/>
    </row>
    <row r="147" spans="2:119" hidden="1" x14ac:dyDescent="0.25">
      <c r="B147" s="665" t="str">
        <f t="shared" si="35"/>
        <v>Warrants -</v>
      </c>
      <c r="C147" s="662">
        <f ca="1">IF(AND(C125&lt;&gt;0,F170=0),0,IF(SUMIF($F$50:$O$50,$N$50,$F$63:$O$63)=0,0,SUMIF(E86:E124,$N$50,C86:C124)*$N$63/(SUMIF($F$50:$O$50,$N$50,$F$63:$O$63))))</f>
        <v>0</v>
      </c>
      <c r="K147" s="664"/>
      <c r="N147" s="665" t="str">
        <f t="shared" si="26"/>
        <v>Warrants -</v>
      </c>
      <c r="O147" s="662">
        <f ca="1">IF(AND(O125&lt;&gt;0,R170=0),0,IF(SUMIF($F$50:$O$50,$N$50,$F$63:$O$63)=0,0,SUMIF(Q86:Q124,$N$50,O86:O124)*$N$63/(SUMIF($F$50:$O$50,$N$50,$F$63:$O$63))))</f>
        <v>0</v>
      </c>
      <c r="U147" s="663"/>
      <c r="W147" s="664"/>
      <c r="Z147" s="665" t="str">
        <f t="shared" si="27"/>
        <v>Warrants -</v>
      </c>
      <c r="AA147" s="662">
        <f ca="1">IF(AND(AA125&lt;&gt;0,AD170=0),0,IF(SUMIF($F$50:$O$50,$N$50,$F$63:$O$63)=0,0,SUMIF(AC86:AC124,$N$50,AA86:AA124)*$N$63/(SUMIF($F$50:$O$50,$N$50,$F$63:$O$63))))</f>
        <v>0</v>
      </c>
      <c r="AB147" s="663"/>
      <c r="AC147" s="663"/>
      <c r="AD147" s="663"/>
      <c r="AE147" s="663"/>
      <c r="AF147" s="663"/>
      <c r="AG147" s="663"/>
      <c r="AH147" s="663"/>
      <c r="AI147" s="664"/>
      <c r="AL147" s="665" t="str">
        <f t="shared" si="28"/>
        <v>Warrants -</v>
      </c>
      <c r="AM147" s="662">
        <f ca="1">IF(AND(AM125&lt;&gt;0,AP170=0),0,IF(SUMIF($F$50:$O$50,$N$50,$F$63:$O$63)=0,0,SUMIF(AO86:AO124,$N$50,AM86:AM124)*$N$63/(SUMIF($F$50:$O$50,$N$50,$F$63:$O$63))))</f>
        <v>0</v>
      </c>
      <c r="AN147" s="663"/>
      <c r="AU147" s="664"/>
      <c r="AX147" s="665" t="str">
        <f t="shared" si="29"/>
        <v>Warrants -</v>
      </c>
      <c r="AY147" s="662">
        <f ca="1">IF(AND(AY125&lt;&gt;0,BB170=0),0,IF(SUMIF($F$50:$O$50,$N$50,$F$63:$O$63)=0,0,SUMIF(BA86:BA124,$N$50,AY86:AY124)*$N$63/(SUMIF($F$50:$O$50,$N$50,$F$63:$O$63))))</f>
        <v>0</v>
      </c>
      <c r="BG147" s="664"/>
      <c r="BJ147" s="665" t="str">
        <f t="shared" si="30"/>
        <v>Warrants -</v>
      </c>
      <c r="BK147" s="662">
        <f ca="1">IF(AND(BK125&lt;&gt;0,BN170=0),0,IF(SUMIF($F$50:$O$50,$N$50,$F$63:$O$63)=0,0,SUMIF(BM86:BM124,$N$50,BK86:BK124)*$N$63/(SUMIF($F$50:$O$50,$N$50,$F$63:$O$63))))</f>
        <v>0</v>
      </c>
      <c r="BS147" s="664"/>
      <c r="BV147" s="665" t="str">
        <f t="shared" si="31"/>
        <v>Warrants -</v>
      </c>
      <c r="BW147" s="662">
        <f ca="1">IF(AND(BW125&lt;&gt;0,BZ170=0),0,IF(SUMIF($F$50:$O$50,$N$50,$F$63:$O$63)=0,0,SUMIF(BY86:BY124,$N$50,BW86:BW124)*$N$63/(SUMIF($F$50:$O$50,$N$50,$F$63:$O$63))))</f>
        <v>0</v>
      </c>
      <c r="CE147" s="664"/>
      <c r="CH147" s="665" t="str">
        <f t="shared" si="32"/>
        <v>Warrants -</v>
      </c>
      <c r="CI147" s="662">
        <f ca="1">IF(AND(CI125&lt;&gt;0,CL170=0),0,IF(SUMIF($F$50:$O$50,$N$50,$F$63:$O$63)=0,0,SUMIF(CK86:CK124,$N$50,CI86:CI124)*$N$63/(SUMIF($F$50:$O$50,$N$50,$F$63:$O$63))))</f>
        <v>0</v>
      </c>
      <c r="CQ147" s="664"/>
      <c r="CT147" s="665" t="str">
        <f t="shared" si="33"/>
        <v>Warrants -</v>
      </c>
      <c r="CU147" s="662">
        <f ca="1">IF(AND(CU125&lt;&gt;0,CX170=0),0,IF(SUMIF($F$50:$O$50,$N$50,$F$63:$O$63)=0,0,SUMIF(CW86:CW124,$N$50,CU86:CU124)*$N$63/(SUMIF($F$50:$O$50,$N$50,$F$63:$O$63))))</f>
        <v>0</v>
      </c>
      <c r="DC147" s="664"/>
      <c r="DF147" s="665" t="str">
        <f t="shared" si="34"/>
        <v>Warrants -</v>
      </c>
      <c r="DG147" s="662">
        <f ca="1">IF(AND(DG125&lt;&gt;0,DJ170=0),0,IF(SUMIF($F$50:$O$50,$N$50,$F$63:$O$63)=0,0,SUMIF(DI86:DI124,$N$50,DG86:DG124)*$N$63/(SUMIF($F$50:$O$50,$N$50,$F$63:$O$63))))</f>
        <v>0</v>
      </c>
      <c r="DO147" s="664"/>
    </row>
    <row r="148" spans="2:119" hidden="1" x14ac:dyDescent="0.25">
      <c r="B148" s="665" t="str">
        <f t="shared" si="35"/>
        <v>Warrants -</v>
      </c>
      <c r="C148" s="662">
        <f ca="1">IF(AND(C125&lt;&gt;0,F171=0),0,IF(SUMIF($F$50:$O$50,$O$50,$F$63:$O$63)=0,0,SUMIF(E86:E124,$O$50,C86:C124)*$O$63/(SUMIF($F$50:$O$50,$O$50,$F$63:$O$63))))</f>
        <v>0</v>
      </c>
      <c r="K148" s="664"/>
      <c r="N148" s="665" t="str">
        <f t="shared" si="26"/>
        <v>Warrants -</v>
      </c>
      <c r="O148" s="662">
        <f ca="1">IF(AND(O125&lt;&gt;0,R171=0),0,IF(SUMIF($F$50:$O$50,$O$50,$F$63:$O$63)=0,0,SUMIF(Q86:Q124,$O$50,O86:O124)*$O$63/(SUMIF($F$50:$O$50,$O$50,$F$63:$O$63))))</f>
        <v>0</v>
      </c>
      <c r="U148" s="663"/>
      <c r="W148" s="664"/>
      <c r="Z148" s="665" t="str">
        <f t="shared" si="27"/>
        <v>Warrants -</v>
      </c>
      <c r="AA148" s="662">
        <f ca="1">IF(AND(AA125&lt;&gt;0,AD171=0),0,IF(SUMIF($F$50:$O$50,$O$50,$F$63:$O$63)=0,0,SUMIF(AC86:AC124,$O$50,AA86:AA124)*$O$63/(SUMIF($F$50:$O$50,$O$50,$F$63:$O$63))))</f>
        <v>0</v>
      </c>
      <c r="AB148" s="663"/>
      <c r="AC148" s="663"/>
      <c r="AD148" s="663"/>
      <c r="AE148" s="663"/>
      <c r="AF148" s="663"/>
      <c r="AG148" s="663"/>
      <c r="AH148" s="663"/>
      <c r="AI148" s="664"/>
      <c r="AL148" s="665" t="str">
        <f t="shared" si="28"/>
        <v>Warrants -</v>
      </c>
      <c r="AM148" s="662">
        <f ca="1">IF(AND(AM125&lt;&gt;0,AP171=0),0,IF(SUMIF($F$50:$O$50,$O$50,$F$63:$O$63)=0,0,SUMIF(AO86:AO124,$O$50,AM86:AM124)*$O$63/(SUMIF($F$50:$O$50,$O$50,$F$63:$O$63))))</f>
        <v>0</v>
      </c>
      <c r="AN148" s="663"/>
      <c r="AU148" s="664"/>
      <c r="AX148" s="665" t="str">
        <f t="shared" si="29"/>
        <v>Warrants -</v>
      </c>
      <c r="AY148" s="662">
        <f ca="1">IF(AND(AY125&lt;&gt;0,BB171=0),0,IF(SUMIF($F$50:$O$50,$O$50,$F$63:$O$63)=0,0,SUMIF(BA86:BA124,$O$50,AY86:AY124)*$O$63/(SUMIF($F$50:$O$50,$O$50,$F$63:$O$63))))</f>
        <v>0</v>
      </c>
      <c r="BG148" s="664"/>
      <c r="BJ148" s="665" t="str">
        <f t="shared" si="30"/>
        <v>Warrants -</v>
      </c>
      <c r="BK148" s="662">
        <f ca="1">IF(AND(BK125&lt;&gt;0,BN171=0),0,IF(SUMIF($F$50:$O$50,$O$50,$F$63:$O$63)=0,0,SUMIF(BM86:BM124,$O$50,BK86:BK124)*$O$63/(SUMIF($F$50:$O$50,$O$50,$F$63:$O$63))))</f>
        <v>0</v>
      </c>
      <c r="BS148" s="664"/>
      <c r="BV148" s="665" t="str">
        <f t="shared" si="31"/>
        <v>Warrants -</v>
      </c>
      <c r="BW148" s="662">
        <f ca="1">IF(AND(BW125&lt;&gt;0,BZ171=0),0,IF(SUMIF($F$50:$O$50,$O$50,$F$63:$O$63)=0,0,SUMIF(BY86:BY124,$O$50,BW86:BW124)*$O$63/(SUMIF($F$50:$O$50,$O$50,$F$63:$O$63))))</f>
        <v>0</v>
      </c>
      <c r="CE148" s="664"/>
      <c r="CH148" s="665" t="str">
        <f t="shared" si="32"/>
        <v>Warrants -</v>
      </c>
      <c r="CI148" s="662">
        <f ca="1">IF(AND(CI125&lt;&gt;0,CL171=0),0,IF(SUMIF($F$50:$O$50,$O$50,$F$63:$O$63)=0,0,SUMIF(CK86:CK124,$O$50,CI86:CI124)*$O$63/(SUMIF($F$50:$O$50,$O$50,$F$63:$O$63))))</f>
        <v>0</v>
      </c>
      <c r="CQ148" s="664"/>
      <c r="CT148" s="665" t="str">
        <f t="shared" si="33"/>
        <v>Warrants -</v>
      </c>
      <c r="CU148" s="662">
        <f ca="1">IF(AND(CU125&lt;&gt;0,CX171=0),0,IF(SUMIF($F$50:$O$50,$O$50,$F$63:$O$63)=0,0,SUMIF(CW86:CW124,$O$50,CU86:CU124)*$O$63/(SUMIF($F$50:$O$50,$O$50,$F$63:$O$63))))</f>
        <v>0</v>
      </c>
      <c r="DC148" s="664"/>
      <c r="DF148" s="665" t="str">
        <f t="shared" si="34"/>
        <v>Warrants -</v>
      </c>
      <c r="DG148" s="662">
        <f ca="1">IF(AND(DG125&lt;&gt;0,DJ171=0),0,IF(SUMIF($F$50:$O$50,$O$50,$F$63:$O$63)=0,0,SUMIF(DI86:DI124,$O$50,DG86:DG124)*$O$63/(SUMIF($F$50:$O$50,$O$50,$F$63:$O$63))))</f>
        <v>0</v>
      </c>
      <c r="DO148" s="664"/>
    </row>
    <row r="149" spans="2:119" hidden="1" x14ac:dyDescent="0.25">
      <c r="B149" s="668"/>
      <c r="C149" s="662"/>
      <c r="K149" s="664"/>
      <c r="N149" s="668"/>
      <c r="O149" s="662"/>
      <c r="U149" s="663"/>
      <c r="W149" s="664"/>
      <c r="Z149" s="668"/>
      <c r="AA149" s="662"/>
      <c r="AB149" s="663"/>
      <c r="AC149" s="663"/>
      <c r="AD149" s="663"/>
      <c r="AE149" s="663"/>
      <c r="AF149" s="663"/>
      <c r="AG149" s="663"/>
      <c r="AH149" s="663"/>
      <c r="AI149" s="664"/>
      <c r="AL149" s="668"/>
      <c r="AM149" s="662"/>
      <c r="AN149" s="663"/>
      <c r="AU149" s="664"/>
      <c r="AX149" s="668"/>
      <c r="AY149" s="662"/>
      <c r="BG149" s="664"/>
      <c r="BJ149" s="668"/>
      <c r="BK149" s="662"/>
      <c r="BS149" s="664"/>
      <c r="BV149" s="668"/>
      <c r="BW149" s="662"/>
      <c r="CE149" s="664"/>
      <c r="CH149" s="668"/>
      <c r="CI149" s="662"/>
      <c r="CQ149" s="664"/>
      <c r="CT149" s="668"/>
      <c r="CU149" s="662"/>
      <c r="DC149" s="664"/>
      <c r="DF149" s="668"/>
      <c r="DG149" s="662"/>
      <c r="DO149" s="664"/>
    </row>
    <row r="150" spans="2:119" hidden="1" x14ac:dyDescent="0.25">
      <c r="B150" s="668"/>
      <c r="C150" s="662"/>
      <c r="K150" s="664"/>
      <c r="N150" s="668"/>
      <c r="O150" s="662"/>
      <c r="U150" s="663"/>
      <c r="W150" s="664"/>
      <c r="Z150" s="668"/>
      <c r="AA150" s="662"/>
      <c r="AB150" s="663"/>
      <c r="AC150" s="663"/>
      <c r="AD150" s="663"/>
      <c r="AE150" s="663"/>
      <c r="AF150" s="663"/>
      <c r="AG150" s="663"/>
      <c r="AH150" s="663"/>
      <c r="AI150" s="664"/>
      <c r="AL150" s="668"/>
      <c r="AM150" s="662"/>
      <c r="AN150" s="663"/>
      <c r="AU150" s="664"/>
      <c r="AX150" s="668"/>
      <c r="AY150" s="662"/>
      <c r="BG150" s="664"/>
      <c r="BJ150" s="668"/>
      <c r="BK150" s="662"/>
      <c r="BS150" s="664"/>
      <c r="BV150" s="668"/>
      <c r="BW150" s="662"/>
      <c r="CE150" s="664"/>
      <c r="CH150" s="668"/>
      <c r="CI150" s="662"/>
      <c r="CQ150" s="664"/>
      <c r="CT150" s="668"/>
      <c r="CU150" s="662"/>
      <c r="DC150" s="664"/>
      <c r="DF150" s="668"/>
      <c r="DG150" s="662"/>
      <c r="DO150" s="664"/>
    </row>
    <row r="151" spans="2:119" hidden="1" x14ac:dyDescent="0.25">
      <c r="B151" s="668" t="s">
        <v>107</v>
      </c>
      <c r="C151" s="662">
        <f ca="1">C81-SUM(C129:C148)</f>
        <v>0</v>
      </c>
      <c r="F151" s="976" t="s">
        <v>106</v>
      </c>
      <c r="G151" s="976"/>
      <c r="H151" s="881" t="s">
        <v>104</v>
      </c>
      <c r="J151" s="976" t="s">
        <v>105</v>
      </c>
      <c r="K151" s="977"/>
      <c r="N151" s="668" t="s">
        <v>107</v>
      </c>
      <c r="O151" s="662">
        <f ca="1">O81-SUM(O129:O148)</f>
        <v>0</v>
      </c>
      <c r="R151" s="976" t="s">
        <v>106</v>
      </c>
      <c r="S151" s="976"/>
      <c r="T151" s="881" t="s">
        <v>104</v>
      </c>
      <c r="U151" s="663"/>
      <c r="V151" s="976" t="s">
        <v>105</v>
      </c>
      <c r="W151" s="977"/>
      <c r="Z151" s="668" t="s">
        <v>107</v>
      </c>
      <c r="AA151" s="662">
        <f ca="1">AA81-SUM(AA129:AA148)</f>
        <v>0</v>
      </c>
      <c r="AB151" s="663"/>
      <c r="AC151" s="663"/>
      <c r="AD151" s="976" t="s">
        <v>106</v>
      </c>
      <c r="AE151" s="976"/>
      <c r="AF151" s="881" t="s">
        <v>104</v>
      </c>
      <c r="AG151" s="663"/>
      <c r="AH151" s="976" t="s">
        <v>105</v>
      </c>
      <c r="AI151" s="977"/>
      <c r="AL151" s="668" t="s">
        <v>107</v>
      </c>
      <c r="AM151" s="662">
        <f ca="1">AM81-SUM(AM129:AM148)</f>
        <v>0</v>
      </c>
      <c r="AN151" s="663"/>
      <c r="AP151" s="976" t="s">
        <v>106</v>
      </c>
      <c r="AQ151" s="976"/>
      <c r="AR151" s="881" t="s">
        <v>104</v>
      </c>
      <c r="AT151" s="976" t="s">
        <v>105</v>
      </c>
      <c r="AU151" s="977"/>
      <c r="AX151" s="668" t="s">
        <v>107</v>
      </c>
      <c r="AY151" s="662">
        <f ca="1">AY81-SUM(AY129:AY148)</f>
        <v>0</v>
      </c>
      <c r="BB151" s="976" t="s">
        <v>106</v>
      </c>
      <c r="BC151" s="976"/>
      <c r="BD151" s="881" t="s">
        <v>104</v>
      </c>
      <c r="BF151" s="976" t="s">
        <v>105</v>
      </c>
      <c r="BG151" s="977"/>
      <c r="BJ151" s="668" t="s">
        <v>107</v>
      </c>
      <c r="BK151" s="662">
        <f ca="1">BK81-SUM(BK129:BK148)</f>
        <v>0</v>
      </c>
      <c r="BN151" s="976" t="s">
        <v>106</v>
      </c>
      <c r="BO151" s="976"/>
      <c r="BP151" s="881" t="s">
        <v>104</v>
      </c>
      <c r="BR151" s="976" t="s">
        <v>105</v>
      </c>
      <c r="BS151" s="977"/>
      <c r="BV151" s="668" t="s">
        <v>107</v>
      </c>
      <c r="BW151" s="662">
        <f ca="1">BW81-SUM(BW129:BW148)</f>
        <v>0</v>
      </c>
      <c r="BZ151" s="976" t="s">
        <v>106</v>
      </c>
      <c r="CA151" s="976"/>
      <c r="CB151" s="881" t="s">
        <v>104</v>
      </c>
      <c r="CD151" s="976" t="s">
        <v>105</v>
      </c>
      <c r="CE151" s="977"/>
      <c r="CH151" s="668" t="s">
        <v>107</v>
      </c>
      <c r="CI151" s="662">
        <f ca="1">CI81-SUM(CI129:CI148)</f>
        <v>0</v>
      </c>
      <c r="CL151" s="976" t="s">
        <v>106</v>
      </c>
      <c r="CM151" s="976"/>
      <c r="CN151" s="881" t="s">
        <v>104</v>
      </c>
      <c r="CP151" s="976" t="s">
        <v>105</v>
      </c>
      <c r="CQ151" s="977"/>
      <c r="CT151" s="668" t="s">
        <v>107</v>
      </c>
      <c r="CU151" s="662">
        <f ca="1">CU81-SUM(CU129:CU148)</f>
        <v>0</v>
      </c>
      <c r="CX151" s="976" t="s">
        <v>106</v>
      </c>
      <c r="CY151" s="976"/>
      <c r="CZ151" s="881" t="s">
        <v>104</v>
      </c>
      <c r="DB151" s="976" t="s">
        <v>105</v>
      </c>
      <c r="DC151" s="977"/>
      <c r="DF151" s="668" t="s">
        <v>107</v>
      </c>
      <c r="DG151" s="662">
        <f ca="1">DG81-SUM(DG129:DG148)</f>
        <v>0</v>
      </c>
      <c r="DJ151" s="976" t="s">
        <v>106</v>
      </c>
      <c r="DK151" s="976"/>
      <c r="DL151" s="881" t="s">
        <v>104</v>
      </c>
      <c r="DN151" s="976" t="s">
        <v>105</v>
      </c>
      <c r="DO151" s="977"/>
    </row>
    <row r="152" spans="2:119" hidden="1" x14ac:dyDescent="0.25">
      <c r="B152" s="665" t="str">
        <f>B129</f>
        <v>Series A</v>
      </c>
      <c r="C152" s="662">
        <f ca="1">IF(C151*F152&gt;=H152,H152,C151*F152)</f>
        <v>0</v>
      </c>
      <c r="F152" s="882">
        <f ca="1">G152/G174</f>
        <v>0.16005121638924455</v>
      </c>
      <c r="G152" s="883">
        <f ca="1">IF(C151*J152/J174&gt;=C129+H152,0,J152)</f>
        <v>5000000</v>
      </c>
      <c r="H152" s="884">
        <f>($F$48-$F$47)*SUM($F$29:$F$37)</f>
        <v>5000000</v>
      </c>
      <c r="J152" s="885">
        <f>$F$51*SUM($F$10:$F$18)</f>
        <v>5000000</v>
      </c>
      <c r="K152" s="886">
        <f>J152/J174</f>
        <v>0.16005121638924455</v>
      </c>
      <c r="N152" s="665" t="str">
        <f>N129</f>
        <v>Series A</v>
      </c>
      <c r="O152" s="662">
        <f ca="1">IF(O151*R152&gt;=T152,T152,O151*R152)</f>
        <v>0</v>
      </c>
      <c r="R152" s="882">
        <f ca="1">S152/S174</f>
        <v>0.16005121638924455</v>
      </c>
      <c r="S152" s="883">
        <f ca="1">IF(O151*V152/V174&gt;=O129+T152,0,V152)</f>
        <v>5000000</v>
      </c>
      <c r="T152" s="884">
        <f>($F$48-$F$47)*SUM($F$29:$F$37)</f>
        <v>5000000</v>
      </c>
      <c r="U152" s="663"/>
      <c r="V152" s="885">
        <f>$F$51*SUM($F$10:$F$18)</f>
        <v>5000000</v>
      </c>
      <c r="W152" s="886">
        <f>V152/V174</f>
        <v>0.16005121638924455</v>
      </c>
      <c r="Z152" s="665" t="str">
        <f>Z129</f>
        <v>Series A</v>
      </c>
      <c r="AA152" s="662">
        <f ca="1">IF(AA151*AD152&gt;=AF152,AF152,AA151*AD152)</f>
        <v>0</v>
      </c>
      <c r="AB152" s="663"/>
      <c r="AC152" s="663"/>
      <c r="AD152" s="882">
        <f ca="1">AE152/AE174</f>
        <v>0.16005121638924455</v>
      </c>
      <c r="AE152" s="883">
        <f ca="1">IF(AA151*AH152/AH174&gt;=AA129+AF152,0,AH152)</f>
        <v>5000000</v>
      </c>
      <c r="AF152" s="884">
        <f>($F$48-$F$47)*SUM($F$29:$F$37)</f>
        <v>5000000</v>
      </c>
      <c r="AG152" s="663"/>
      <c r="AH152" s="885">
        <f>$F$51*SUM($F$10:$F$18)</f>
        <v>5000000</v>
      </c>
      <c r="AI152" s="886">
        <f>AH152/AH174</f>
        <v>0.16005121638924455</v>
      </c>
      <c r="AL152" s="665" t="str">
        <f>AL129</f>
        <v>Series A</v>
      </c>
      <c r="AM152" s="662">
        <f ca="1">IF(AM151*AP152&gt;=AR152,AR152,AM151*AP152)</f>
        <v>0</v>
      </c>
      <c r="AN152" s="663"/>
      <c r="AP152" s="882">
        <f ca="1">AQ152/AQ174</f>
        <v>0.16005121638924455</v>
      </c>
      <c r="AQ152" s="883">
        <f ca="1">IF(AM151*AT152/AT174&gt;=AM129+AR152,0,AT152)</f>
        <v>5000000</v>
      </c>
      <c r="AR152" s="884">
        <f>($F$48-$F$47)*SUM($F$29:$F$37)</f>
        <v>5000000</v>
      </c>
      <c r="AT152" s="885">
        <f>$F$51*SUM($F$10:$F$18)</f>
        <v>5000000</v>
      </c>
      <c r="AU152" s="886">
        <f>AT152/AT174</f>
        <v>0.16005121638924455</v>
      </c>
      <c r="AX152" s="665" t="str">
        <f>AX129</f>
        <v>Series A</v>
      </c>
      <c r="AY152" s="662">
        <f ca="1">IF(AY151*BB152&gt;=BD152,BD152,AY151*BB152)</f>
        <v>0</v>
      </c>
      <c r="BB152" s="882">
        <f ca="1">BC152/BC174</f>
        <v>0.16005121638924455</v>
      </c>
      <c r="BC152" s="883">
        <f ca="1">IF(AY151*BF152/BF174&gt;=AY129+BD152,0,BF152)</f>
        <v>5000000</v>
      </c>
      <c r="BD152" s="884">
        <f>($F$48-$F$47)*SUM($F$29:$F$37)</f>
        <v>5000000</v>
      </c>
      <c r="BF152" s="885">
        <f>$F$51*SUM($F$10:$F$18)</f>
        <v>5000000</v>
      </c>
      <c r="BG152" s="886">
        <f>BF152/BF174</f>
        <v>0.16005121638924455</v>
      </c>
      <c r="BJ152" s="665" t="str">
        <f>BJ129</f>
        <v>Series A</v>
      </c>
      <c r="BK152" s="662">
        <f ca="1">IF(BK151*BN152&gt;=BP152,BP152,BK151*BN152)</f>
        <v>0</v>
      </c>
      <c r="BN152" s="882">
        <f ca="1">BO152/BO174</f>
        <v>0.16005121638924455</v>
      </c>
      <c r="BO152" s="883">
        <f ca="1">IF(BK151*BR152/BR174&gt;=BK129+BP152,0,BR152)</f>
        <v>5000000</v>
      </c>
      <c r="BP152" s="884">
        <f>($F$48-$F$47)*SUM($F$29:$F$37)</f>
        <v>5000000</v>
      </c>
      <c r="BR152" s="885">
        <f>$F$51*SUM($F$10:$F$18)</f>
        <v>5000000</v>
      </c>
      <c r="BS152" s="886">
        <f>BR152/BR174</f>
        <v>0.16005121638924455</v>
      </c>
      <c r="BV152" s="665" t="str">
        <f>BV129</f>
        <v>Series A</v>
      </c>
      <c r="BW152" s="662">
        <f ca="1">IF(BW151*BZ152&gt;=CB152,CB152,BW151*BZ152)</f>
        <v>0</v>
      </c>
      <c r="BZ152" s="882">
        <f ca="1">CA152/CA174</f>
        <v>0.16005121638924455</v>
      </c>
      <c r="CA152" s="883">
        <f ca="1">IF(BW151*CD152/CD174&gt;=BW129+CB152,0,CD152)</f>
        <v>5000000</v>
      </c>
      <c r="CB152" s="884">
        <f>($F$48-$F$47)*SUM($F$29:$F$37)</f>
        <v>5000000</v>
      </c>
      <c r="CD152" s="885">
        <f>$F$51*SUM($F$10:$F$18)</f>
        <v>5000000</v>
      </c>
      <c r="CE152" s="886">
        <f>CD152/CD174</f>
        <v>0.16005121638924455</v>
      </c>
      <c r="CH152" s="665" t="str">
        <f>CH129</f>
        <v>Series A</v>
      </c>
      <c r="CI152" s="662">
        <f ca="1">IF(CI151*CL152&gt;=CN152,CN152,CI151*CL152)</f>
        <v>0</v>
      </c>
      <c r="CL152" s="882">
        <f ca="1">CM152/CM174</f>
        <v>0.16005121638924455</v>
      </c>
      <c r="CM152" s="883">
        <f ca="1">IF(CI151*CP152/CP174&gt;=CI129+CN152,0,CP152)</f>
        <v>5000000</v>
      </c>
      <c r="CN152" s="884">
        <f>($F$48-$F$47)*SUM($F$29:$F$37)</f>
        <v>5000000</v>
      </c>
      <c r="CP152" s="885">
        <f>$F$51*SUM($F$10:$F$18)</f>
        <v>5000000</v>
      </c>
      <c r="CQ152" s="886">
        <f>CP152/CP174</f>
        <v>0.16005121638924455</v>
      </c>
      <c r="CT152" s="665" t="str">
        <f>CT129</f>
        <v>Series A</v>
      </c>
      <c r="CU152" s="662">
        <f ca="1">IF(CU151*CX152&gt;=CZ152,CZ152,CU151*CX152)</f>
        <v>0</v>
      </c>
      <c r="CX152" s="882">
        <f ca="1">CY152/CY174</f>
        <v>0.16005121638924455</v>
      </c>
      <c r="CY152" s="883">
        <f ca="1">IF(CU151*DB152/DB174&gt;=CU129+CZ152,0,DB152)</f>
        <v>5000000</v>
      </c>
      <c r="CZ152" s="884">
        <f>($F$48-$F$47)*SUM($F$29:$F$37)</f>
        <v>5000000</v>
      </c>
      <c r="DB152" s="885">
        <f>$F$51*SUM($F$10:$F$18)</f>
        <v>5000000</v>
      </c>
      <c r="DC152" s="886">
        <f>DB152/DB174</f>
        <v>0.16005121638924455</v>
      </c>
      <c r="DF152" s="665" t="str">
        <f>DF129</f>
        <v>Series A</v>
      </c>
      <c r="DG152" s="662">
        <f ca="1">IF(DG151*DJ152&gt;=DL152,DL152,DG151*DJ152)</f>
        <v>0</v>
      </c>
      <c r="DJ152" s="882">
        <f ca="1">DK152/DK174</f>
        <v>0.16005121638924455</v>
      </c>
      <c r="DK152" s="883">
        <f ca="1">IF(DG151*DN152/DN174&gt;=DG129+DL152,0,DN152)</f>
        <v>5000000</v>
      </c>
      <c r="DL152" s="884">
        <f>($F$48-$F$47)*SUM($F$29:$F$37)</f>
        <v>5000000</v>
      </c>
      <c r="DN152" s="885">
        <f>$F$51*SUM($F$10:$F$18)</f>
        <v>5000000</v>
      </c>
      <c r="DO152" s="886">
        <f>DN152/DN174</f>
        <v>0.16005121638924455</v>
      </c>
    </row>
    <row r="153" spans="2:119" hidden="1" x14ac:dyDescent="0.25">
      <c r="B153" s="665" t="str">
        <f t="shared" ref="B153:B161" si="36">B130</f>
        <v>Series B</v>
      </c>
      <c r="C153" s="662">
        <f ca="1">IF(C151*F153&gt;=H153,H153,C151*F153)</f>
        <v>0</v>
      </c>
      <c r="F153" s="882">
        <f ca="1">G153/G174</f>
        <v>0.16005121638924455</v>
      </c>
      <c r="G153" s="883">
        <f ca="1">IF(C151*J153/J174&gt;=C130+H153,0,J153)</f>
        <v>5000000</v>
      </c>
      <c r="H153" s="884">
        <f>($G$48-$G$47)*SUM($G$29:$G$37)</f>
        <v>10000000</v>
      </c>
      <c r="J153" s="885">
        <f>$G$51*SUM($G$10:$G$18)</f>
        <v>5000000</v>
      </c>
      <c r="K153" s="886">
        <f>J153/J174</f>
        <v>0.16005121638924455</v>
      </c>
      <c r="N153" s="665" t="str">
        <f t="shared" ref="N153:N161" si="37">N130</f>
        <v>Series B</v>
      </c>
      <c r="O153" s="662">
        <f ca="1">IF(O151*R153&gt;=T153,T153,O151*R153)</f>
        <v>0</v>
      </c>
      <c r="R153" s="882">
        <f ca="1">S153/S174</f>
        <v>0.16005121638924455</v>
      </c>
      <c r="S153" s="883">
        <f ca="1">IF(O151*V153/V174&gt;=O130+T153,0,V153)</f>
        <v>5000000</v>
      </c>
      <c r="T153" s="884">
        <f>($G$48-$G$47)*SUM($G$29:$G$37)</f>
        <v>10000000</v>
      </c>
      <c r="U153" s="663"/>
      <c r="V153" s="885">
        <f>$G$51*SUM($G$10:$G$18)</f>
        <v>5000000</v>
      </c>
      <c r="W153" s="886">
        <f>V153/V174</f>
        <v>0.16005121638924455</v>
      </c>
      <c r="Z153" s="665" t="str">
        <f t="shared" ref="Z153:Z161" si="38">Z130</f>
        <v>Series B</v>
      </c>
      <c r="AA153" s="662">
        <f ca="1">IF(AA151*AD153&gt;=AF153,AF153,AA151*AD153)</f>
        <v>0</v>
      </c>
      <c r="AB153" s="663"/>
      <c r="AC153" s="663"/>
      <c r="AD153" s="882">
        <f ca="1">AE153/AE174</f>
        <v>0.16005121638924455</v>
      </c>
      <c r="AE153" s="883">
        <f ca="1">IF(AA151*AH153/AH174&gt;=AA130+AF153,0,AH153)</f>
        <v>5000000</v>
      </c>
      <c r="AF153" s="884">
        <f>($G$48-$G$47)*SUM($G$29:$G$37)</f>
        <v>10000000</v>
      </c>
      <c r="AG153" s="663"/>
      <c r="AH153" s="885">
        <f>$G$51*SUM($G$10:$G$18)</f>
        <v>5000000</v>
      </c>
      <c r="AI153" s="886">
        <f>AH153/AH174</f>
        <v>0.16005121638924455</v>
      </c>
      <c r="AL153" s="665" t="str">
        <f t="shared" ref="AL153:AL161" si="39">AL130</f>
        <v>Series B</v>
      </c>
      <c r="AM153" s="662">
        <f ca="1">IF(AM151*AP153&gt;=AR153,AR153,AM151*AP153)</f>
        <v>0</v>
      </c>
      <c r="AN153" s="663"/>
      <c r="AP153" s="882">
        <f ca="1">AQ153/AQ174</f>
        <v>0.16005121638924455</v>
      </c>
      <c r="AQ153" s="883">
        <f ca="1">IF(AM151*AT153/AT174&gt;=AM130+AR153,0,AT153)</f>
        <v>5000000</v>
      </c>
      <c r="AR153" s="884">
        <f>($G$48-$G$47)*SUM($G$29:$G$37)</f>
        <v>10000000</v>
      </c>
      <c r="AT153" s="885">
        <f>$G$51*SUM($G$10:$G$18)</f>
        <v>5000000</v>
      </c>
      <c r="AU153" s="886">
        <f>AT153/AT174</f>
        <v>0.16005121638924455</v>
      </c>
      <c r="AX153" s="665" t="str">
        <f t="shared" ref="AX153:AX161" si="40">AX130</f>
        <v>Series B</v>
      </c>
      <c r="AY153" s="662">
        <f ca="1">IF(AY151*BB153&gt;=BD153,BD153,AY151*BB153)</f>
        <v>0</v>
      </c>
      <c r="BB153" s="882">
        <f ca="1">BC153/BC174</f>
        <v>0.16005121638924455</v>
      </c>
      <c r="BC153" s="883">
        <f ca="1">IF(AY151*BF153/BF174&gt;=AY130+BD153,0,BF153)</f>
        <v>5000000</v>
      </c>
      <c r="BD153" s="884">
        <f>($G$48-$G$47)*SUM($G$29:$G$37)</f>
        <v>10000000</v>
      </c>
      <c r="BF153" s="885">
        <f>$G$51*SUM($G$10:$G$18)</f>
        <v>5000000</v>
      </c>
      <c r="BG153" s="886">
        <f>BF153/BF174</f>
        <v>0.16005121638924455</v>
      </c>
      <c r="BJ153" s="665" t="str">
        <f t="shared" ref="BJ153:BJ161" si="41">BJ130</f>
        <v>Series B</v>
      </c>
      <c r="BK153" s="662">
        <f ca="1">IF(BK151*BN153&gt;=BP153,BP153,BK151*BN153)</f>
        <v>0</v>
      </c>
      <c r="BN153" s="882">
        <f ca="1">BO153/BO174</f>
        <v>0.16005121638924455</v>
      </c>
      <c r="BO153" s="883">
        <f ca="1">IF(BK151*BR153/BR174&gt;=BK130+BP153,0,BR153)</f>
        <v>5000000</v>
      </c>
      <c r="BP153" s="884">
        <f>($G$48-$G$47)*SUM($G$29:$G$37)</f>
        <v>10000000</v>
      </c>
      <c r="BR153" s="885">
        <f>$G$51*SUM($G$10:$G$18)</f>
        <v>5000000</v>
      </c>
      <c r="BS153" s="886">
        <f>BR153/BR174</f>
        <v>0.16005121638924455</v>
      </c>
      <c r="BV153" s="665" t="str">
        <f t="shared" ref="BV153:BV161" si="42">BV130</f>
        <v>Series B</v>
      </c>
      <c r="BW153" s="662">
        <f ca="1">IF(BW151*BZ153&gt;=CB153,CB153,BW151*BZ153)</f>
        <v>0</v>
      </c>
      <c r="BZ153" s="882">
        <f ca="1">CA153/CA174</f>
        <v>0.16005121638924455</v>
      </c>
      <c r="CA153" s="883">
        <f ca="1">IF(BW151*CD153/CD174&gt;=BW130+CB153,0,CD153)</f>
        <v>5000000</v>
      </c>
      <c r="CB153" s="884">
        <f>($G$48-$G$47)*SUM($G$29:$G$37)</f>
        <v>10000000</v>
      </c>
      <c r="CD153" s="885">
        <f>$G$51*SUM($G$10:$G$18)</f>
        <v>5000000</v>
      </c>
      <c r="CE153" s="886">
        <f>CD153/CD174</f>
        <v>0.16005121638924455</v>
      </c>
      <c r="CH153" s="665" t="str">
        <f t="shared" ref="CH153:CH161" si="43">CH130</f>
        <v>Series B</v>
      </c>
      <c r="CI153" s="662">
        <f ca="1">IF(CI151*CL153&gt;=CN153,CN153,CI151*CL153)</f>
        <v>0</v>
      </c>
      <c r="CL153" s="882">
        <f ca="1">CM153/CM174</f>
        <v>0.16005121638924455</v>
      </c>
      <c r="CM153" s="883">
        <f ca="1">IF(CI151*CP153/CP174&gt;=CI130+CN153,0,CP153)</f>
        <v>5000000</v>
      </c>
      <c r="CN153" s="884">
        <f>($G$48-$G$47)*SUM($G$29:$G$37)</f>
        <v>10000000</v>
      </c>
      <c r="CP153" s="885">
        <f>$G$51*SUM($G$10:$G$18)</f>
        <v>5000000</v>
      </c>
      <c r="CQ153" s="886">
        <f>CP153/CP174</f>
        <v>0.16005121638924455</v>
      </c>
      <c r="CT153" s="665" t="str">
        <f t="shared" ref="CT153:CT161" si="44">CT130</f>
        <v>Series B</v>
      </c>
      <c r="CU153" s="662">
        <f ca="1">IF(CU151*CX153&gt;=CZ153,CZ153,CU151*CX153)</f>
        <v>0</v>
      </c>
      <c r="CX153" s="882">
        <f ca="1">CY153/CY174</f>
        <v>0.16005121638924455</v>
      </c>
      <c r="CY153" s="883">
        <f ca="1">IF(CU151*DB153/DB174&gt;=CU130+CZ153,0,DB153)</f>
        <v>5000000</v>
      </c>
      <c r="CZ153" s="884">
        <f>($G$48-$G$47)*SUM($G$29:$G$37)</f>
        <v>10000000</v>
      </c>
      <c r="DB153" s="885">
        <f>$G$51*SUM($G$10:$G$18)</f>
        <v>5000000</v>
      </c>
      <c r="DC153" s="886">
        <f>DB153/DB174</f>
        <v>0.16005121638924455</v>
      </c>
      <c r="DF153" s="665" t="str">
        <f t="shared" ref="DF153:DF161" si="45">DF130</f>
        <v>Series B</v>
      </c>
      <c r="DG153" s="662">
        <f ca="1">IF(DG151*DJ153&gt;=DL153,DL153,DG151*DJ153)</f>
        <v>0</v>
      </c>
      <c r="DJ153" s="882">
        <f ca="1">DK153/DK174</f>
        <v>0.16005121638924455</v>
      </c>
      <c r="DK153" s="883">
        <f ca="1">IF(DG151*DN153/DN174&gt;=DG130+DL153,0,DN153)</f>
        <v>5000000</v>
      </c>
      <c r="DL153" s="884">
        <f>($G$48-$G$47)*SUM($G$29:$G$37)</f>
        <v>10000000</v>
      </c>
      <c r="DN153" s="885">
        <f>$G$51*SUM($G$10:$G$18)</f>
        <v>5000000</v>
      </c>
      <c r="DO153" s="886">
        <f>DN153/DN174</f>
        <v>0.16005121638924455</v>
      </c>
    </row>
    <row r="154" spans="2:119" hidden="1" x14ac:dyDescent="0.25">
      <c r="B154" s="665" t="str">
        <f t="shared" si="36"/>
        <v>Series C</v>
      </c>
      <c r="C154" s="662">
        <f ca="1">IF(C151*F154&gt;=H154,H154,C151*F154)</f>
        <v>0</v>
      </c>
      <c r="F154" s="882">
        <f ca="1">G154/G174</f>
        <v>0.19206145966709348</v>
      </c>
      <c r="G154" s="883">
        <f ca="1">IF(C151*J154/J174&gt;=C131+H154,0,J154)</f>
        <v>6000000</v>
      </c>
      <c r="H154" s="884">
        <f>($H$48-$H$47)*SUM($H$29:$H$37)</f>
        <v>15000000</v>
      </c>
      <c r="J154" s="885">
        <f>$H$51*SUM($H$10:$H$18)</f>
        <v>6000000</v>
      </c>
      <c r="K154" s="886">
        <f>J154/J174</f>
        <v>0.19206145966709348</v>
      </c>
      <c r="N154" s="665" t="str">
        <f t="shared" si="37"/>
        <v>Series C</v>
      </c>
      <c r="O154" s="662">
        <f ca="1">IF(O151*R154&gt;=T154,T154,O151*R154)</f>
        <v>0</v>
      </c>
      <c r="R154" s="882">
        <f ca="1">S154/S174</f>
        <v>0.19206145966709348</v>
      </c>
      <c r="S154" s="883">
        <f ca="1">IF(O151*V154/V174&gt;=O131+T154,0,V154)</f>
        <v>6000000</v>
      </c>
      <c r="T154" s="884">
        <f>($H$48-$H$47)*SUM($H$29:$H$37)</f>
        <v>15000000</v>
      </c>
      <c r="U154" s="663"/>
      <c r="V154" s="885">
        <f>$H$51*SUM($H$10:$H$18)</f>
        <v>6000000</v>
      </c>
      <c r="W154" s="886">
        <f>V154/V174</f>
        <v>0.19206145966709348</v>
      </c>
      <c r="Z154" s="665" t="str">
        <f t="shared" si="38"/>
        <v>Series C</v>
      </c>
      <c r="AA154" s="662">
        <f ca="1">IF(AA151*AD154&gt;=AF154,AF154,AA151*AD154)</f>
        <v>0</v>
      </c>
      <c r="AB154" s="663"/>
      <c r="AC154" s="663"/>
      <c r="AD154" s="882">
        <f ca="1">AE154/AE174</f>
        <v>0.19206145966709348</v>
      </c>
      <c r="AE154" s="883">
        <f ca="1">IF(AA151*AH154/AH174&gt;=AA131+AF154,0,AH154)</f>
        <v>6000000</v>
      </c>
      <c r="AF154" s="884">
        <f>($H$48-$H$47)*SUM($H$29:$H$37)</f>
        <v>15000000</v>
      </c>
      <c r="AG154" s="663"/>
      <c r="AH154" s="885">
        <f>$H$51*SUM($H$10:$H$18)</f>
        <v>6000000</v>
      </c>
      <c r="AI154" s="886">
        <f>AH154/AH174</f>
        <v>0.19206145966709348</v>
      </c>
      <c r="AL154" s="665" t="str">
        <f t="shared" si="39"/>
        <v>Series C</v>
      </c>
      <c r="AM154" s="662">
        <f ca="1">IF(AM151*AP154&gt;=AR154,AR154,AM151*AP154)</f>
        <v>0</v>
      </c>
      <c r="AN154" s="663"/>
      <c r="AP154" s="882">
        <f ca="1">AQ154/AQ174</f>
        <v>0.19206145966709348</v>
      </c>
      <c r="AQ154" s="883">
        <f ca="1">IF(AM151*AT154/AT174&gt;=AM131+AR154,0,AT154)</f>
        <v>6000000</v>
      </c>
      <c r="AR154" s="884">
        <f>($H$48-$H$47)*SUM($H$29:$H$37)</f>
        <v>15000000</v>
      </c>
      <c r="AT154" s="885">
        <f>$H$51*SUM($H$10:$H$18)</f>
        <v>6000000</v>
      </c>
      <c r="AU154" s="886">
        <f>AT154/AT174</f>
        <v>0.19206145966709348</v>
      </c>
      <c r="AX154" s="665" t="str">
        <f t="shared" si="40"/>
        <v>Series C</v>
      </c>
      <c r="AY154" s="662">
        <f ca="1">IF(AY151*BB154&gt;=BD154,BD154,AY151*BB154)</f>
        <v>0</v>
      </c>
      <c r="BB154" s="882">
        <f ca="1">BC154/BC174</f>
        <v>0.19206145966709348</v>
      </c>
      <c r="BC154" s="883">
        <f ca="1">IF(AY151*BF154/BF174&gt;=AY131+BD154,0,BF154)</f>
        <v>6000000</v>
      </c>
      <c r="BD154" s="884">
        <f>($H$48-$H$47)*SUM($H$29:$H$37)</f>
        <v>15000000</v>
      </c>
      <c r="BF154" s="885">
        <f>$H$51*SUM($H$10:$H$18)</f>
        <v>6000000</v>
      </c>
      <c r="BG154" s="886">
        <f>BF154/BF174</f>
        <v>0.19206145966709348</v>
      </c>
      <c r="BJ154" s="665" t="str">
        <f t="shared" si="41"/>
        <v>Series C</v>
      </c>
      <c r="BK154" s="662">
        <f ca="1">IF(BK151*BN154&gt;=BP154,BP154,BK151*BN154)</f>
        <v>0</v>
      </c>
      <c r="BN154" s="882">
        <f ca="1">BO154/BO174</f>
        <v>0.19206145966709348</v>
      </c>
      <c r="BO154" s="883">
        <f ca="1">IF(BK151*BR154/BR174&gt;=BK131+BP154,0,BR154)</f>
        <v>6000000</v>
      </c>
      <c r="BP154" s="884">
        <f>($H$48-$H$47)*SUM($H$29:$H$37)</f>
        <v>15000000</v>
      </c>
      <c r="BR154" s="885">
        <f>$H$51*SUM($H$10:$H$18)</f>
        <v>6000000</v>
      </c>
      <c r="BS154" s="886">
        <f>BR154/BR174</f>
        <v>0.19206145966709348</v>
      </c>
      <c r="BV154" s="665" t="str">
        <f t="shared" si="42"/>
        <v>Series C</v>
      </c>
      <c r="BW154" s="662">
        <f ca="1">IF(BW151*BZ154&gt;=CB154,CB154,BW151*BZ154)</f>
        <v>0</v>
      </c>
      <c r="BZ154" s="882">
        <f ca="1">CA154/CA174</f>
        <v>0.19206145966709348</v>
      </c>
      <c r="CA154" s="883">
        <f ca="1">IF(BW151*CD154/CD174&gt;=BW131+CB154,0,CD154)</f>
        <v>6000000</v>
      </c>
      <c r="CB154" s="884">
        <f>($H$48-$H$47)*SUM($H$29:$H$37)</f>
        <v>15000000</v>
      </c>
      <c r="CD154" s="885">
        <f>$H$51*SUM($H$10:$H$18)</f>
        <v>6000000</v>
      </c>
      <c r="CE154" s="886">
        <f>CD154/CD174</f>
        <v>0.19206145966709348</v>
      </c>
      <c r="CH154" s="665" t="str">
        <f t="shared" si="43"/>
        <v>Series C</v>
      </c>
      <c r="CI154" s="662">
        <f ca="1">IF(CI151*CL154&gt;=CN154,CN154,CI151*CL154)</f>
        <v>0</v>
      </c>
      <c r="CL154" s="882">
        <f ca="1">CM154/CM174</f>
        <v>0.19206145966709348</v>
      </c>
      <c r="CM154" s="883">
        <f ca="1">IF(CI151*CP154/CP174&gt;=CI131+CN154,0,CP154)</f>
        <v>6000000</v>
      </c>
      <c r="CN154" s="884">
        <f>($H$48-$H$47)*SUM($H$29:$H$37)</f>
        <v>15000000</v>
      </c>
      <c r="CP154" s="885">
        <f>$H$51*SUM($H$10:$H$18)</f>
        <v>6000000</v>
      </c>
      <c r="CQ154" s="886">
        <f>CP154/CP174</f>
        <v>0.19206145966709348</v>
      </c>
      <c r="CT154" s="665" t="str">
        <f t="shared" si="44"/>
        <v>Series C</v>
      </c>
      <c r="CU154" s="662">
        <f ca="1">IF(CU151*CX154&gt;=CZ154,CZ154,CU151*CX154)</f>
        <v>0</v>
      </c>
      <c r="CX154" s="882">
        <f ca="1">CY154/CY174</f>
        <v>0.19206145966709348</v>
      </c>
      <c r="CY154" s="883">
        <f ca="1">IF(CU151*DB154/DB174&gt;=CU131+CZ154,0,DB154)</f>
        <v>6000000</v>
      </c>
      <c r="CZ154" s="884">
        <f>($H$48-$H$47)*SUM($H$29:$H$37)</f>
        <v>15000000</v>
      </c>
      <c r="DB154" s="885">
        <f>$H$51*SUM($H$10:$H$18)</f>
        <v>6000000</v>
      </c>
      <c r="DC154" s="886">
        <f>DB154/DB174</f>
        <v>0.19206145966709348</v>
      </c>
      <c r="DF154" s="665" t="str">
        <f t="shared" si="45"/>
        <v>Series C</v>
      </c>
      <c r="DG154" s="662">
        <f ca="1">IF(DG151*DJ154&gt;=DL154,DL154,DG151*DJ154)</f>
        <v>0</v>
      </c>
      <c r="DJ154" s="882">
        <f ca="1">DK154/DK174</f>
        <v>0.19206145966709348</v>
      </c>
      <c r="DK154" s="883">
        <f ca="1">IF(DG151*DN154/DN174&gt;=DG131+DL154,0,DN154)</f>
        <v>6000000</v>
      </c>
      <c r="DL154" s="884">
        <f>($H$48-$H$47)*SUM($H$29:$H$37)</f>
        <v>15000000</v>
      </c>
      <c r="DN154" s="885">
        <f>$H$51*SUM($H$10:$H$18)</f>
        <v>6000000</v>
      </c>
      <c r="DO154" s="886">
        <f>DN154/DN174</f>
        <v>0.19206145966709348</v>
      </c>
    </row>
    <row r="155" spans="2:119" hidden="1" x14ac:dyDescent="0.25">
      <c r="B155" s="665" t="str">
        <f t="shared" si="36"/>
        <v>Series D</v>
      </c>
      <c r="C155" s="662">
        <f ca="1">IF(C151*F155&gt;=H155,H155,C151*F155)</f>
        <v>0</v>
      </c>
      <c r="F155" s="882">
        <f ca="1">G155/G174</f>
        <v>0.3201024327784891</v>
      </c>
      <c r="G155" s="883">
        <f ca="1">IF(C151*J155/J174&gt;=C132+H155,0,J155)</f>
        <v>10000000</v>
      </c>
      <c r="H155" s="884">
        <f>($I$48-$I$47)*SUM($I$29:$I$37)</f>
        <v>20000000</v>
      </c>
      <c r="J155" s="885">
        <f>$I$51*SUM($I$10:$I$18)</f>
        <v>10000000</v>
      </c>
      <c r="K155" s="886">
        <f>J155/J174</f>
        <v>0.3201024327784891</v>
      </c>
      <c r="N155" s="665" t="str">
        <f t="shared" si="37"/>
        <v>Series D</v>
      </c>
      <c r="O155" s="662">
        <f ca="1">IF(O151*R155&gt;=T155,T155,O151*R155)</f>
        <v>0</v>
      </c>
      <c r="R155" s="882">
        <f ca="1">S155/S174</f>
        <v>0.3201024327784891</v>
      </c>
      <c r="S155" s="883">
        <f ca="1">IF(O151*V155/V174&gt;=O132+T155,0,V155)</f>
        <v>10000000</v>
      </c>
      <c r="T155" s="884">
        <f>($I$48-$I$47)*SUM($I$29:$I$37)</f>
        <v>20000000</v>
      </c>
      <c r="U155" s="663"/>
      <c r="V155" s="885">
        <f>$I$51*SUM($I$10:$I$18)</f>
        <v>10000000</v>
      </c>
      <c r="W155" s="886">
        <f>V155/V174</f>
        <v>0.3201024327784891</v>
      </c>
      <c r="Z155" s="665" t="str">
        <f t="shared" si="38"/>
        <v>Series D</v>
      </c>
      <c r="AA155" s="662">
        <f ca="1">IF(AA151*AD155&gt;=AF155,AF155,AA151*AD155)</f>
        <v>0</v>
      </c>
      <c r="AB155" s="663"/>
      <c r="AC155" s="663"/>
      <c r="AD155" s="882">
        <f ca="1">AE155/AE174</f>
        <v>0.3201024327784891</v>
      </c>
      <c r="AE155" s="883">
        <f ca="1">IF(AA151*AH155/AH174&gt;=AA132+AF155,0,AH155)</f>
        <v>10000000</v>
      </c>
      <c r="AF155" s="884">
        <f>($I$48-$I$47)*SUM($I$29:$I$37)</f>
        <v>20000000</v>
      </c>
      <c r="AG155" s="663"/>
      <c r="AH155" s="885">
        <f>$I$51*SUM($I$10:$I$18)</f>
        <v>10000000</v>
      </c>
      <c r="AI155" s="886">
        <f>AH155/AH174</f>
        <v>0.3201024327784891</v>
      </c>
      <c r="AL155" s="665" t="str">
        <f t="shared" si="39"/>
        <v>Series D</v>
      </c>
      <c r="AM155" s="662">
        <f ca="1">IF(AM151*AP155&gt;=AR155,AR155,AM151*AP155)</f>
        <v>0</v>
      </c>
      <c r="AN155" s="663"/>
      <c r="AP155" s="882">
        <f ca="1">AQ155/AQ174</f>
        <v>0.3201024327784891</v>
      </c>
      <c r="AQ155" s="883">
        <f ca="1">IF(AM151*AT155/AT174&gt;=AM132+AR155,0,AT155)</f>
        <v>10000000</v>
      </c>
      <c r="AR155" s="884">
        <f>($I$48-$I$47)*SUM($I$29:$I$37)</f>
        <v>20000000</v>
      </c>
      <c r="AT155" s="885">
        <f>$I$51*SUM($I$10:$I$18)</f>
        <v>10000000</v>
      </c>
      <c r="AU155" s="886">
        <f>AT155/AT174</f>
        <v>0.3201024327784891</v>
      </c>
      <c r="AX155" s="665" t="str">
        <f t="shared" si="40"/>
        <v>Series D</v>
      </c>
      <c r="AY155" s="662">
        <f ca="1">IF(AY151*BB155&gt;=BD155,BD155,AY151*BB155)</f>
        <v>0</v>
      </c>
      <c r="BB155" s="882">
        <f ca="1">BC155/BC174</f>
        <v>0.3201024327784891</v>
      </c>
      <c r="BC155" s="883">
        <f ca="1">IF(AY151*BF155/BF174&gt;=AY132+BD155,0,BF155)</f>
        <v>10000000</v>
      </c>
      <c r="BD155" s="884">
        <f>($I$48-$I$47)*SUM($I$29:$I$37)</f>
        <v>20000000</v>
      </c>
      <c r="BF155" s="885">
        <f>$I$51*SUM($I$10:$I$18)</f>
        <v>10000000</v>
      </c>
      <c r="BG155" s="886">
        <f>BF155/BF174</f>
        <v>0.3201024327784891</v>
      </c>
      <c r="BJ155" s="665" t="str">
        <f t="shared" si="41"/>
        <v>Series D</v>
      </c>
      <c r="BK155" s="662">
        <f ca="1">IF(BK151*BN155&gt;=BP155,BP155,BK151*BN155)</f>
        <v>0</v>
      </c>
      <c r="BN155" s="882">
        <f ca="1">BO155/BO174</f>
        <v>0.3201024327784891</v>
      </c>
      <c r="BO155" s="883">
        <f ca="1">IF(BK151*BR155/BR174&gt;=BK132+BP155,0,BR155)</f>
        <v>10000000</v>
      </c>
      <c r="BP155" s="884">
        <f>($I$48-$I$47)*SUM($I$29:$I$37)</f>
        <v>20000000</v>
      </c>
      <c r="BR155" s="885">
        <f>$I$51*SUM($I$10:$I$18)</f>
        <v>10000000</v>
      </c>
      <c r="BS155" s="886">
        <f>BR155/BR174</f>
        <v>0.3201024327784891</v>
      </c>
      <c r="BV155" s="665" t="str">
        <f t="shared" si="42"/>
        <v>Series D</v>
      </c>
      <c r="BW155" s="662">
        <f ca="1">IF(BW151*BZ155&gt;=CB155,CB155,BW151*BZ155)</f>
        <v>0</v>
      </c>
      <c r="BZ155" s="882">
        <f ca="1">CA155/CA174</f>
        <v>0.3201024327784891</v>
      </c>
      <c r="CA155" s="883">
        <f ca="1">IF(BW151*CD155/CD174&gt;=BW132+CB155,0,CD155)</f>
        <v>10000000</v>
      </c>
      <c r="CB155" s="884">
        <f>($I$48-$I$47)*SUM($I$29:$I$37)</f>
        <v>20000000</v>
      </c>
      <c r="CD155" s="885">
        <f>$I$51*SUM($I$10:$I$18)</f>
        <v>10000000</v>
      </c>
      <c r="CE155" s="886">
        <f>CD155/CD174</f>
        <v>0.3201024327784891</v>
      </c>
      <c r="CH155" s="665" t="str">
        <f t="shared" si="43"/>
        <v>Series D</v>
      </c>
      <c r="CI155" s="662">
        <f ca="1">IF(CI151*CL155&gt;=CN155,CN155,CI151*CL155)</f>
        <v>0</v>
      </c>
      <c r="CL155" s="882">
        <f ca="1">CM155/CM174</f>
        <v>0.3201024327784891</v>
      </c>
      <c r="CM155" s="883">
        <f ca="1">IF(CI151*CP155/CP174&gt;=CI132+CN155,0,CP155)</f>
        <v>10000000</v>
      </c>
      <c r="CN155" s="884">
        <f>($I$48-$I$47)*SUM($I$29:$I$37)</f>
        <v>20000000</v>
      </c>
      <c r="CP155" s="885">
        <f>$I$51*SUM($I$10:$I$18)</f>
        <v>10000000</v>
      </c>
      <c r="CQ155" s="886">
        <f>CP155/CP174</f>
        <v>0.3201024327784891</v>
      </c>
      <c r="CT155" s="665" t="str">
        <f t="shared" si="44"/>
        <v>Series D</v>
      </c>
      <c r="CU155" s="662">
        <f ca="1">IF(CU151*CX155&gt;=CZ155,CZ155,CU151*CX155)</f>
        <v>0</v>
      </c>
      <c r="CX155" s="882">
        <f ca="1">CY155/CY174</f>
        <v>0.3201024327784891</v>
      </c>
      <c r="CY155" s="883">
        <f ca="1">IF(CU151*DB155/DB174&gt;=CU132+CZ155,0,DB155)</f>
        <v>10000000</v>
      </c>
      <c r="CZ155" s="884">
        <f>($I$48-$I$47)*SUM($I$29:$I$37)</f>
        <v>20000000</v>
      </c>
      <c r="DB155" s="885">
        <f>$I$51*SUM($I$10:$I$18)</f>
        <v>10000000</v>
      </c>
      <c r="DC155" s="886">
        <f>DB155/DB174</f>
        <v>0.3201024327784891</v>
      </c>
      <c r="DF155" s="665" t="str">
        <f t="shared" si="45"/>
        <v>Series D</v>
      </c>
      <c r="DG155" s="662">
        <f ca="1">IF(DG151*DJ155&gt;=DL155,DL155,DG151*DJ155)</f>
        <v>0</v>
      </c>
      <c r="DJ155" s="882">
        <f ca="1">DK155/DK174</f>
        <v>0.3201024327784891</v>
      </c>
      <c r="DK155" s="883">
        <f ca="1">IF(DG151*DN155/DN174&gt;=DG132+DL155,0,DN155)</f>
        <v>10000000</v>
      </c>
      <c r="DL155" s="884">
        <f>($I$48-$I$47)*SUM($I$29:$I$37)</f>
        <v>20000000</v>
      </c>
      <c r="DN155" s="885">
        <f>$I$51*SUM($I$10:$I$18)</f>
        <v>10000000</v>
      </c>
      <c r="DO155" s="886">
        <f>DN155/DN174</f>
        <v>0.3201024327784891</v>
      </c>
    </row>
    <row r="156" spans="2:119" hidden="1" x14ac:dyDescent="0.25">
      <c r="B156" s="665" t="str">
        <f t="shared" si="36"/>
        <v>-</v>
      </c>
      <c r="C156" s="662">
        <f ca="1">IF(C151*F156&gt;=H156,H156,C151*F156)</f>
        <v>0</v>
      </c>
      <c r="F156" s="882">
        <f ca="1">G156/G174</f>
        <v>0</v>
      </c>
      <c r="G156" s="883">
        <f ca="1">IF(C151*J156/J174&gt;=C133+H156,0,J156)</f>
        <v>0</v>
      </c>
      <c r="H156" s="884">
        <f>($J$48-$J$47)*SUM($J$29:$J$37)</f>
        <v>0</v>
      </c>
      <c r="J156" s="885">
        <f>$J$51*SUM($J$10:$J$18)</f>
        <v>0</v>
      </c>
      <c r="K156" s="886">
        <f>J156/J174</f>
        <v>0</v>
      </c>
      <c r="N156" s="665" t="str">
        <f t="shared" si="37"/>
        <v>-</v>
      </c>
      <c r="O156" s="662">
        <f ca="1">IF(O151*R156&gt;=T156,T156,O151*R156)</f>
        <v>0</v>
      </c>
      <c r="R156" s="882">
        <f ca="1">S156/S174</f>
        <v>0</v>
      </c>
      <c r="S156" s="883">
        <f ca="1">IF(O151*V156/V174&gt;=O133+T156,0,V156)</f>
        <v>0</v>
      </c>
      <c r="T156" s="884">
        <f>($J$48-$J$47)*SUM($J$29:$J$37)</f>
        <v>0</v>
      </c>
      <c r="U156" s="663"/>
      <c r="V156" s="885">
        <f>$J$51*SUM($J$10:$J$18)</f>
        <v>0</v>
      </c>
      <c r="W156" s="886">
        <f>V156/V174</f>
        <v>0</v>
      </c>
      <c r="Z156" s="665" t="str">
        <f t="shared" si="38"/>
        <v>-</v>
      </c>
      <c r="AA156" s="662">
        <f ca="1">IF(AA151*AD156&gt;=AF156,AF156,AA151*AD156)</f>
        <v>0</v>
      </c>
      <c r="AB156" s="663"/>
      <c r="AC156" s="663"/>
      <c r="AD156" s="882">
        <f ca="1">AE156/AE174</f>
        <v>0</v>
      </c>
      <c r="AE156" s="883">
        <f ca="1">IF(AA151*AH156/AH174&gt;=AA133+AF156,0,AH156)</f>
        <v>0</v>
      </c>
      <c r="AF156" s="884">
        <f>($J$48-$J$47)*SUM($J$29:$J$37)</f>
        <v>0</v>
      </c>
      <c r="AG156" s="663"/>
      <c r="AH156" s="885">
        <f>$J$51*SUM($J$10:$J$18)</f>
        <v>0</v>
      </c>
      <c r="AI156" s="886">
        <f>AH156/AH174</f>
        <v>0</v>
      </c>
      <c r="AL156" s="665" t="str">
        <f t="shared" si="39"/>
        <v>-</v>
      </c>
      <c r="AM156" s="662">
        <f ca="1">IF(AM151*AP156&gt;=AR156,AR156,AM151*AP156)</f>
        <v>0</v>
      </c>
      <c r="AN156" s="663"/>
      <c r="AP156" s="882">
        <f ca="1">AQ156/AQ174</f>
        <v>0</v>
      </c>
      <c r="AQ156" s="883">
        <f ca="1">IF(AM151*AT156/AT174&gt;=AM133+AR156,0,AT156)</f>
        <v>0</v>
      </c>
      <c r="AR156" s="884">
        <f>($J$48-$J$47)*SUM($J$29:$J$37)</f>
        <v>0</v>
      </c>
      <c r="AT156" s="885">
        <f>$J$51*SUM($J$10:$J$18)</f>
        <v>0</v>
      </c>
      <c r="AU156" s="886">
        <f>AT156/AT174</f>
        <v>0</v>
      </c>
      <c r="AX156" s="665" t="str">
        <f t="shared" si="40"/>
        <v>-</v>
      </c>
      <c r="AY156" s="662">
        <f ca="1">IF(AY151*BB156&gt;=BD156,BD156,AY151*BB156)</f>
        <v>0</v>
      </c>
      <c r="BB156" s="882">
        <f ca="1">BC156/BC174</f>
        <v>0</v>
      </c>
      <c r="BC156" s="883">
        <f ca="1">IF(AY151*BF156/BF174&gt;=AY133+BD156,0,BF156)</f>
        <v>0</v>
      </c>
      <c r="BD156" s="884">
        <f>($J$48-$J$47)*SUM($J$29:$J$37)</f>
        <v>0</v>
      </c>
      <c r="BF156" s="885">
        <f>$J$51*SUM($J$10:$J$18)</f>
        <v>0</v>
      </c>
      <c r="BG156" s="886">
        <f>BF156/BF174</f>
        <v>0</v>
      </c>
      <c r="BJ156" s="665" t="str">
        <f t="shared" si="41"/>
        <v>-</v>
      </c>
      <c r="BK156" s="662">
        <f ca="1">IF(BK151*BN156&gt;=BP156,BP156,BK151*BN156)</f>
        <v>0</v>
      </c>
      <c r="BN156" s="882">
        <f ca="1">BO156/BO174</f>
        <v>0</v>
      </c>
      <c r="BO156" s="883">
        <f ca="1">IF(BK151*BR156/BR174&gt;=BK133+BP156,0,BR156)</f>
        <v>0</v>
      </c>
      <c r="BP156" s="884">
        <f>($J$48-$J$47)*SUM($J$29:$J$37)</f>
        <v>0</v>
      </c>
      <c r="BR156" s="885">
        <f>$J$51*SUM($J$10:$J$18)</f>
        <v>0</v>
      </c>
      <c r="BS156" s="886">
        <f>BR156/BR174</f>
        <v>0</v>
      </c>
      <c r="BV156" s="665" t="str">
        <f t="shared" si="42"/>
        <v>-</v>
      </c>
      <c r="BW156" s="662">
        <f ca="1">IF(BW151*BZ156&gt;=CB156,CB156,BW151*BZ156)</f>
        <v>0</v>
      </c>
      <c r="BZ156" s="882">
        <f ca="1">CA156/CA174</f>
        <v>0</v>
      </c>
      <c r="CA156" s="883">
        <f ca="1">IF(BW151*CD156/CD174&gt;=BW133+CB156,0,CD156)</f>
        <v>0</v>
      </c>
      <c r="CB156" s="884">
        <f>($J$48-$J$47)*SUM($J$29:$J$37)</f>
        <v>0</v>
      </c>
      <c r="CD156" s="885">
        <f>$J$51*SUM($J$10:$J$18)</f>
        <v>0</v>
      </c>
      <c r="CE156" s="886">
        <f>CD156/CD174</f>
        <v>0</v>
      </c>
      <c r="CH156" s="665" t="str">
        <f t="shared" si="43"/>
        <v>-</v>
      </c>
      <c r="CI156" s="662">
        <f ca="1">IF(CI151*CL156&gt;=CN156,CN156,CI151*CL156)</f>
        <v>0</v>
      </c>
      <c r="CL156" s="882">
        <f ca="1">CM156/CM174</f>
        <v>0</v>
      </c>
      <c r="CM156" s="883">
        <f ca="1">IF(CI151*CP156/CP174&gt;=CI133+CN156,0,CP156)</f>
        <v>0</v>
      </c>
      <c r="CN156" s="884">
        <f>($J$48-$J$47)*SUM($J$29:$J$37)</f>
        <v>0</v>
      </c>
      <c r="CP156" s="885">
        <f>$J$51*SUM($J$10:$J$18)</f>
        <v>0</v>
      </c>
      <c r="CQ156" s="886">
        <f>CP156/CP174</f>
        <v>0</v>
      </c>
      <c r="CT156" s="665" t="str">
        <f t="shared" si="44"/>
        <v>-</v>
      </c>
      <c r="CU156" s="662">
        <f ca="1">IF(CU151*CX156&gt;=CZ156,CZ156,CU151*CX156)</f>
        <v>0</v>
      </c>
      <c r="CX156" s="882">
        <f ca="1">CY156/CY174</f>
        <v>0</v>
      </c>
      <c r="CY156" s="883">
        <f ca="1">IF(CU151*DB156/DB174&gt;=CU133+CZ156,0,DB156)</f>
        <v>0</v>
      </c>
      <c r="CZ156" s="884">
        <f>($J$48-$J$47)*SUM($J$29:$J$37)</f>
        <v>0</v>
      </c>
      <c r="DB156" s="885">
        <f>$J$51*SUM($J$10:$J$18)</f>
        <v>0</v>
      </c>
      <c r="DC156" s="886">
        <f>DB156/DB174</f>
        <v>0</v>
      </c>
      <c r="DF156" s="665" t="str">
        <f t="shared" si="45"/>
        <v>-</v>
      </c>
      <c r="DG156" s="662">
        <f ca="1">IF(DG151*DJ156&gt;=DL156,DL156,DG151*DJ156)</f>
        <v>0</v>
      </c>
      <c r="DJ156" s="882">
        <f ca="1">DK156/DK174</f>
        <v>0</v>
      </c>
      <c r="DK156" s="883">
        <f ca="1">IF(DG151*DN156/DN174&gt;=DG133+DL156,0,DN156)</f>
        <v>0</v>
      </c>
      <c r="DL156" s="884">
        <f>($J$48-$J$47)*SUM($J$29:$J$37)</f>
        <v>0</v>
      </c>
      <c r="DN156" s="885">
        <f>$J$51*SUM($J$10:$J$18)</f>
        <v>0</v>
      </c>
      <c r="DO156" s="886">
        <f>DN156/DN174</f>
        <v>0</v>
      </c>
    </row>
    <row r="157" spans="2:119" hidden="1" x14ac:dyDescent="0.25">
      <c r="B157" s="665" t="str">
        <f t="shared" si="36"/>
        <v>-</v>
      </c>
      <c r="C157" s="662">
        <f ca="1">IF(C151*F157&gt;=H157,H157,C151*F157)</f>
        <v>0</v>
      </c>
      <c r="F157" s="882">
        <f ca="1">G157/G174</f>
        <v>0</v>
      </c>
      <c r="G157" s="883">
        <f ca="1">IF(C151*J157/J174&gt;=C134+H157,0,J157)</f>
        <v>0</v>
      </c>
      <c r="H157" s="884">
        <f>($K$48-$K$47)*SUM($K$29:$K$37)</f>
        <v>0</v>
      </c>
      <c r="J157" s="885">
        <f>$K$51*SUM($K$10:$K$18)</f>
        <v>0</v>
      </c>
      <c r="K157" s="886">
        <f>J157/J174</f>
        <v>0</v>
      </c>
      <c r="N157" s="665" t="str">
        <f t="shared" si="37"/>
        <v>-</v>
      </c>
      <c r="O157" s="662">
        <f ca="1">IF(O151*R157&gt;=T157,T157,O151*R157)</f>
        <v>0</v>
      </c>
      <c r="R157" s="882">
        <f ca="1">S157/S174</f>
        <v>0</v>
      </c>
      <c r="S157" s="883">
        <f ca="1">IF(O151*V157/V174&gt;=O134+T157,0,V157)</f>
        <v>0</v>
      </c>
      <c r="T157" s="884">
        <f>($K$48-$K$47)*SUM($K$29:$K$37)</f>
        <v>0</v>
      </c>
      <c r="U157" s="663"/>
      <c r="V157" s="885">
        <f>$K$51*SUM($K$10:$K$18)</f>
        <v>0</v>
      </c>
      <c r="W157" s="886">
        <f>V157/V174</f>
        <v>0</v>
      </c>
      <c r="Z157" s="665" t="str">
        <f t="shared" si="38"/>
        <v>-</v>
      </c>
      <c r="AA157" s="662">
        <f ca="1">IF(AA151*AD157&gt;=AF157,AF157,AA151*AD157)</f>
        <v>0</v>
      </c>
      <c r="AB157" s="663"/>
      <c r="AC157" s="663"/>
      <c r="AD157" s="882">
        <f ca="1">AE157/AE174</f>
        <v>0</v>
      </c>
      <c r="AE157" s="883">
        <f ca="1">IF(AA151*AH157/AH174&gt;=AA134+AF157,0,AH157)</f>
        <v>0</v>
      </c>
      <c r="AF157" s="884">
        <f>($K$48-$K$47)*SUM($K$29:$K$37)</f>
        <v>0</v>
      </c>
      <c r="AG157" s="663"/>
      <c r="AH157" s="885">
        <f>$K$51*SUM($K$10:$K$18)</f>
        <v>0</v>
      </c>
      <c r="AI157" s="886">
        <f>AH157/AH174</f>
        <v>0</v>
      </c>
      <c r="AL157" s="665" t="str">
        <f t="shared" si="39"/>
        <v>-</v>
      </c>
      <c r="AM157" s="662">
        <f ca="1">IF(AM151*AP157&gt;=AR157,AR157,AM151*AP157)</f>
        <v>0</v>
      </c>
      <c r="AN157" s="663"/>
      <c r="AP157" s="882">
        <f ca="1">AQ157/AQ174</f>
        <v>0</v>
      </c>
      <c r="AQ157" s="883">
        <f ca="1">IF(AM151*AT157/AT174&gt;=AM134+AR157,0,AT157)</f>
        <v>0</v>
      </c>
      <c r="AR157" s="884">
        <f>($K$48-$K$47)*SUM($K$29:$K$37)</f>
        <v>0</v>
      </c>
      <c r="AT157" s="885">
        <f>$K$51*SUM($K$10:$K$18)</f>
        <v>0</v>
      </c>
      <c r="AU157" s="886">
        <f>AT157/AT174</f>
        <v>0</v>
      </c>
      <c r="AX157" s="665" t="str">
        <f t="shared" si="40"/>
        <v>-</v>
      </c>
      <c r="AY157" s="662">
        <f ca="1">IF(AY151*BB157&gt;=BD157,BD157,AY151*BB157)</f>
        <v>0</v>
      </c>
      <c r="BB157" s="882">
        <f ca="1">BC157/BC174</f>
        <v>0</v>
      </c>
      <c r="BC157" s="883">
        <f ca="1">IF(AY151*BF157/BF174&gt;=AY134+BD157,0,BF157)</f>
        <v>0</v>
      </c>
      <c r="BD157" s="884">
        <f>($K$48-$K$47)*SUM($K$29:$K$37)</f>
        <v>0</v>
      </c>
      <c r="BF157" s="885">
        <f>$K$51*SUM($K$10:$K$18)</f>
        <v>0</v>
      </c>
      <c r="BG157" s="886">
        <f>BF157/BF174</f>
        <v>0</v>
      </c>
      <c r="BJ157" s="665" t="str">
        <f t="shared" si="41"/>
        <v>-</v>
      </c>
      <c r="BK157" s="662">
        <f ca="1">IF(BK151*BN157&gt;=BP157,BP157,BK151*BN157)</f>
        <v>0</v>
      </c>
      <c r="BN157" s="882">
        <f ca="1">BO157/BO174</f>
        <v>0</v>
      </c>
      <c r="BO157" s="883">
        <f ca="1">IF(BK151*BR157/BR174&gt;=BK134+BP157,0,BR157)</f>
        <v>0</v>
      </c>
      <c r="BP157" s="884">
        <f>($K$48-$K$47)*SUM($K$29:$K$37)</f>
        <v>0</v>
      </c>
      <c r="BR157" s="885">
        <f>$K$51*SUM($K$10:$K$18)</f>
        <v>0</v>
      </c>
      <c r="BS157" s="886">
        <f>BR157/BR174</f>
        <v>0</v>
      </c>
      <c r="BV157" s="665" t="str">
        <f t="shared" si="42"/>
        <v>-</v>
      </c>
      <c r="BW157" s="662">
        <f ca="1">IF(BW151*BZ157&gt;=CB157,CB157,BW151*BZ157)</f>
        <v>0</v>
      </c>
      <c r="BZ157" s="882">
        <f ca="1">CA157/CA174</f>
        <v>0</v>
      </c>
      <c r="CA157" s="883">
        <f ca="1">IF(BW151*CD157/CD174&gt;=BW134+CB157,0,CD157)</f>
        <v>0</v>
      </c>
      <c r="CB157" s="884">
        <f>($K$48-$K$47)*SUM($K$29:$K$37)</f>
        <v>0</v>
      </c>
      <c r="CD157" s="885">
        <f>$K$51*SUM($K$10:$K$18)</f>
        <v>0</v>
      </c>
      <c r="CE157" s="886">
        <f>CD157/CD174</f>
        <v>0</v>
      </c>
      <c r="CH157" s="665" t="str">
        <f t="shared" si="43"/>
        <v>-</v>
      </c>
      <c r="CI157" s="662">
        <f ca="1">IF(CI151*CL157&gt;=CN157,CN157,CI151*CL157)</f>
        <v>0</v>
      </c>
      <c r="CL157" s="882">
        <f ca="1">CM157/CM174</f>
        <v>0</v>
      </c>
      <c r="CM157" s="883">
        <f ca="1">IF(CI151*CP157/CP174&gt;=CI134+CN157,0,CP157)</f>
        <v>0</v>
      </c>
      <c r="CN157" s="884">
        <f>($K$48-$K$47)*SUM($K$29:$K$37)</f>
        <v>0</v>
      </c>
      <c r="CP157" s="885">
        <f>$K$51*SUM($K$10:$K$18)</f>
        <v>0</v>
      </c>
      <c r="CQ157" s="886">
        <f>CP157/CP174</f>
        <v>0</v>
      </c>
      <c r="CT157" s="665" t="str">
        <f t="shared" si="44"/>
        <v>-</v>
      </c>
      <c r="CU157" s="662">
        <f ca="1">IF(CU151*CX157&gt;=CZ157,CZ157,CU151*CX157)</f>
        <v>0</v>
      </c>
      <c r="CX157" s="882">
        <f ca="1">CY157/CY174</f>
        <v>0</v>
      </c>
      <c r="CY157" s="883">
        <f ca="1">IF(CU151*DB157/DB174&gt;=CU134+CZ157,0,DB157)</f>
        <v>0</v>
      </c>
      <c r="CZ157" s="884">
        <f>($K$48-$K$47)*SUM($K$29:$K$37)</f>
        <v>0</v>
      </c>
      <c r="DB157" s="885">
        <f>$K$51*SUM($K$10:$K$18)</f>
        <v>0</v>
      </c>
      <c r="DC157" s="886">
        <f>DB157/DB174</f>
        <v>0</v>
      </c>
      <c r="DF157" s="665" t="str">
        <f t="shared" si="45"/>
        <v>-</v>
      </c>
      <c r="DG157" s="662">
        <f ca="1">IF(DG151*DJ157&gt;=DL157,DL157,DG151*DJ157)</f>
        <v>0</v>
      </c>
      <c r="DJ157" s="882">
        <f ca="1">DK157/DK174</f>
        <v>0</v>
      </c>
      <c r="DK157" s="883">
        <f ca="1">IF(DG151*DN157/DN174&gt;=DG134+DL157,0,DN157)</f>
        <v>0</v>
      </c>
      <c r="DL157" s="884">
        <f>($K$48-$K$47)*SUM($K$29:$K$37)</f>
        <v>0</v>
      </c>
      <c r="DN157" s="885">
        <f>$K$51*SUM($K$10:$K$18)</f>
        <v>0</v>
      </c>
      <c r="DO157" s="886">
        <f>DN157/DN174</f>
        <v>0</v>
      </c>
    </row>
    <row r="158" spans="2:119" hidden="1" x14ac:dyDescent="0.25">
      <c r="B158" s="665" t="str">
        <f t="shared" si="36"/>
        <v>-</v>
      </c>
      <c r="C158" s="662">
        <f ca="1">IF(C151*F158&gt;=H158,H158,C151*F158)</f>
        <v>0</v>
      </c>
      <c r="F158" s="882">
        <f ca="1">G158/G174</f>
        <v>0</v>
      </c>
      <c r="G158" s="883">
        <f ca="1">IF(C151*J158/J174&gt;=C135+H158,0,J158)</f>
        <v>0</v>
      </c>
      <c r="H158" s="884">
        <f>($L$48-$L$47)*SUM($L$29:$L$37)</f>
        <v>0</v>
      </c>
      <c r="J158" s="885">
        <f>$L$51*SUM($L$10:$L$18)</f>
        <v>0</v>
      </c>
      <c r="K158" s="886">
        <f>J158/J174</f>
        <v>0</v>
      </c>
      <c r="N158" s="665" t="str">
        <f t="shared" si="37"/>
        <v>-</v>
      </c>
      <c r="O158" s="662">
        <f ca="1">IF(O151*R158&gt;=T158,T158,O151*R158)</f>
        <v>0</v>
      </c>
      <c r="R158" s="882">
        <f ca="1">S158/S174</f>
        <v>0</v>
      </c>
      <c r="S158" s="883">
        <f ca="1">IF(O151*V158/V174&gt;=O135+T158,0,V158)</f>
        <v>0</v>
      </c>
      <c r="T158" s="884">
        <f>($L$48-$L$47)*SUM($L$29:$L$37)</f>
        <v>0</v>
      </c>
      <c r="U158" s="663"/>
      <c r="V158" s="885">
        <f>$L$51*SUM($L$10:$L$18)</f>
        <v>0</v>
      </c>
      <c r="W158" s="886">
        <f>V158/V174</f>
        <v>0</v>
      </c>
      <c r="Z158" s="665" t="str">
        <f t="shared" si="38"/>
        <v>-</v>
      </c>
      <c r="AA158" s="662">
        <f ca="1">IF(AA151*AD158&gt;=AF158,AF158,AA151*AD158)</f>
        <v>0</v>
      </c>
      <c r="AB158" s="663"/>
      <c r="AC158" s="663"/>
      <c r="AD158" s="882">
        <f ca="1">AE158/AE174</f>
        <v>0</v>
      </c>
      <c r="AE158" s="883">
        <f ca="1">IF(AA151*AH158/AH174&gt;=AA135+AF158,0,AH158)</f>
        <v>0</v>
      </c>
      <c r="AF158" s="884">
        <f>($L$48-$L$47)*SUM($L$29:$L$37)</f>
        <v>0</v>
      </c>
      <c r="AG158" s="663"/>
      <c r="AH158" s="885">
        <f>$L$51*SUM($L$10:$L$18)</f>
        <v>0</v>
      </c>
      <c r="AI158" s="886">
        <f>AH158/AH174</f>
        <v>0</v>
      </c>
      <c r="AL158" s="665" t="str">
        <f t="shared" si="39"/>
        <v>-</v>
      </c>
      <c r="AM158" s="662">
        <f ca="1">IF(AM151*AP158&gt;=AR158,AR158,AM151*AP158)</f>
        <v>0</v>
      </c>
      <c r="AN158" s="663"/>
      <c r="AP158" s="882">
        <f ca="1">AQ158/AQ174</f>
        <v>0</v>
      </c>
      <c r="AQ158" s="883">
        <f ca="1">IF(AM151*AT158/AT174&gt;=AM135+AR158,0,AT158)</f>
        <v>0</v>
      </c>
      <c r="AR158" s="884">
        <f>($L$48-$L$47)*SUM($L$29:$L$37)</f>
        <v>0</v>
      </c>
      <c r="AT158" s="885">
        <f>$L$51*SUM($L$10:$L$18)</f>
        <v>0</v>
      </c>
      <c r="AU158" s="886">
        <f>AT158/AT174</f>
        <v>0</v>
      </c>
      <c r="AX158" s="665" t="str">
        <f t="shared" si="40"/>
        <v>-</v>
      </c>
      <c r="AY158" s="662">
        <f ca="1">IF(AY151*BB158&gt;=BD158,BD158,AY151*BB158)</f>
        <v>0</v>
      </c>
      <c r="BB158" s="882">
        <f ca="1">BC158/BC174</f>
        <v>0</v>
      </c>
      <c r="BC158" s="883">
        <f ca="1">IF(AY151*BF158/BF174&gt;=AY135+BD158,0,BF158)</f>
        <v>0</v>
      </c>
      <c r="BD158" s="884">
        <f>($L$48-$L$47)*SUM($L$29:$L$37)</f>
        <v>0</v>
      </c>
      <c r="BF158" s="885">
        <f>$L$51*SUM($L$10:$L$18)</f>
        <v>0</v>
      </c>
      <c r="BG158" s="886">
        <f>BF158/BF174</f>
        <v>0</v>
      </c>
      <c r="BJ158" s="665" t="str">
        <f t="shared" si="41"/>
        <v>-</v>
      </c>
      <c r="BK158" s="662">
        <f ca="1">IF(BK151*BN158&gt;=BP158,BP158,BK151*BN158)</f>
        <v>0</v>
      </c>
      <c r="BN158" s="882">
        <f ca="1">BO158/BO174</f>
        <v>0</v>
      </c>
      <c r="BO158" s="883">
        <f ca="1">IF(BK151*BR158/BR174&gt;=BK135+BP158,0,BR158)</f>
        <v>0</v>
      </c>
      <c r="BP158" s="884">
        <f>($L$48-$L$47)*SUM($L$29:$L$37)</f>
        <v>0</v>
      </c>
      <c r="BR158" s="885">
        <f>$L$51*SUM($L$10:$L$18)</f>
        <v>0</v>
      </c>
      <c r="BS158" s="886">
        <f>BR158/BR174</f>
        <v>0</v>
      </c>
      <c r="BV158" s="665" t="str">
        <f t="shared" si="42"/>
        <v>-</v>
      </c>
      <c r="BW158" s="662">
        <f ca="1">IF(BW151*BZ158&gt;=CB158,CB158,BW151*BZ158)</f>
        <v>0</v>
      </c>
      <c r="BZ158" s="882">
        <f ca="1">CA158/CA174</f>
        <v>0</v>
      </c>
      <c r="CA158" s="883">
        <f ca="1">IF(BW151*CD158/CD174&gt;=BW135+CB158,0,CD158)</f>
        <v>0</v>
      </c>
      <c r="CB158" s="884">
        <f>($L$48-$L$47)*SUM($L$29:$L$37)</f>
        <v>0</v>
      </c>
      <c r="CD158" s="885">
        <f>$L$51*SUM($L$10:$L$18)</f>
        <v>0</v>
      </c>
      <c r="CE158" s="886">
        <f>CD158/CD174</f>
        <v>0</v>
      </c>
      <c r="CH158" s="665" t="str">
        <f t="shared" si="43"/>
        <v>-</v>
      </c>
      <c r="CI158" s="662">
        <f ca="1">IF(CI151*CL158&gt;=CN158,CN158,CI151*CL158)</f>
        <v>0</v>
      </c>
      <c r="CL158" s="882">
        <f ca="1">CM158/CM174</f>
        <v>0</v>
      </c>
      <c r="CM158" s="883">
        <f ca="1">IF(CI151*CP158/CP174&gt;=CI135+CN158,0,CP158)</f>
        <v>0</v>
      </c>
      <c r="CN158" s="884">
        <f>($L$48-$L$47)*SUM($L$29:$L$37)</f>
        <v>0</v>
      </c>
      <c r="CP158" s="885">
        <f>$L$51*SUM($L$10:$L$18)</f>
        <v>0</v>
      </c>
      <c r="CQ158" s="886">
        <f>CP158/CP174</f>
        <v>0</v>
      </c>
      <c r="CT158" s="665" t="str">
        <f t="shared" si="44"/>
        <v>-</v>
      </c>
      <c r="CU158" s="662">
        <f ca="1">IF(CU151*CX158&gt;=CZ158,CZ158,CU151*CX158)</f>
        <v>0</v>
      </c>
      <c r="CX158" s="882">
        <f ca="1">CY158/CY174</f>
        <v>0</v>
      </c>
      <c r="CY158" s="883">
        <f ca="1">IF(CU151*DB158/DB174&gt;=CU135+CZ158,0,DB158)</f>
        <v>0</v>
      </c>
      <c r="CZ158" s="884">
        <f>($L$48-$L$47)*SUM($L$29:$L$37)</f>
        <v>0</v>
      </c>
      <c r="DB158" s="885">
        <f>$L$51*SUM($L$10:$L$18)</f>
        <v>0</v>
      </c>
      <c r="DC158" s="886">
        <f>DB158/DB174</f>
        <v>0</v>
      </c>
      <c r="DF158" s="665" t="str">
        <f t="shared" si="45"/>
        <v>-</v>
      </c>
      <c r="DG158" s="662">
        <f ca="1">IF(DG151*DJ158&gt;=DL158,DL158,DG151*DJ158)</f>
        <v>0</v>
      </c>
      <c r="DJ158" s="882">
        <f ca="1">DK158/DK174</f>
        <v>0</v>
      </c>
      <c r="DK158" s="883">
        <f ca="1">IF(DG151*DN158/DN174&gt;=DG135+DL158,0,DN158)</f>
        <v>0</v>
      </c>
      <c r="DL158" s="884">
        <f>($L$48-$L$47)*SUM($L$29:$L$37)</f>
        <v>0</v>
      </c>
      <c r="DN158" s="885">
        <f>$L$51*SUM($L$10:$L$18)</f>
        <v>0</v>
      </c>
      <c r="DO158" s="886">
        <f>DN158/DN174</f>
        <v>0</v>
      </c>
    </row>
    <row r="159" spans="2:119" hidden="1" x14ac:dyDescent="0.25">
      <c r="B159" s="665" t="str">
        <f t="shared" si="36"/>
        <v>-</v>
      </c>
      <c r="C159" s="662">
        <f ca="1">IF(C151*F159&gt;=H159,H159,C151*F159)</f>
        <v>0</v>
      </c>
      <c r="F159" s="882">
        <f ca="1">G159/G174</f>
        <v>0</v>
      </c>
      <c r="G159" s="883">
        <f ca="1">IF(C151*J159/J174&gt;=C136+H159,0,J159)</f>
        <v>0</v>
      </c>
      <c r="H159" s="884">
        <f>($M$48-$M$47)*SUM($M$29:$M$37)</f>
        <v>0</v>
      </c>
      <c r="J159" s="885">
        <f>$M$51*SUM($M$10:$M$18)</f>
        <v>0</v>
      </c>
      <c r="K159" s="886">
        <f>J159/J174</f>
        <v>0</v>
      </c>
      <c r="N159" s="665" t="str">
        <f t="shared" si="37"/>
        <v>-</v>
      </c>
      <c r="O159" s="662">
        <f ca="1">IF(O151*R159&gt;=T159,T159,O151*R159)</f>
        <v>0</v>
      </c>
      <c r="R159" s="882">
        <f ca="1">S159/S174</f>
        <v>0</v>
      </c>
      <c r="S159" s="883">
        <f ca="1">IF(O151*V159/V174&gt;=O136+T159,0,V159)</f>
        <v>0</v>
      </c>
      <c r="T159" s="884">
        <f>($M$48-$M$47)*SUM($M$29:$M$37)</f>
        <v>0</v>
      </c>
      <c r="U159" s="663"/>
      <c r="V159" s="885">
        <f>$M$51*SUM($M$10:$M$18)</f>
        <v>0</v>
      </c>
      <c r="W159" s="886">
        <f>V159/V174</f>
        <v>0</v>
      </c>
      <c r="Z159" s="665" t="str">
        <f t="shared" si="38"/>
        <v>-</v>
      </c>
      <c r="AA159" s="662">
        <f ca="1">IF(AA151*AD159&gt;=AF159,AF159,AA151*AD159)</f>
        <v>0</v>
      </c>
      <c r="AB159" s="663"/>
      <c r="AC159" s="663"/>
      <c r="AD159" s="882">
        <f ca="1">AE159/AE174</f>
        <v>0</v>
      </c>
      <c r="AE159" s="883">
        <f ca="1">IF(AA151*AH159/AH174&gt;=AA136+AF159,0,AH159)</f>
        <v>0</v>
      </c>
      <c r="AF159" s="884">
        <f>($M$48-$M$47)*SUM($M$29:$M$37)</f>
        <v>0</v>
      </c>
      <c r="AG159" s="663"/>
      <c r="AH159" s="885">
        <f>$M$51*SUM($M$10:$M$18)</f>
        <v>0</v>
      </c>
      <c r="AI159" s="886">
        <f>AH159/AH174</f>
        <v>0</v>
      </c>
      <c r="AL159" s="665" t="str">
        <f t="shared" si="39"/>
        <v>-</v>
      </c>
      <c r="AM159" s="662">
        <f ca="1">IF(AM151*AP159&gt;=AR159,AR159,AM151*AP159)</f>
        <v>0</v>
      </c>
      <c r="AN159" s="663"/>
      <c r="AP159" s="882">
        <f ca="1">AQ159/AQ174</f>
        <v>0</v>
      </c>
      <c r="AQ159" s="883">
        <f ca="1">IF(AM151*AT159/AT174&gt;=AM136+AR159,0,AT159)</f>
        <v>0</v>
      </c>
      <c r="AR159" s="884">
        <f>($M$48-$M$47)*SUM($M$29:$M$37)</f>
        <v>0</v>
      </c>
      <c r="AT159" s="885">
        <f>$M$51*SUM($M$10:$M$18)</f>
        <v>0</v>
      </c>
      <c r="AU159" s="886">
        <f>AT159/AT174</f>
        <v>0</v>
      </c>
      <c r="AX159" s="665" t="str">
        <f t="shared" si="40"/>
        <v>-</v>
      </c>
      <c r="AY159" s="662">
        <f ca="1">IF(AY151*BB159&gt;=BD159,BD159,AY151*BB159)</f>
        <v>0</v>
      </c>
      <c r="BB159" s="882">
        <f ca="1">BC159/BC174</f>
        <v>0</v>
      </c>
      <c r="BC159" s="883">
        <f ca="1">IF(AY151*BF159/BF174&gt;=AY136+BD159,0,BF159)</f>
        <v>0</v>
      </c>
      <c r="BD159" s="884">
        <f>($M$48-$M$47)*SUM($M$29:$M$37)</f>
        <v>0</v>
      </c>
      <c r="BF159" s="885">
        <f>$M$51*SUM($M$10:$M$18)</f>
        <v>0</v>
      </c>
      <c r="BG159" s="886">
        <f>BF159/BF174</f>
        <v>0</v>
      </c>
      <c r="BJ159" s="665" t="str">
        <f t="shared" si="41"/>
        <v>-</v>
      </c>
      <c r="BK159" s="662">
        <f ca="1">IF(BK151*BN159&gt;=BP159,BP159,BK151*BN159)</f>
        <v>0</v>
      </c>
      <c r="BN159" s="882">
        <f ca="1">BO159/BO174</f>
        <v>0</v>
      </c>
      <c r="BO159" s="883">
        <f ca="1">IF(BK151*BR159/BR174&gt;=BK136+BP159,0,BR159)</f>
        <v>0</v>
      </c>
      <c r="BP159" s="884">
        <f>($M$48-$M$47)*SUM($M$29:$M$37)</f>
        <v>0</v>
      </c>
      <c r="BR159" s="885">
        <f>$M$51*SUM($M$10:$M$18)</f>
        <v>0</v>
      </c>
      <c r="BS159" s="886">
        <f>BR159/BR174</f>
        <v>0</v>
      </c>
      <c r="BV159" s="665" t="str">
        <f t="shared" si="42"/>
        <v>-</v>
      </c>
      <c r="BW159" s="662">
        <f ca="1">IF(BW151*BZ159&gt;=CB159,CB159,BW151*BZ159)</f>
        <v>0</v>
      </c>
      <c r="BZ159" s="882">
        <f ca="1">CA159/CA174</f>
        <v>0</v>
      </c>
      <c r="CA159" s="883">
        <f ca="1">IF(BW151*CD159/CD174&gt;=BW136+CB159,0,CD159)</f>
        <v>0</v>
      </c>
      <c r="CB159" s="884">
        <f>($M$48-$M$47)*SUM($M$29:$M$37)</f>
        <v>0</v>
      </c>
      <c r="CD159" s="885">
        <f>$M$51*SUM($M$10:$M$18)</f>
        <v>0</v>
      </c>
      <c r="CE159" s="886">
        <f>CD159/CD174</f>
        <v>0</v>
      </c>
      <c r="CH159" s="665" t="str">
        <f t="shared" si="43"/>
        <v>-</v>
      </c>
      <c r="CI159" s="662">
        <f ca="1">IF(CI151*CL159&gt;=CN159,CN159,CI151*CL159)</f>
        <v>0</v>
      </c>
      <c r="CL159" s="882">
        <f ca="1">CM159/CM174</f>
        <v>0</v>
      </c>
      <c r="CM159" s="883">
        <f ca="1">IF(CI151*CP159/CP174&gt;=CI136+CN159,0,CP159)</f>
        <v>0</v>
      </c>
      <c r="CN159" s="884">
        <f>($M$48-$M$47)*SUM($M$29:$M$37)</f>
        <v>0</v>
      </c>
      <c r="CP159" s="885">
        <f>$M$51*SUM($M$10:$M$18)</f>
        <v>0</v>
      </c>
      <c r="CQ159" s="886">
        <f>CP159/CP174</f>
        <v>0</v>
      </c>
      <c r="CT159" s="665" t="str">
        <f t="shared" si="44"/>
        <v>-</v>
      </c>
      <c r="CU159" s="662">
        <f ca="1">IF(CU151*CX159&gt;=CZ159,CZ159,CU151*CX159)</f>
        <v>0</v>
      </c>
      <c r="CX159" s="882">
        <f ca="1">CY159/CY174</f>
        <v>0</v>
      </c>
      <c r="CY159" s="883">
        <f ca="1">IF(CU151*DB159/DB174&gt;=CU136+CZ159,0,DB159)</f>
        <v>0</v>
      </c>
      <c r="CZ159" s="884">
        <f>($M$48-$M$47)*SUM($M$29:$M$37)</f>
        <v>0</v>
      </c>
      <c r="DB159" s="885">
        <f>$M$51*SUM($M$10:$M$18)</f>
        <v>0</v>
      </c>
      <c r="DC159" s="886">
        <f>DB159/DB174</f>
        <v>0</v>
      </c>
      <c r="DF159" s="665" t="str">
        <f t="shared" si="45"/>
        <v>-</v>
      </c>
      <c r="DG159" s="662">
        <f ca="1">IF(DG151*DJ159&gt;=DL159,DL159,DG151*DJ159)</f>
        <v>0</v>
      </c>
      <c r="DJ159" s="882">
        <f ca="1">DK159/DK174</f>
        <v>0</v>
      </c>
      <c r="DK159" s="883">
        <f ca="1">IF(DG151*DN159/DN174&gt;=DG136+DL159,0,DN159)</f>
        <v>0</v>
      </c>
      <c r="DL159" s="884">
        <f>($M$48-$M$47)*SUM($M$29:$M$37)</f>
        <v>0</v>
      </c>
      <c r="DN159" s="885">
        <f>$M$51*SUM($M$10:$M$18)</f>
        <v>0</v>
      </c>
      <c r="DO159" s="886">
        <f>DN159/DN174</f>
        <v>0</v>
      </c>
    </row>
    <row r="160" spans="2:119" hidden="1" x14ac:dyDescent="0.25">
      <c r="B160" s="665" t="str">
        <f t="shared" si="36"/>
        <v>-</v>
      </c>
      <c r="C160" s="662">
        <f ca="1">IF(C151*F160&gt;=H160,H160,C151*F160)</f>
        <v>0</v>
      </c>
      <c r="F160" s="882">
        <f ca="1">G160/G174</f>
        <v>0</v>
      </c>
      <c r="G160" s="883">
        <f ca="1">IF(C151*J160/J174&gt;=C137+H160,0,J160)</f>
        <v>0</v>
      </c>
      <c r="H160" s="884">
        <f>($N$48-$N$47)*SUM($N$29:$N$37)</f>
        <v>0</v>
      </c>
      <c r="J160" s="885">
        <f>$N$51*SUM($N$10:$N$18)</f>
        <v>0</v>
      </c>
      <c r="K160" s="886">
        <f>J160/J174</f>
        <v>0</v>
      </c>
      <c r="N160" s="665" t="str">
        <f t="shared" si="37"/>
        <v>-</v>
      </c>
      <c r="O160" s="662">
        <f ca="1">IF(O151*R160&gt;=T160,T160,O151*R160)</f>
        <v>0</v>
      </c>
      <c r="R160" s="882">
        <f ca="1">S160/S174</f>
        <v>0</v>
      </c>
      <c r="S160" s="883">
        <f ca="1">IF(O151*V160/V174&gt;=O137+T160,0,V160)</f>
        <v>0</v>
      </c>
      <c r="T160" s="884">
        <f>($N$48-$N$47)*SUM($N$29:$N$37)</f>
        <v>0</v>
      </c>
      <c r="U160" s="663"/>
      <c r="V160" s="885">
        <f>$N$51*SUM($N$10:$N$18)</f>
        <v>0</v>
      </c>
      <c r="W160" s="886">
        <f>V160/V174</f>
        <v>0</v>
      </c>
      <c r="Z160" s="665" t="str">
        <f t="shared" si="38"/>
        <v>-</v>
      </c>
      <c r="AA160" s="662">
        <f ca="1">IF(AA151*AD160&gt;=AF160,AF160,AA151*AD160)</f>
        <v>0</v>
      </c>
      <c r="AB160" s="663"/>
      <c r="AC160" s="663"/>
      <c r="AD160" s="882">
        <f ca="1">AE160/AE174</f>
        <v>0</v>
      </c>
      <c r="AE160" s="883">
        <f ca="1">IF(AA151*AH160/AH174&gt;=AA137+AF160,0,AH160)</f>
        <v>0</v>
      </c>
      <c r="AF160" s="884">
        <f>($N$48-$N$47)*SUM($N$29:$N$37)</f>
        <v>0</v>
      </c>
      <c r="AG160" s="663"/>
      <c r="AH160" s="885">
        <f>$N$51*SUM($N$10:$N$18)</f>
        <v>0</v>
      </c>
      <c r="AI160" s="886">
        <f>AH160/AH174</f>
        <v>0</v>
      </c>
      <c r="AL160" s="665" t="str">
        <f t="shared" si="39"/>
        <v>-</v>
      </c>
      <c r="AM160" s="662">
        <f ca="1">IF(AM151*AP160&gt;=AR160,AR160,AM151*AP160)</f>
        <v>0</v>
      </c>
      <c r="AN160" s="663"/>
      <c r="AP160" s="882">
        <f ca="1">AQ160/AQ174</f>
        <v>0</v>
      </c>
      <c r="AQ160" s="883">
        <f ca="1">IF(AM151*AT160/AT174&gt;=AM137+AR160,0,AT160)</f>
        <v>0</v>
      </c>
      <c r="AR160" s="884">
        <f>($N$48-$N$47)*SUM($N$29:$N$37)</f>
        <v>0</v>
      </c>
      <c r="AT160" s="885">
        <f>$N$51*SUM($N$10:$N$18)</f>
        <v>0</v>
      </c>
      <c r="AU160" s="886">
        <f>AT160/AT174</f>
        <v>0</v>
      </c>
      <c r="AX160" s="665" t="str">
        <f t="shared" si="40"/>
        <v>-</v>
      </c>
      <c r="AY160" s="662">
        <f ca="1">IF(AY151*BB160&gt;=BD160,BD160,AY151*BB160)</f>
        <v>0</v>
      </c>
      <c r="BB160" s="882">
        <f ca="1">BC160/BC174</f>
        <v>0</v>
      </c>
      <c r="BC160" s="883">
        <f ca="1">IF(AY151*BF160/BF174&gt;=AY137+BD160,0,BF160)</f>
        <v>0</v>
      </c>
      <c r="BD160" s="884">
        <f>($N$48-$N$47)*SUM($N$29:$N$37)</f>
        <v>0</v>
      </c>
      <c r="BF160" s="885">
        <f>$N$51*SUM($N$10:$N$18)</f>
        <v>0</v>
      </c>
      <c r="BG160" s="886">
        <f>BF160/BF174</f>
        <v>0</v>
      </c>
      <c r="BJ160" s="665" t="str">
        <f t="shared" si="41"/>
        <v>-</v>
      </c>
      <c r="BK160" s="662">
        <f ca="1">IF(BK151*BN160&gt;=BP160,BP160,BK151*BN160)</f>
        <v>0</v>
      </c>
      <c r="BN160" s="882">
        <f ca="1">BO160/BO174</f>
        <v>0</v>
      </c>
      <c r="BO160" s="883">
        <f ca="1">IF(BK151*BR160/BR174&gt;=BK137+BP160,0,BR160)</f>
        <v>0</v>
      </c>
      <c r="BP160" s="884">
        <f>($N$48-$N$47)*SUM($N$29:$N$37)</f>
        <v>0</v>
      </c>
      <c r="BR160" s="885">
        <f>$N$51*SUM($N$10:$N$18)</f>
        <v>0</v>
      </c>
      <c r="BS160" s="886">
        <f>BR160/BR174</f>
        <v>0</v>
      </c>
      <c r="BV160" s="665" t="str">
        <f t="shared" si="42"/>
        <v>-</v>
      </c>
      <c r="BW160" s="662">
        <f ca="1">IF(BW151*BZ160&gt;=CB160,CB160,BW151*BZ160)</f>
        <v>0</v>
      </c>
      <c r="BZ160" s="882">
        <f ca="1">CA160/CA174</f>
        <v>0</v>
      </c>
      <c r="CA160" s="883">
        <f ca="1">IF(BW151*CD160/CD174&gt;=BW137+CB160,0,CD160)</f>
        <v>0</v>
      </c>
      <c r="CB160" s="884">
        <f>($N$48-$N$47)*SUM($N$29:$N$37)</f>
        <v>0</v>
      </c>
      <c r="CD160" s="885">
        <f>$N$51*SUM($N$10:$N$18)</f>
        <v>0</v>
      </c>
      <c r="CE160" s="886">
        <f>CD160/CD174</f>
        <v>0</v>
      </c>
      <c r="CH160" s="665" t="str">
        <f t="shared" si="43"/>
        <v>-</v>
      </c>
      <c r="CI160" s="662">
        <f ca="1">IF(CI151*CL160&gt;=CN160,CN160,CI151*CL160)</f>
        <v>0</v>
      </c>
      <c r="CL160" s="882">
        <f ca="1">CM160/CM174</f>
        <v>0</v>
      </c>
      <c r="CM160" s="883">
        <f ca="1">IF(CI151*CP160/CP174&gt;=CI137+CN160,0,CP160)</f>
        <v>0</v>
      </c>
      <c r="CN160" s="884">
        <f>($N$48-$N$47)*SUM($N$29:$N$37)</f>
        <v>0</v>
      </c>
      <c r="CP160" s="885">
        <f>$N$51*SUM($N$10:$N$18)</f>
        <v>0</v>
      </c>
      <c r="CQ160" s="886">
        <f>CP160/CP174</f>
        <v>0</v>
      </c>
      <c r="CT160" s="665" t="str">
        <f t="shared" si="44"/>
        <v>-</v>
      </c>
      <c r="CU160" s="662">
        <f ca="1">IF(CU151*CX160&gt;=CZ160,CZ160,CU151*CX160)</f>
        <v>0</v>
      </c>
      <c r="CX160" s="882">
        <f ca="1">CY160/CY174</f>
        <v>0</v>
      </c>
      <c r="CY160" s="883">
        <f ca="1">IF(CU151*DB160/DB174&gt;=CU137+CZ160,0,DB160)</f>
        <v>0</v>
      </c>
      <c r="CZ160" s="884">
        <f>($N$48-$N$47)*SUM($N$29:$N$37)</f>
        <v>0</v>
      </c>
      <c r="DB160" s="885">
        <f>$N$51*SUM($N$10:$N$18)</f>
        <v>0</v>
      </c>
      <c r="DC160" s="886">
        <f>DB160/DB174</f>
        <v>0</v>
      </c>
      <c r="DF160" s="665" t="str">
        <f t="shared" si="45"/>
        <v>-</v>
      </c>
      <c r="DG160" s="662">
        <f ca="1">IF(DG151*DJ160&gt;=DL160,DL160,DG151*DJ160)</f>
        <v>0</v>
      </c>
      <c r="DJ160" s="882">
        <f ca="1">DK160/DK174</f>
        <v>0</v>
      </c>
      <c r="DK160" s="883">
        <f ca="1">IF(DG151*DN160/DN174&gt;=DG137+DL160,0,DN160)</f>
        <v>0</v>
      </c>
      <c r="DL160" s="884">
        <f>($N$48-$N$47)*SUM($N$29:$N$37)</f>
        <v>0</v>
      </c>
      <c r="DN160" s="885">
        <f>$N$51*SUM($N$10:$N$18)</f>
        <v>0</v>
      </c>
      <c r="DO160" s="886">
        <f>DN160/DN174</f>
        <v>0</v>
      </c>
    </row>
    <row r="161" spans="2:119" hidden="1" x14ac:dyDescent="0.25">
      <c r="B161" s="665" t="str">
        <f t="shared" si="36"/>
        <v>-</v>
      </c>
      <c r="C161" s="662">
        <f ca="1">IF(C151*F161&gt;=H161,H161,C151*F161)</f>
        <v>0</v>
      </c>
      <c r="F161" s="882">
        <f ca="1">G161/G174</f>
        <v>0</v>
      </c>
      <c r="G161" s="883">
        <f ca="1">IF(C151*J161/J174&gt;=C138+H161,0,J161)</f>
        <v>0</v>
      </c>
      <c r="H161" s="884">
        <f>($O$48-$O$47)*SUM($O$29:$O$37)</f>
        <v>0</v>
      </c>
      <c r="J161" s="885">
        <f>$O$51*SUM($O$10:$O$18)</f>
        <v>0</v>
      </c>
      <c r="K161" s="886">
        <f>J161/J174</f>
        <v>0</v>
      </c>
      <c r="N161" s="665" t="str">
        <f t="shared" si="37"/>
        <v>-</v>
      </c>
      <c r="O161" s="662">
        <f ca="1">IF(O151*R161&gt;=T161,T161,O151*R161)</f>
        <v>0</v>
      </c>
      <c r="R161" s="882">
        <f ca="1">S161/S174</f>
        <v>0</v>
      </c>
      <c r="S161" s="883">
        <f ca="1">IF(O151*V161/V174&gt;=O138+T161,0,V161)</f>
        <v>0</v>
      </c>
      <c r="T161" s="884">
        <f>($O$48-$O$47)*SUM($O$29:$O$37)</f>
        <v>0</v>
      </c>
      <c r="U161" s="663"/>
      <c r="V161" s="885">
        <f>$O$51*SUM($O$10:$O$18)</f>
        <v>0</v>
      </c>
      <c r="W161" s="886">
        <f>V161/V174</f>
        <v>0</v>
      </c>
      <c r="Z161" s="665" t="str">
        <f t="shared" si="38"/>
        <v>-</v>
      </c>
      <c r="AA161" s="662">
        <f ca="1">IF(AA151*AD161&gt;=AF161,AF161,AA151*AD161)</f>
        <v>0</v>
      </c>
      <c r="AB161" s="663"/>
      <c r="AC161" s="663"/>
      <c r="AD161" s="882">
        <f ca="1">AE161/AE174</f>
        <v>0</v>
      </c>
      <c r="AE161" s="883">
        <f ca="1">IF(AA151*AH161/AH174&gt;=AA138+AF161,0,AH161)</f>
        <v>0</v>
      </c>
      <c r="AF161" s="884">
        <f>($O$48-$O$47)*SUM($O$29:$O$37)</f>
        <v>0</v>
      </c>
      <c r="AG161" s="663"/>
      <c r="AH161" s="885">
        <f>$O$51*SUM($O$10:$O$18)</f>
        <v>0</v>
      </c>
      <c r="AI161" s="886">
        <f>AH161/AH174</f>
        <v>0</v>
      </c>
      <c r="AL161" s="665" t="str">
        <f t="shared" si="39"/>
        <v>-</v>
      </c>
      <c r="AM161" s="662">
        <f ca="1">IF(AM151*AP161&gt;=AR161,AR161,AM151*AP161)</f>
        <v>0</v>
      </c>
      <c r="AN161" s="663"/>
      <c r="AP161" s="882">
        <f ca="1">AQ161/AQ174</f>
        <v>0</v>
      </c>
      <c r="AQ161" s="883">
        <f ca="1">IF(AM151*AT161/AT174&gt;=AM138+AR161,0,AT161)</f>
        <v>0</v>
      </c>
      <c r="AR161" s="884">
        <f>($O$48-$O$47)*SUM($O$29:$O$37)</f>
        <v>0</v>
      </c>
      <c r="AT161" s="885">
        <f>$O$51*SUM($O$10:$O$18)</f>
        <v>0</v>
      </c>
      <c r="AU161" s="886">
        <f>AT161/AT174</f>
        <v>0</v>
      </c>
      <c r="AX161" s="665" t="str">
        <f t="shared" si="40"/>
        <v>-</v>
      </c>
      <c r="AY161" s="662">
        <f ca="1">IF(AY151*BB161&gt;=BD161,BD161,AY151*BB161)</f>
        <v>0</v>
      </c>
      <c r="BB161" s="882">
        <f ca="1">BC161/BC174</f>
        <v>0</v>
      </c>
      <c r="BC161" s="883">
        <f ca="1">IF(AY151*BF161/BF174&gt;=AY138+BD161,0,BF161)</f>
        <v>0</v>
      </c>
      <c r="BD161" s="884">
        <f>($O$48-$O$47)*SUM($O$29:$O$37)</f>
        <v>0</v>
      </c>
      <c r="BF161" s="885">
        <f>$O$51*SUM($O$10:$O$18)</f>
        <v>0</v>
      </c>
      <c r="BG161" s="886">
        <f>BF161/BF174</f>
        <v>0</v>
      </c>
      <c r="BJ161" s="665" t="str">
        <f t="shared" si="41"/>
        <v>-</v>
      </c>
      <c r="BK161" s="662">
        <f ca="1">IF(BK151*BN161&gt;=BP161,BP161,BK151*BN161)</f>
        <v>0</v>
      </c>
      <c r="BN161" s="882">
        <f ca="1">BO161/BO174</f>
        <v>0</v>
      </c>
      <c r="BO161" s="883">
        <f ca="1">IF(BK151*BR161/BR174&gt;=BK138+BP161,0,BR161)</f>
        <v>0</v>
      </c>
      <c r="BP161" s="884">
        <f>($O$48-$O$47)*SUM($O$29:$O$37)</f>
        <v>0</v>
      </c>
      <c r="BR161" s="885">
        <f>$O$51*SUM($O$10:$O$18)</f>
        <v>0</v>
      </c>
      <c r="BS161" s="886">
        <f>BR161/BR174</f>
        <v>0</v>
      </c>
      <c r="BV161" s="665" t="str">
        <f t="shared" si="42"/>
        <v>-</v>
      </c>
      <c r="BW161" s="662">
        <f ca="1">IF(BW151*BZ161&gt;=CB161,CB161,BW151*BZ161)</f>
        <v>0</v>
      </c>
      <c r="BZ161" s="882">
        <f ca="1">CA161/CA174</f>
        <v>0</v>
      </c>
      <c r="CA161" s="883">
        <f ca="1">IF(BW151*CD161/CD174&gt;=BW138+CB161,0,CD161)</f>
        <v>0</v>
      </c>
      <c r="CB161" s="884">
        <f>($O$48-$O$47)*SUM($O$29:$O$37)</f>
        <v>0</v>
      </c>
      <c r="CD161" s="885">
        <f>$O$51*SUM($O$10:$O$18)</f>
        <v>0</v>
      </c>
      <c r="CE161" s="886">
        <f>CD161/CD174</f>
        <v>0</v>
      </c>
      <c r="CH161" s="665" t="str">
        <f t="shared" si="43"/>
        <v>-</v>
      </c>
      <c r="CI161" s="662">
        <f ca="1">IF(CI151*CL161&gt;=CN161,CN161,CI151*CL161)</f>
        <v>0</v>
      </c>
      <c r="CL161" s="882">
        <f ca="1">CM161/CM174</f>
        <v>0</v>
      </c>
      <c r="CM161" s="883">
        <f ca="1">IF(CI151*CP161/CP174&gt;=CI138+CN161,0,CP161)</f>
        <v>0</v>
      </c>
      <c r="CN161" s="884">
        <f>($O$48-$O$47)*SUM($O$29:$O$37)</f>
        <v>0</v>
      </c>
      <c r="CP161" s="885">
        <f>$O$51*SUM($O$10:$O$18)</f>
        <v>0</v>
      </c>
      <c r="CQ161" s="886">
        <f>CP161/CP174</f>
        <v>0</v>
      </c>
      <c r="CT161" s="665" t="str">
        <f t="shared" si="44"/>
        <v>-</v>
      </c>
      <c r="CU161" s="662">
        <f ca="1">IF(CU151*CX161&gt;=CZ161,CZ161,CU151*CX161)</f>
        <v>0</v>
      </c>
      <c r="CX161" s="882">
        <f ca="1">CY161/CY174</f>
        <v>0</v>
      </c>
      <c r="CY161" s="883">
        <f ca="1">IF(CU151*DB161/DB174&gt;=CU138+CZ161,0,DB161)</f>
        <v>0</v>
      </c>
      <c r="CZ161" s="884">
        <f>($O$48-$O$47)*SUM($O$29:$O$37)</f>
        <v>0</v>
      </c>
      <c r="DB161" s="885">
        <f>$O$51*SUM($O$10:$O$18)</f>
        <v>0</v>
      </c>
      <c r="DC161" s="886">
        <f>DB161/DB174</f>
        <v>0</v>
      </c>
      <c r="DF161" s="665" t="str">
        <f t="shared" si="45"/>
        <v>-</v>
      </c>
      <c r="DG161" s="662">
        <f ca="1">IF(DG151*DJ161&gt;=DL161,DL161,DG151*DJ161)</f>
        <v>0</v>
      </c>
      <c r="DJ161" s="882">
        <f ca="1">DK161/DK174</f>
        <v>0</v>
      </c>
      <c r="DK161" s="883">
        <f ca="1">IF(DG151*DN161/DN174&gt;=DG138+DL161,0,DN161)</f>
        <v>0</v>
      </c>
      <c r="DL161" s="884">
        <f>($O$48-$O$47)*SUM($O$29:$O$37)</f>
        <v>0</v>
      </c>
      <c r="DN161" s="885">
        <f>$O$51*SUM($O$10:$O$18)</f>
        <v>0</v>
      </c>
      <c r="DO161" s="886">
        <f>DN161/DN174</f>
        <v>0</v>
      </c>
    </row>
    <row r="162" spans="2:119" hidden="1" x14ac:dyDescent="0.25">
      <c r="B162" s="665" t="str">
        <f>CONCATENATE("Warrants ",B152)</f>
        <v>Warrants Series A</v>
      </c>
      <c r="C162" s="662">
        <f ca="1">IF(C151*F162&gt;=H162,H162,C151*F162)</f>
        <v>0</v>
      </c>
      <c r="F162" s="882">
        <f ca="1">G162/G174</f>
        <v>3.201024327784891E-4</v>
      </c>
      <c r="G162" s="883">
        <f ca="1">IF(C151*J162/J174&gt;=C139+H162,0,J162)</f>
        <v>10000</v>
      </c>
      <c r="H162" s="884">
        <f>($F$48-$F$47)*$F$38</f>
        <v>10000</v>
      </c>
      <c r="J162" s="885">
        <f>$F$51*$F$19</f>
        <v>10000</v>
      </c>
      <c r="K162" s="886">
        <f>J162/J174</f>
        <v>3.201024327784891E-4</v>
      </c>
      <c r="N162" s="665" t="str">
        <f>CONCATENATE("Warrants ",N152)</f>
        <v>Warrants Series A</v>
      </c>
      <c r="O162" s="662">
        <f ca="1">IF(O151*R162&gt;=T162,T162,O151*R162)</f>
        <v>0</v>
      </c>
      <c r="R162" s="882">
        <f ca="1">S162/S174</f>
        <v>3.201024327784891E-4</v>
      </c>
      <c r="S162" s="883">
        <f ca="1">IF(O151*V162/V174&gt;=O139+T162,0,V162)</f>
        <v>10000</v>
      </c>
      <c r="T162" s="884">
        <f>($F$48-$F$47)*$F$38</f>
        <v>10000</v>
      </c>
      <c r="U162" s="663"/>
      <c r="V162" s="885">
        <f>$F$51*$F$19</f>
        <v>10000</v>
      </c>
      <c r="W162" s="886">
        <f>V162/V174</f>
        <v>3.201024327784891E-4</v>
      </c>
      <c r="Z162" s="665" t="str">
        <f>CONCATENATE("Warrants ",Z152)</f>
        <v>Warrants Series A</v>
      </c>
      <c r="AA162" s="662">
        <f ca="1">IF(AA151*AD162&gt;=AF162,AF162,AA151*AD162)</f>
        <v>0</v>
      </c>
      <c r="AB162" s="663"/>
      <c r="AC162" s="663"/>
      <c r="AD162" s="882">
        <f ca="1">AE162/AE174</f>
        <v>3.201024327784891E-4</v>
      </c>
      <c r="AE162" s="883">
        <f ca="1">IF(AA151*AH162/AH174&gt;=AA139+AF162,0,AH162)</f>
        <v>10000</v>
      </c>
      <c r="AF162" s="884">
        <f>($F$48-$F$47)*$F$38</f>
        <v>10000</v>
      </c>
      <c r="AG162" s="663"/>
      <c r="AH162" s="885">
        <f>$F$51*$F$19</f>
        <v>10000</v>
      </c>
      <c r="AI162" s="886">
        <f>AH162/AH174</f>
        <v>3.201024327784891E-4</v>
      </c>
      <c r="AL162" s="665" t="str">
        <f>CONCATENATE("Warrants ",AL152)</f>
        <v>Warrants Series A</v>
      </c>
      <c r="AM162" s="662">
        <f ca="1">IF(AM151*AP162&gt;=AR162,AR162,AM151*AP162)</f>
        <v>0</v>
      </c>
      <c r="AN162" s="663"/>
      <c r="AP162" s="882">
        <f ca="1">AQ162/AQ174</f>
        <v>3.201024327784891E-4</v>
      </c>
      <c r="AQ162" s="883">
        <f ca="1">IF(AM151*AT162/AT174&gt;=AM139+AR162,0,AT162)</f>
        <v>10000</v>
      </c>
      <c r="AR162" s="884">
        <f>($F$48-$F$47)*$F$38</f>
        <v>10000</v>
      </c>
      <c r="AT162" s="885">
        <f>$F$51*$F$19</f>
        <v>10000</v>
      </c>
      <c r="AU162" s="886">
        <f>AT162/AT174</f>
        <v>3.201024327784891E-4</v>
      </c>
      <c r="AX162" s="665" t="str">
        <f>CONCATENATE("Warrants ",AX152)</f>
        <v>Warrants Series A</v>
      </c>
      <c r="AY162" s="662">
        <f ca="1">IF(AY151*BB162&gt;=BD162,BD162,AY151*BB162)</f>
        <v>0</v>
      </c>
      <c r="BB162" s="882">
        <f ca="1">BC162/BC174</f>
        <v>3.201024327784891E-4</v>
      </c>
      <c r="BC162" s="883">
        <f ca="1">IF(AY151*BF162/BF174&gt;=AY139+BD162,0,BF162)</f>
        <v>10000</v>
      </c>
      <c r="BD162" s="884">
        <f>($F$48-$F$47)*$F$38</f>
        <v>10000</v>
      </c>
      <c r="BF162" s="885">
        <f>$F$51*$F$19</f>
        <v>10000</v>
      </c>
      <c r="BG162" s="886">
        <f>BF162/BF174</f>
        <v>3.201024327784891E-4</v>
      </c>
      <c r="BJ162" s="665" t="str">
        <f>CONCATENATE("Warrants ",BJ152)</f>
        <v>Warrants Series A</v>
      </c>
      <c r="BK162" s="662">
        <f ca="1">IF(BK151*BN162&gt;=BP162,BP162,BK151*BN162)</f>
        <v>0</v>
      </c>
      <c r="BN162" s="882">
        <f ca="1">BO162/BO174</f>
        <v>3.201024327784891E-4</v>
      </c>
      <c r="BO162" s="883">
        <f ca="1">IF(BK151*BR162/BR174&gt;=BK139+BP162,0,BR162)</f>
        <v>10000</v>
      </c>
      <c r="BP162" s="884">
        <f>($F$48-$F$47)*$F$38</f>
        <v>10000</v>
      </c>
      <c r="BR162" s="885">
        <f>$F$51*$F$19</f>
        <v>10000</v>
      </c>
      <c r="BS162" s="886">
        <f>BR162/BR174</f>
        <v>3.201024327784891E-4</v>
      </c>
      <c r="BV162" s="665" t="str">
        <f>CONCATENATE("Warrants ",BV152)</f>
        <v>Warrants Series A</v>
      </c>
      <c r="BW162" s="662">
        <f ca="1">IF(BW151*BZ162&gt;=CB162,CB162,BW151*BZ162)</f>
        <v>0</v>
      </c>
      <c r="BZ162" s="882">
        <f ca="1">CA162/CA174</f>
        <v>3.201024327784891E-4</v>
      </c>
      <c r="CA162" s="883">
        <f ca="1">IF(BW151*CD162/CD174&gt;=BW139+CB162,0,CD162)</f>
        <v>10000</v>
      </c>
      <c r="CB162" s="884">
        <f>($F$48-$F$47)*$F$38</f>
        <v>10000</v>
      </c>
      <c r="CD162" s="885">
        <f>$F$51*$F$19</f>
        <v>10000</v>
      </c>
      <c r="CE162" s="886">
        <f>CD162/CD174</f>
        <v>3.201024327784891E-4</v>
      </c>
      <c r="CH162" s="665" t="str">
        <f>CONCATENATE("Warrants ",CH152)</f>
        <v>Warrants Series A</v>
      </c>
      <c r="CI162" s="662">
        <f ca="1">IF(CI151*CL162&gt;=CN162,CN162,CI151*CL162)</f>
        <v>0</v>
      </c>
      <c r="CL162" s="882">
        <f ca="1">CM162/CM174</f>
        <v>3.201024327784891E-4</v>
      </c>
      <c r="CM162" s="883">
        <f ca="1">IF(CI151*CP162/CP174&gt;=CI139+CN162,0,CP162)</f>
        <v>10000</v>
      </c>
      <c r="CN162" s="884">
        <f>($F$48-$F$47)*$F$38</f>
        <v>10000</v>
      </c>
      <c r="CP162" s="885">
        <f>$F$51*$F$19</f>
        <v>10000</v>
      </c>
      <c r="CQ162" s="886">
        <f>CP162/CP174</f>
        <v>3.201024327784891E-4</v>
      </c>
      <c r="CT162" s="665" t="str">
        <f>CONCATENATE("Warrants ",CT152)</f>
        <v>Warrants Series A</v>
      </c>
      <c r="CU162" s="662">
        <f ca="1">IF(CU151*CX162&gt;=CZ162,CZ162,CU151*CX162)</f>
        <v>0</v>
      </c>
      <c r="CX162" s="882">
        <f ca="1">CY162/CY174</f>
        <v>3.201024327784891E-4</v>
      </c>
      <c r="CY162" s="883">
        <f ca="1">IF(CU151*DB162/DB174&gt;=CU139+CZ162,0,DB162)</f>
        <v>10000</v>
      </c>
      <c r="CZ162" s="884">
        <f>($F$48-$F$47)*$F$38</f>
        <v>10000</v>
      </c>
      <c r="DB162" s="885">
        <f>$F$51*$F$19</f>
        <v>10000</v>
      </c>
      <c r="DC162" s="886">
        <f>DB162/DB174</f>
        <v>3.201024327784891E-4</v>
      </c>
      <c r="DF162" s="665" t="str">
        <f>CONCATENATE("Warrants ",DF152)</f>
        <v>Warrants Series A</v>
      </c>
      <c r="DG162" s="662">
        <f ca="1">IF(DG151*DJ162&gt;=DL162,DL162,DG151*DJ162)</f>
        <v>0</v>
      </c>
      <c r="DJ162" s="882">
        <f ca="1">DK162/DK174</f>
        <v>3.201024327784891E-4</v>
      </c>
      <c r="DK162" s="883">
        <f ca="1">IF(DG151*DN162/DN174&gt;=DG139+DL162,0,DN162)</f>
        <v>10000</v>
      </c>
      <c r="DL162" s="884">
        <f>($F$48-$F$47)*$F$38</f>
        <v>10000</v>
      </c>
      <c r="DN162" s="885">
        <f>$F$51*$F$19</f>
        <v>10000</v>
      </c>
      <c r="DO162" s="886">
        <f>DN162/DN174</f>
        <v>3.201024327784891E-4</v>
      </c>
    </row>
    <row r="163" spans="2:119" hidden="1" x14ac:dyDescent="0.25">
      <c r="B163" s="665" t="str">
        <f t="shared" ref="B163:B171" si="46">CONCATENATE("Warrants ",B153)</f>
        <v>Warrants Series B</v>
      </c>
      <c r="C163" s="662">
        <f ca="1">IF(C151*F163&gt;=H163,H163,C151*F163)</f>
        <v>0</v>
      </c>
      <c r="F163" s="882">
        <f ca="1">G163/G174</f>
        <v>3.201024327784891E-4</v>
      </c>
      <c r="G163" s="883">
        <f ca="1">IF(C151*J163/J174&gt;=C140+H163,0,J163)</f>
        <v>10000</v>
      </c>
      <c r="H163" s="884">
        <f>($G$48-$G$47)*$G$38</f>
        <v>10000</v>
      </c>
      <c r="J163" s="885">
        <f>$G$51*$G$19</f>
        <v>10000</v>
      </c>
      <c r="K163" s="886">
        <f>J163/J174</f>
        <v>3.201024327784891E-4</v>
      </c>
      <c r="N163" s="665" t="str">
        <f t="shared" ref="N163:N171" si="47">CONCATENATE("Warrants ",N153)</f>
        <v>Warrants Series B</v>
      </c>
      <c r="O163" s="662">
        <f ca="1">IF(O151*R163&gt;=T163,T163,O151*R163)</f>
        <v>0</v>
      </c>
      <c r="R163" s="882">
        <f ca="1">S163/S174</f>
        <v>3.201024327784891E-4</v>
      </c>
      <c r="S163" s="883">
        <f ca="1">IF(O151*V163/V174&gt;=O140+T163,0,V163)</f>
        <v>10000</v>
      </c>
      <c r="T163" s="884">
        <f>($G$48-$G$47)*$G$38</f>
        <v>10000</v>
      </c>
      <c r="U163" s="663"/>
      <c r="V163" s="885">
        <f>$G$51*$G$19</f>
        <v>10000</v>
      </c>
      <c r="W163" s="886">
        <f>V163/V174</f>
        <v>3.201024327784891E-4</v>
      </c>
      <c r="Z163" s="665" t="str">
        <f t="shared" ref="Z163:Z171" si="48">CONCATENATE("Warrants ",Z153)</f>
        <v>Warrants Series B</v>
      </c>
      <c r="AA163" s="662">
        <f ca="1">IF(AA151*AD163&gt;=AF163,AF163,AA151*AD163)</f>
        <v>0</v>
      </c>
      <c r="AB163" s="663"/>
      <c r="AC163" s="663"/>
      <c r="AD163" s="882">
        <f ca="1">AE163/AE174</f>
        <v>3.201024327784891E-4</v>
      </c>
      <c r="AE163" s="883">
        <f ca="1">IF(AA151*AH163/AH174&gt;=AA140+AF163,0,AH163)</f>
        <v>10000</v>
      </c>
      <c r="AF163" s="884">
        <f>($G$48-$G$47)*$G$38</f>
        <v>10000</v>
      </c>
      <c r="AG163" s="663"/>
      <c r="AH163" s="885">
        <f>$G$51*$G$19</f>
        <v>10000</v>
      </c>
      <c r="AI163" s="886">
        <f>AH163/AH174</f>
        <v>3.201024327784891E-4</v>
      </c>
      <c r="AL163" s="665" t="str">
        <f t="shared" ref="AL163:AL171" si="49">CONCATENATE("Warrants ",AL153)</f>
        <v>Warrants Series B</v>
      </c>
      <c r="AM163" s="662">
        <f ca="1">IF(AM151*AP163&gt;=AR163,AR163,AM151*AP163)</f>
        <v>0</v>
      </c>
      <c r="AN163" s="663"/>
      <c r="AP163" s="882">
        <f ca="1">AQ163/AQ174</f>
        <v>3.201024327784891E-4</v>
      </c>
      <c r="AQ163" s="883">
        <f ca="1">IF(AM151*AT163/AT174&gt;=AM140+AR163,0,AT163)</f>
        <v>10000</v>
      </c>
      <c r="AR163" s="884">
        <f>($G$48-$G$47)*$G$38</f>
        <v>10000</v>
      </c>
      <c r="AT163" s="885">
        <f>$G$51*$G$19</f>
        <v>10000</v>
      </c>
      <c r="AU163" s="886">
        <f>AT163/AT174</f>
        <v>3.201024327784891E-4</v>
      </c>
      <c r="AX163" s="665" t="str">
        <f t="shared" ref="AX163:AX171" si="50">CONCATENATE("Warrants ",AX153)</f>
        <v>Warrants Series B</v>
      </c>
      <c r="AY163" s="662">
        <f ca="1">IF(AY151*BB163&gt;=BD163,BD163,AY151*BB163)</f>
        <v>0</v>
      </c>
      <c r="BB163" s="882">
        <f ca="1">BC163/BC174</f>
        <v>3.201024327784891E-4</v>
      </c>
      <c r="BC163" s="883">
        <f ca="1">IF(AY151*BF163/BF174&gt;=AY140+BD163,0,BF163)</f>
        <v>10000</v>
      </c>
      <c r="BD163" s="884">
        <f>($G$48-$G$47)*$G$38</f>
        <v>10000</v>
      </c>
      <c r="BF163" s="885">
        <f>$G$51*$G$19</f>
        <v>10000</v>
      </c>
      <c r="BG163" s="886">
        <f>BF163/BF174</f>
        <v>3.201024327784891E-4</v>
      </c>
      <c r="BJ163" s="665" t="str">
        <f t="shared" ref="BJ163:BJ171" si="51">CONCATENATE("Warrants ",BJ153)</f>
        <v>Warrants Series B</v>
      </c>
      <c r="BK163" s="662">
        <f ca="1">IF(BK151*BN163&gt;=BP163,BP163,BK151*BN163)</f>
        <v>0</v>
      </c>
      <c r="BN163" s="882">
        <f ca="1">BO163/BO174</f>
        <v>3.201024327784891E-4</v>
      </c>
      <c r="BO163" s="883">
        <f ca="1">IF(BK151*BR163/BR174&gt;=BK140+BP163,0,BR163)</f>
        <v>10000</v>
      </c>
      <c r="BP163" s="884">
        <f>($G$48-$G$47)*$G$38</f>
        <v>10000</v>
      </c>
      <c r="BR163" s="885">
        <f>$G$51*$G$19</f>
        <v>10000</v>
      </c>
      <c r="BS163" s="886">
        <f>BR163/BR174</f>
        <v>3.201024327784891E-4</v>
      </c>
      <c r="BV163" s="665" t="str">
        <f t="shared" ref="BV163:BV171" si="52">CONCATENATE("Warrants ",BV153)</f>
        <v>Warrants Series B</v>
      </c>
      <c r="BW163" s="662">
        <f ca="1">IF(BW151*BZ163&gt;=CB163,CB163,BW151*BZ163)</f>
        <v>0</v>
      </c>
      <c r="BZ163" s="882">
        <f ca="1">CA163/CA174</f>
        <v>3.201024327784891E-4</v>
      </c>
      <c r="CA163" s="883">
        <f ca="1">IF(BW151*CD163/CD174&gt;=BW140+CB163,0,CD163)</f>
        <v>10000</v>
      </c>
      <c r="CB163" s="884">
        <f>($G$48-$G$47)*$G$38</f>
        <v>10000</v>
      </c>
      <c r="CD163" s="885">
        <f>$G$51*$G$19</f>
        <v>10000</v>
      </c>
      <c r="CE163" s="886">
        <f>CD163/CD174</f>
        <v>3.201024327784891E-4</v>
      </c>
      <c r="CH163" s="665" t="str">
        <f t="shared" ref="CH163:CH171" si="53">CONCATENATE("Warrants ",CH153)</f>
        <v>Warrants Series B</v>
      </c>
      <c r="CI163" s="662">
        <f ca="1">IF(CI151*CL163&gt;=CN163,CN163,CI151*CL163)</f>
        <v>0</v>
      </c>
      <c r="CL163" s="882">
        <f ca="1">CM163/CM174</f>
        <v>3.201024327784891E-4</v>
      </c>
      <c r="CM163" s="883">
        <f ca="1">IF(CI151*CP163/CP174&gt;=CI140+CN163,0,CP163)</f>
        <v>10000</v>
      </c>
      <c r="CN163" s="884">
        <f>($G$48-$G$47)*$G$38</f>
        <v>10000</v>
      </c>
      <c r="CP163" s="885">
        <f>$G$51*$G$19</f>
        <v>10000</v>
      </c>
      <c r="CQ163" s="886">
        <f>CP163/CP174</f>
        <v>3.201024327784891E-4</v>
      </c>
      <c r="CT163" s="665" t="str">
        <f t="shared" ref="CT163:CT171" si="54">CONCATENATE("Warrants ",CT153)</f>
        <v>Warrants Series B</v>
      </c>
      <c r="CU163" s="662">
        <f ca="1">IF(CU151*CX163&gt;=CZ163,CZ163,CU151*CX163)</f>
        <v>0</v>
      </c>
      <c r="CX163" s="882">
        <f ca="1">CY163/CY174</f>
        <v>3.201024327784891E-4</v>
      </c>
      <c r="CY163" s="883">
        <f ca="1">IF(CU151*DB163/DB174&gt;=CU140+CZ163,0,DB163)</f>
        <v>10000</v>
      </c>
      <c r="CZ163" s="884">
        <f>($G$48-$G$47)*$G$38</f>
        <v>10000</v>
      </c>
      <c r="DB163" s="885">
        <f>$G$51*$G$19</f>
        <v>10000</v>
      </c>
      <c r="DC163" s="886">
        <f>DB163/DB174</f>
        <v>3.201024327784891E-4</v>
      </c>
      <c r="DF163" s="665" t="str">
        <f t="shared" ref="DF163:DF171" si="55">CONCATENATE("Warrants ",DF153)</f>
        <v>Warrants Series B</v>
      </c>
      <c r="DG163" s="662">
        <f ca="1">IF(DG151*DJ163&gt;=DL163,DL163,DG151*DJ163)</f>
        <v>0</v>
      </c>
      <c r="DJ163" s="882">
        <f ca="1">DK163/DK174</f>
        <v>3.201024327784891E-4</v>
      </c>
      <c r="DK163" s="883">
        <f ca="1">IF(DG151*DN163/DN174&gt;=DG140+DL163,0,DN163)</f>
        <v>10000</v>
      </c>
      <c r="DL163" s="884">
        <f>($G$48-$G$47)*$G$38</f>
        <v>10000</v>
      </c>
      <c r="DN163" s="885">
        <f>$G$51*$G$19</f>
        <v>10000</v>
      </c>
      <c r="DO163" s="886">
        <f>DN163/DN174</f>
        <v>3.201024327784891E-4</v>
      </c>
    </row>
    <row r="164" spans="2:119" hidden="1" x14ac:dyDescent="0.25">
      <c r="B164" s="665" t="str">
        <f t="shared" si="46"/>
        <v>Warrants Series C</v>
      </c>
      <c r="C164" s="662">
        <f ca="1">IF(C151*F164&gt;=H164,H164,C151*F164)</f>
        <v>0</v>
      </c>
      <c r="F164" s="882">
        <f ca="1">G164/G174</f>
        <v>3.201024327784891E-4</v>
      </c>
      <c r="G164" s="883">
        <f ca="1">IF(C151*J164/J174&gt;=C141+H164,0,J164)</f>
        <v>10000</v>
      </c>
      <c r="H164" s="884">
        <f>($H$48-$H$47)*$H$38</f>
        <v>10000</v>
      </c>
      <c r="J164" s="885">
        <f>$H$51*$H$19</f>
        <v>10000</v>
      </c>
      <c r="K164" s="886">
        <f>J164/J174</f>
        <v>3.201024327784891E-4</v>
      </c>
      <c r="N164" s="665" t="str">
        <f t="shared" si="47"/>
        <v>Warrants Series C</v>
      </c>
      <c r="O164" s="662">
        <f ca="1">IF(O151*R164&gt;=T164,T164,O151*R164)</f>
        <v>0</v>
      </c>
      <c r="R164" s="882">
        <f ca="1">S164/S174</f>
        <v>3.201024327784891E-4</v>
      </c>
      <c r="S164" s="883">
        <f ca="1">IF(O151*V164/V174&gt;=O141+T164,0,V164)</f>
        <v>10000</v>
      </c>
      <c r="T164" s="884">
        <f>($H$48-$H$47)*$H$38</f>
        <v>10000</v>
      </c>
      <c r="U164" s="663"/>
      <c r="V164" s="885">
        <f>$H$51*$H$19</f>
        <v>10000</v>
      </c>
      <c r="W164" s="886">
        <f>V164/V174</f>
        <v>3.201024327784891E-4</v>
      </c>
      <c r="Z164" s="665" t="str">
        <f t="shared" si="48"/>
        <v>Warrants Series C</v>
      </c>
      <c r="AA164" s="662">
        <f ca="1">IF(AA151*AD164&gt;=AF164,AF164,AA151*AD164)</f>
        <v>0</v>
      </c>
      <c r="AB164" s="663"/>
      <c r="AC164" s="663"/>
      <c r="AD164" s="882">
        <f ca="1">AE164/AE174</f>
        <v>3.201024327784891E-4</v>
      </c>
      <c r="AE164" s="883">
        <f ca="1">IF(AA151*AH164/AH174&gt;=AA141+AF164,0,AH164)</f>
        <v>10000</v>
      </c>
      <c r="AF164" s="884">
        <f>($H$48-$H$47)*$H$38</f>
        <v>10000</v>
      </c>
      <c r="AG164" s="663"/>
      <c r="AH164" s="885">
        <f>$H$51*$H$19</f>
        <v>10000</v>
      </c>
      <c r="AI164" s="886">
        <f>AH164/AH174</f>
        <v>3.201024327784891E-4</v>
      </c>
      <c r="AL164" s="665" t="str">
        <f t="shared" si="49"/>
        <v>Warrants Series C</v>
      </c>
      <c r="AM164" s="662">
        <f ca="1">IF(AM151*AP164&gt;=AR164,AR164,AM151*AP164)</f>
        <v>0</v>
      </c>
      <c r="AN164" s="663"/>
      <c r="AP164" s="882">
        <f ca="1">AQ164/AQ174</f>
        <v>3.201024327784891E-4</v>
      </c>
      <c r="AQ164" s="883">
        <f ca="1">IF(AM151*AT164/AT174&gt;=AM141+AR164,0,AT164)</f>
        <v>10000</v>
      </c>
      <c r="AR164" s="884">
        <f>($H$48-$H$47)*$H$38</f>
        <v>10000</v>
      </c>
      <c r="AT164" s="885">
        <f>$H$51*$H$19</f>
        <v>10000</v>
      </c>
      <c r="AU164" s="886">
        <f>AT164/AT174</f>
        <v>3.201024327784891E-4</v>
      </c>
      <c r="AX164" s="665" t="str">
        <f t="shared" si="50"/>
        <v>Warrants Series C</v>
      </c>
      <c r="AY164" s="662">
        <f ca="1">IF(AY151*BB164&gt;=BD164,BD164,AY151*BB164)</f>
        <v>0</v>
      </c>
      <c r="BB164" s="882">
        <f ca="1">BC164/BC174</f>
        <v>3.201024327784891E-4</v>
      </c>
      <c r="BC164" s="883">
        <f ca="1">IF(AY151*BF164/BF174&gt;=AY141+BD164,0,BF164)</f>
        <v>10000</v>
      </c>
      <c r="BD164" s="884">
        <f>($H$48-$H$47)*$H$38</f>
        <v>10000</v>
      </c>
      <c r="BF164" s="885">
        <f>$H$51*$H$19</f>
        <v>10000</v>
      </c>
      <c r="BG164" s="886">
        <f>BF164/BF174</f>
        <v>3.201024327784891E-4</v>
      </c>
      <c r="BJ164" s="665" t="str">
        <f t="shared" si="51"/>
        <v>Warrants Series C</v>
      </c>
      <c r="BK164" s="662">
        <f ca="1">IF(BK151*BN164&gt;=BP164,BP164,BK151*BN164)</f>
        <v>0</v>
      </c>
      <c r="BN164" s="882">
        <f ca="1">BO164/BO174</f>
        <v>3.201024327784891E-4</v>
      </c>
      <c r="BO164" s="883">
        <f ca="1">IF(BK151*BR164/BR174&gt;=BK141+BP164,0,BR164)</f>
        <v>10000</v>
      </c>
      <c r="BP164" s="884">
        <f>($H$48-$H$47)*$H$38</f>
        <v>10000</v>
      </c>
      <c r="BR164" s="885">
        <f>$H$51*$H$19</f>
        <v>10000</v>
      </c>
      <c r="BS164" s="886">
        <f>BR164/BR174</f>
        <v>3.201024327784891E-4</v>
      </c>
      <c r="BV164" s="665" t="str">
        <f t="shared" si="52"/>
        <v>Warrants Series C</v>
      </c>
      <c r="BW164" s="662">
        <f ca="1">IF(BW151*BZ164&gt;=CB164,CB164,BW151*BZ164)</f>
        <v>0</v>
      </c>
      <c r="BZ164" s="882">
        <f ca="1">CA164/CA174</f>
        <v>3.201024327784891E-4</v>
      </c>
      <c r="CA164" s="883">
        <f ca="1">IF(BW151*CD164/CD174&gt;=BW141+CB164,0,CD164)</f>
        <v>10000</v>
      </c>
      <c r="CB164" s="884">
        <f>($H$48-$H$47)*$H$38</f>
        <v>10000</v>
      </c>
      <c r="CD164" s="885">
        <f>$H$51*$H$19</f>
        <v>10000</v>
      </c>
      <c r="CE164" s="886">
        <f>CD164/CD174</f>
        <v>3.201024327784891E-4</v>
      </c>
      <c r="CH164" s="665" t="str">
        <f t="shared" si="53"/>
        <v>Warrants Series C</v>
      </c>
      <c r="CI164" s="662">
        <f ca="1">IF(CI151*CL164&gt;=CN164,CN164,CI151*CL164)</f>
        <v>0</v>
      </c>
      <c r="CL164" s="882">
        <f ca="1">CM164/CM174</f>
        <v>3.201024327784891E-4</v>
      </c>
      <c r="CM164" s="883">
        <f ca="1">IF(CI151*CP164/CP174&gt;=CI141+CN164,0,CP164)</f>
        <v>10000</v>
      </c>
      <c r="CN164" s="884">
        <f>($H$48-$H$47)*$H$38</f>
        <v>10000</v>
      </c>
      <c r="CP164" s="885">
        <f>$H$51*$H$19</f>
        <v>10000</v>
      </c>
      <c r="CQ164" s="886">
        <f>CP164/CP174</f>
        <v>3.201024327784891E-4</v>
      </c>
      <c r="CT164" s="665" t="str">
        <f t="shared" si="54"/>
        <v>Warrants Series C</v>
      </c>
      <c r="CU164" s="662">
        <f ca="1">IF(CU151*CX164&gt;=CZ164,CZ164,CU151*CX164)</f>
        <v>0</v>
      </c>
      <c r="CX164" s="882">
        <f ca="1">CY164/CY174</f>
        <v>3.201024327784891E-4</v>
      </c>
      <c r="CY164" s="883">
        <f ca="1">IF(CU151*DB164/DB174&gt;=CU141+CZ164,0,DB164)</f>
        <v>10000</v>
      </c>
      <c r="CZ164" s="884">
        <f>($H$48-$H$47)*$H$38</f>
        <v>10000</v>
      </c>
      <c r="DB164" s="885">
        <f>$H$51*$H$19</f>
        <v>10000</v>
      </c>
      <c r="DC164" s="886">
        <f>DB164/DB174</f>
        <v>3.201024327784891E-4</v>
      </c>
      <c r="DF164" s="665" t="str">
        <f t="shared" si="55"/>
        <v>Warrants Series C</v>
      </c>
      <c r="DG164" s="662">
        <f ca="1">IF(DG151*DJ164&gt;=DL164,DL164,DG151*DJ164)</f>
        <v>0</v>
      </c>
      <c r="DJ164" s="882">
        <f ca="1">DK164/DK174</f>
        <v>3.201024327784891E-4</v>
      </c>
      <c r="DK164" s="883">
        <f ca="1">IF(DG151*DN164/DN174&gt;=DG141+DL164,0,DN164)</f>
        <v>10000</v>
      </c>
      <c r="DL164" s="884">
        <f>($H$48-$H$47)*$H$38</f>
        <v>10000</v>
      </c>
      <c r="DN164" s="885">
        <f>$H$51*$H$19</f>
        <v>10000</v>
      </c>
      <c r="DO164" s="886">
        <f>DN164/DN174</f>
        <v>3.201024327784891E-4</v>
      </c>
    </row>
    <row r="165" spans="2:119" hidden="1" x14ac:dyDescent="0.25">
      <c r="B165" s="665" t="str">
        <f t="shared" si="46"/>
        <v>Warrants Series D</v>
      </c>
      <c r="C165" s="662">
        <f ca="1">IF(C151*F165&gt;=H165,H165,C151*F165)</f>
        <v>0</v>
      </c>
      <c r="F165" s="882">
        <f ca="1">G165/G174</f>
        <v>3.201024327784891E-4</v>
      </c>
      <c r="G165" s="883">
        <f ca="1">IF(C151*J165/J174&gt;=C142+H165,0,J165)</f>
        <v>10000</v>
      </c>
      <c r="H165" s="884">
        <f>($I$48-$I$47)*$I$38</f>
        <v>10000</v>
      </c>
      <c r="J165" s="885">
        <f>$I$51*$I$19</f>
        <v>10000</v>
      </c>
      <c r="K165" s="886">
        <f>J165/J174</f>
        <v>3.201024327784891E-4</v>
      </c>
      <c r="N165" s="665" t="str">
        <f t="shared" si="47"/>
        <v>Warrants Series D</v>
      </c>
      <c r="O165" s="662">
        <f ca="1">IF(O151*R165&gt;=T165,T165,O151*R165)</f>
        <v>0</v>
      </c>
      <c r="R165" s="882">
        <f ca="1">S165/S174</f>
        <v>3.201024327784891E-4</v>
      </c>
      <c r="S165" s="883">
        <f ca="1">IF(O151*V165/V174&gt;=O142+T165,0,V165)</f>
        <v>10000</v>
      </c>
      <c r="T165" s="884">
        <f>($I$48-$I$47)*$I$38</f>
        <v>10000</v>
      </c>
      <c r="U165" s="663"/>
      <c r="V165" s="885">
        <f>$I$51*$I$19</f>
        <v>10000</v>
      </c>
      <c r="W165" s="886">
        <f>V165/V174</f>
        <v>3.201024327784891E-4</v>
      </c>
      <c r="Z165" s="665" t="str">
        <f t="shared" si="48"/>
        <v>Warrants Series D</v>
      </c>
      <c r="AA165" s="662">
        <f ca="1">IF(AA151*AD165&gt;=AF165,AF165,AA151*AD165)</f>
        <v>0</v>
      </c>
      <c r="AB165" s="663"/>
      <c r="AC165" s="663"/>
      <c r="AD165" s="882">
        <f ca="1">AE165/AE174</f>
        <v>3.201024327784891E-4</v>
      </c>
      <c r="AE165" s="883">
        <f ca="1">IF(AA151*AH165/AH174&gt;=AA142+AF165,0,AH165)</f>
        <v>10000</v>
      </c>
      <c r="AF165" s="884">
        <f>($I$48-$I$47)*$I$38</f>
        <v>10000</v>
      </c>
      <c r="AG165" s="663"/>
      <c r="AH165" s="885">
        <f>$I$51*$I$19</f>
        <v>10000</v>
      </c>
      <c r="AI165" s="886">
        <f>AH165/AH174</f>
        <v>3.201024327784891E-4</v>
      </c>
      <c r="AL165" s="665" t="str">
        <f t="shared" si="49"/>
        <v>Warrants Series D</v>
      </c>
      <c r="AM165" s="662">
        <f ca="1">IF(AM151*AP165&gt;=AR165,AR165,AM151*AP165)</f>
        <v>0</v>
      </c>
      <c r="AN165" s="663"/>
      <c r="AP165" s="882">
        <f ca="1">AQ165/AQ174</f>
        <v>3.201024327784891E-4</v>
      </c>
      <c r="AQ165" s="883">
        <f ca="1">IF(AM151*AT165/AT174&gt;=AM142+AR165,0,AT165)</f>
        <v>10000</v>
      </c>
      <c r="AR165" s="884">
        <f>($I$48-$I$47)*$I$38</f>
        <v>10000</v>
      </c>
      <c r="AT165" s="885">
        <f>$I$51*$I$19</f>
        <v>10000</v>
      </c>
      <c r="AU165" s="886">
        <f>AT165/AT174</f>
        <v>3.201024327784891E-4</v>
      </c>
      <c r="AX165" s="665" t="str">
        <f t="shared" si="50"/>
        <v>Warrants Series D</v>
      </c>
      <c r="AY165" s="662">
        <f ca="1">IF(AY151*BB165&gt;=BD165,BD165,AY151*BB165)</f>
        <v>0</v>
      </c>
      <c r="BB165" s="882">
        <f ca="1">BC165/BC174</f>
        <v>3.201024327784891E-4</v>
      </c>
      <c r="BC165" s="883">
        <f ca="1">IF(AY151*BF165/BF174&gt;=AY142+BD165,0,BF165)</f>
        <v>10000</v>
      </c>
      <c r="BD165" s="884">
        <f>($I$48-$I$47)*$I$38</f>
        <v>10000</v>
      </c>
      <c r="BF165" s="885">
        <f>$I$51*$I$19</f>
        <v>10000</v>
      </c>
      <c r="BG165" s="886">
        <f>BF165/BF174</f>
        <v>3.201024327784891E-4</v>
      </c>
      <c r="BJ165" s="665" t="str">
        <f t="shared" si="51"/>
        <v>Warrants Series D</v>
      </c>
      <c r="BK165" s="662">
        <f ca="1">IF(BK151*BN165&gt;=BP165,BP165,BK151*BN165)</f>
        <v>0</v>
      </c>
      <c r="BN165" s="882">
        <f ca="1">BO165/BO174</f>
        <v>3.201024327784891E-4</v>
      </c>
      <c r="BO165" s="883">
        <f ca="1">IF(BK151*BR165/BR174&gt;=BK142+BP165,0,BR165)</f>
        <v>10000</v>
      </c>
      <c r="BP165" s="884">
        <f>($I$48-$I$47)*$I$38</f>
        <v>10000</v>
      </c>
      <c r="BR165" s="885">
        <f>$I$51*$I$19</f>
        <v>10000</v>
      </c>
      <c r="BS165" s="886">
        <f>BR165/BR174</f>
        <v>3.201024327784891E-4</v>
      </c>
      <c r="BV165" s="665" t="str">
        <f t="shared" si="52"/>
        <v>Warrants Series D</v>
      </c>
      <c r="BW165" s="662">
        <f ca="1">IF(BW151*BZ165&gt;=CB165,CB165,BW151*BZ165)</f>
        <v>0</v>
      </c>
      <c r="BZ165" s="882">
        <f ca="1">CA165/CA174</f>
        <v>3.201024327784891E-4</v>
      </c>
      <c r="CA165" s="883">
        <f ca="1">IF(BW151*CD165/CD174&gt;=BW142+CB165,0,CD165)</f>
        <v>10000</v>
      </c>
      <c r="CB165" s="884">
        <f>($I$48-$I$47)*$I$38</f>
        <v>10000</v>
      </c>
      <c r="CD165" s="885">
        <f>$I$51*$I$19</f>
        <v>10000</v>
      </c>
      <c r="CE165" s="886">
        <f>CD165/CD174</f>
        <v>3.201024327784891E-4</v>
      </c>
      <c r="CH165" s="665" t="str">
        <f t="shared" si="53"/>
        <v>Warrants Series D</v>
      </c>
      <c r="CI165" s="662">
        <f ca="1">IF(CI151*CL165&gt;=CN165,CN165,CI151*CL165)</f>
        <v>0</v>
      </c>
      <c r="CL165" s="882">
        <f ca="1">CM165/CM174</f>
        <v>3.201024327784891E-4</v>
      </c>
      <c r="CM165" s="883">
        <f ca="1">IF(CI151*CP165/CP174&gt;=CI142+CN165,0,CP165)</f>
        <v>10000</v>
      </c>
      <c r="CN165" s="884">
        <f>($I$48-$I$47)*$I$38</f>
        <v>10000</v>
      </c>
      <c r="CP165" s="885">
        <f>$I$51*$I$19</f>
        <v>10000</v>
      </c>
      <c r="CQ165" s="886">
        <f>CP165/CP174</f>
        <v>3.201024327784891E-4</v>
      </c>
      <c r="CT165" s="665" t="str">
        <f t="shared" si="54"/>
        <v>Warrants Series D</v>
      </c>
      <c r="CU165" s="662">
        <f ca="1">IF(CU151*CX165&gt;=CZ165,CZ165,CU151*CX165)</f>
        <v>0</v>
      </c>
      <c r="CX165" s="882">
        <f ca="1">CY165/CY174</f>
        <v>3.201024327784891E-4</v>
      </c>
      <c r="CY165" s="883">
        <f ca="1">IF(CU151*DB165/DB174&gt;=CU142+CZ165,0,DB165)</f>
        <v>10000</v>
      </c>
      <c r="CZ165" s="884">
        <f>($I$48-$I$47)*$I$38</f>
        <v>10000</v>
      </c>
      <c r="DB165" s="885">
        <f>$I$51*$I$19</f>
        <v>10000</v>
      </c>
      <c r="DC165" s="886">
        <f>DB165/DB174</f>
        <v>3.201024327784891E-4</v>
      </c>
      <c r="DF165" s="665" t="str">
        <f t="shared" si="55"/>
        <v>Warrants Series D</v>
      </c>
      <c r="DG165" s="662">
        <f ca="1">IF(DG151*DJ165&gt;=DL165,DL165,DG151*DJ165)</f>
        <v>0</v>
      </c>
      <c r="DJ165" s="882">
        <f ca="1">DK165/DK174</f>
        <v>3.201024327784891E-4</v>
      </c>
      <c r="DK165" s="883">
        <f ca="1">IF(DG151*DN165/DN174&gt;=DG142+DL165,0,DN165)</f>
        <v>10000</v>
      </c>
      <c r="DL165" s="884">
        <f>($I$48-$I$47)*$I$38</f>
        <v>10000</v>
      </c>
      <c r="DN165" s="885">
        <f>$I$51*$I$19</f>
        <v>10000</v>
      </c>
      <c r="DO165" s="886">
        <f>DN165/DN174</f>
        <v>3.201024327784891E-4</v>
      </c>
    </row>
    <row r="166" spans="2:119" hidden="1" x14ac:dyDescent="0.25">
      <c r="B166" s="665" t="str">
        <f t="shared" si="46"/>
        <v>Warrants -</v>
      </c>
      <c r="C166" s="662">
        <f ca="1">IF(C151*F166&gt;=H166,H166,C151*F166)</f>
        <v>0</v>
      </c>
      <c r="F166" s="882">
        <f ca="1">G166/G174</f>
        <v>0</v>
      </c>
      <c r="G166" s="883">
        <f ca="1">IF(C151*J166/J174&gt;=C143+H166,0,J166)</f>
        <v>0</v>
      </c>
      <c r="H166" s="884">
        <f>($J$48-$J$47)*$J$38</f>
        <v>0</v>
      </c>
      <c r="J166" s="885">
        <f>$J$51*$J$19</f>
        <v>0</v>
      </c>
      <c r="K166" s="886">
        <f>J166/J174</f>
        <v>0</v>
      </c>
      <c r="N166" s="665" t="str">
        <f t="shared" si="47"/>
        <v>Warrants -</v>
      </c>
      <c r="O166" s="662">
        <f ca="1">IF(O151*R166&gt;=T166,T166,O151*R166)</f>
        <v>0</v>
      </c>
      <c r="R166" s="882">
        <f ca="1">S166/S174</f>
        <v>0</v>
      </c>
      <c r="S166" s="883">
        <f ca="1">IF(O151*V166/V174&gt;=O143+T166,0,V166)</f>
        <v>0</v>
      </c>
      <c r="T166" s="884">
        <f>($J$48-$J$47)*$J$38</f>
        <v>0</v>
      </c>
      <c r="U166" s="663"/>
      <c r="V166" s="885">
        <f>$J$51*$J$19</f>
        <v>0</v>
      </c>
      <c r="W166" s="886">
        <f>V166/V174</f>
        <v>0</v>
      </c>
      <c r="Z166" s="665" t="str">
        <f t="shared" si="48"/>
        <v>Warrants -</v>
      </c>
      <c r="AA166" s="662">
        <f ca="1">IF(AA151*AD166&gt;=AF166,AF166,AA151*AD166)</f>
        <v>0</v>
      </c>
      <c r="AB166" s="663"/>
      <c r="AC166" s="663"/>
      <c r="AD166" s="882">
        <f ca="1">AE166/AE174</f>
        <v>0</v>
      </c>
      <c r="AE166" s="883">
        <f ca="1">IF(AA151*AH166/AH174&gt;=AA143+AF166,0,AH166)</f>
        <v>0</v>
      </c>
      <c r="AF166" s="884">
        <f>($J$48-$J$47)*$J$38</f>
        <v>0</v>
      </c>
      <c r="AG166" s="663"/>
      <c r="AH166" s="885">
        <f>$J$51*$J$19</f>
        <v>0</v>
      </c>
      <c r="AI166" s="886">
        <f>AH166/AH174</f>
        <v>0</v>
      </c>
      <c r="AL166" s="665" t="str">
        <f t="shared" si="49"/>
        <v>Warrants -</v>
      </c>
      <c r="AM166" s="662">
        <f ca="1">IF(AM151*AP166&gt;=AR166,AR166,AM151*AP166)</f>
        <v>0</v>
      </c>
      <c r="AN166" s="663"/>
      <c r="AP166" s="882">
        <f ca="1">AQ166/AQ174</f>
        <v>0</v>
      </c>
      <c r="AQ166" s="883">
        <f ca="1">IF(AM151*AT166/AT174&gt;=AM143+AR166,0,AT166)</f>
        <v>0</v>
      </c>
      <c r="AR166" s="884">
        <f>($J$48-$J$47)*$J$38</f>
        <v>0</v>
      </c>
      <c r="AT166" s="885">
        <f>$J$51*$J$19</f>
        <v>0</v>
      </c>
      <c r="AU166" s="886">
        <f>AT166/AT174</f>
        <v>0</v>
      </c>
      <c r="AX166" s="665" t="str">
        <f t="shared" si="50"/>
        <v>Warrants -</v>
      </c>
      <c r="AY166" s="662">
        <f ca="1">IF(AY151*BB166&gt;=BD166,BD166,AY151*BB166)</f>
        <v>0</v>
      </c>
      <c r="BB166" s="882">
        <f ca="1">BC166/BC174</f>
        <v>0</v>
      </c>
      <c r="BC166" s="883">
        <f ca="1">IF(AY151*BF166/BF174&gt;=AY143+BD166,0,BF166)</f>
        <v>0</v>
      </c>
      <c r="BD166" s="884">
        <f>($J$48-$J$47)*$J$38</f>
        <v>0</v>
      </c>
      <c r="BF166" s="885">
        <f>$J$51*$J$19</f>
        <v>0</v>
      </c>
      <c r="BG166" s="886">
        <f>BF166/BF174</f>
        <v>0</v>
      </c>
      <c r="BJ166" s="665" t="str">
        <f t="shared" si="51"/>
        <v>Warrants -</v>
      </c>
      <c r="BK166" s="662">
        <f ca="1">IF(BK151*BN166&gt;=BP166,BP166,BK151*BN166)</f>
        <v>0</v>
      </c>
      <c r="BN166" s="882">
        <f ca="1">BO166/BO174</f>
        <v>0</v>
      </c>
      <c r="BO166" s="883">
        <f ca="1">IF(BK151*BR166/BR174&gt;=BK143+BP166,0,BR166)</f>
        <v>0</v>
      </c>
      <c r="BP166" s="884">
        <f>($J$48-$J$47)*$J$38</f>
        <v>0</v>
      </c>
      <c r="BR166" s="885">
        <f>$J$51*$J$19</f>
        <v>0</v>
      </c>
      <c r="BS166" s="886">
        <f>BR166/BR174</f>
        <v>0</v>
      </c>
      <c r="BV166" s="665" t="str">
        <f t="shared" si="52"/>
        <v>Warrants -</v>
      </c>
      <c r="BW166" s="662">
        <f ca="1">IF(BW151*BZ166&gt;=CB166,CB166,BW151*BZ166)</f>
        <v>0</v>
      </c>
      <c r="BZ166" s="882">
        <f ca="1">CA166/CA174</f>
        <v>0</v>
      </c>
      <c r="CA166" s="883">
        <f ca="1">IF(BW151*CD166/CD174&gt;=BW143+CB166,0,CD166)</f>
        <v>0</v>
      </c>
      <c r="CB166" s="884">
        <f>($J$48-$J$47)*$J$38</f>
        <v>0</v>
      </c>
      <c r="CD166" s="885">
        <f>$J$51*$J$19</f>
        <v>0</v>
      </c>
      <c r="CE166" s="886">
        <f>CD166/CD174</f>
        <v>0</v>
      </c>
      <c r="CH166" s="665" t="str">
        <f t="shared" si="53"/>
        <v>Warrants -</v>
      </c>
      <c r="CI166" s="662">
        <f ca="1">IF(CI151*CL166&gt;=CN166,CN166,CI151*CL166)</f>
        <v>0</v>
      </c>
      <c r="CL166" s="882">
        <f ca="1">CM166/CM174</f>
        <v>0</v>
      </c>
      <c r="CM166" s="883">
        <f ca="1">IF(CI151*CP166/CP174&gt;=CI143+CN166,0,CP166)</f>
        <v>0</v>
      </c>
      <c r="CN166" s="884">
        <f>($J$48-$J$47)*$J$38</f>
        <v>0</v>
      </c>
      <c r="CP166" s="885">
        <f>$J$51*$J$19</f>
        <v>0</v>
      </c>
      <c r="CQ166" s="886">
        <f>CP166/CP174</f>
        <v>0</v>
      </c>
      <c r="CT166" s="665" t="str">
        <f t="shared" si="54"/>
        <v>Warrants -</v>
      </c>
      <c r="CU166" s="662">
        <f ca="1">IF(CU151*CX166&gt;=CZ166,CZ166,CU151*CX166)</f>
        <v>0</v>
      </c>
      <c r="CX166" s="882">
        <f ca="1">CY166/CY174</f>
        <v>0</v>
      </c>
      <c r="CY166" s="883">
        <f ca="1">IF(CU151*DB166/DB174&gt;=CU143+CZ166,0,DB166)</f>
        <v>0</v>
      </c>
      <c r="CZ166" s="884">
        <f>($J$48-$J$47)*$J$38</f>
        <v>0</v>
      </c>
      <c r="DB166" s="885">
        <f>$J$51*$J$19</f>
        <v>0</v>
      </c>
      <c r="DC166" s="886">
        <f>DB166/DB174</f>
        <v>0</v>
      </c>
      <c r="DF166" s="665" t="str">
        <f t="shared" si="55"/>
        <v>Warrants -</v>
      </c>
      <c r="DG166" s="662">
        <f ca="1">IF(DG151*DJ166&gt;=DL166,DL166,DG151*DJ166)</f>
        <v>0</v>
      </c>
      <c r="DJ166" s="882">
        <f ca="1">DK166/DK174</f>
        <v>0</v>
      </c>
      <c r="DK166" s="883">
        <f ca="1">IF(DG151*DN166/DN174&gt;=DG143+DL166,0,DN166)</f>
        <v>0</v>
      </c>
      <c r="DL166" s="884">
        <f>($J$48-$J$47)*$J$38</f>
        <v>0</v>
      </c>
      <c r="DN166" s="885">
        <f>$J$51*$J$19</f>
        <v>0</v>
      </c>
      <c r="DO166" s="886">
        <f>DN166/DN174</f>
        <v>0</v>
      </c>
    </row>
    <row r="167" spans="2:119" hidden="1" x14ac:dyDescent="0.25">
      <c r="B167" s="665" t="str">
        <f t="shared" si="46"/>
        <v>Warrants -</v>
      </c>
      <c r="C167" s="662">
        <f ca="1">IF(C151*F167&gt;=H167,H167,C151*F167)</f>
        <v>0</v>
      </c>
      <c r="F167" s="882">
        <f ca="1">G167/G174</f>
        <v>0</v>
      </c>
      <c r="G167" s="883">
        <f ca="1">IF(C151*J167/J174&gt;=C144+H167,0,J167)</f>
        <v>0</v>
      </c>
      <c r="H167" s="884">
        <f>($K$48-$K$47)*$K$38</f>
        <v>0</v>
      </c>
      <c r="J167" s="885">
        <f>$K$51*$K$19</f>
        <v>0</v>
      </c>
      <c r="K167" s="886">
        <f>J167/J174</f>
        <v>0</v>
      </c>
      <c r="N167" s="665" t="str">
        <f t="shared" si="47"/>
        <v>Warrants -</v>
      </c>
      <c r="O167" s="662">
        <f ca="1">IF(O151*R167&gt;=T167,T167,O151*R167)</f>
        <v>0</v>
      </c>
      <c r="R167" s="882">
        <f ca="1">S167/S174</f>
        <v>0</v>
      </c>
      <c r="S167" s="883">
        <f ca="1">IF(O151*V167/V174&gt;=O144+T167,0,V167)</f>
        <v>0</v>
      </c>
      <c r="T167" s="884">
        <f>($K$48-$K$47)*$K$38</f>
        <v>0</v>
      </c>
      <c r="U167" s="663"/>
      <c r="V167" s="885">
        <f>$K$51*$K$19</f>
        <v>0</v>
      </c>
      <c r="W167" s="886">
        <f>V167/V174</f>
        <v>0</v>
      </c>
      <c r="Z167" s="665" t="str">
        <f t="shared" si="48"/>
        <v>Warrants -</v>
      </c>
      <c r="AA167" s="662">
        <f ca="1">IF(AA151*AD167&gt;=AF167,AF167,AA151*AD167)</f>
        <v>0</v>
      </c>
      <c r="AB167" s="663"/>
      <c r="AC167" s="663"/>
      <c r="AD167" s="882">
        <f ca="1">AE167/AE174</f>
        <v>0</v>
      </c>
      <c r="AE167" s="883">
        <f ca="1">IF(AA151*AH167/AH174&gt;=AA144+AF167,0,AH167)</f>
        <v>0</v>
      </c>
      <c r="AF167" s="884">
        <f>($K$48-$K$47)*$K$38</f>
        <v>0</v>
      </c>
      <c r="AG167" s="663"/>
      <c r="AH167" s="885">
        <f>$K$51*$K$19</f>
        <v>0</v>
      </c>
      <c r="AI167" s="886">
        <f>AH167/AH174</f>
        <v>0</v>
      </c>
      <c r="AL167" s="665" t="str">
        <f t="shared" si="49"/>
        <v>Warrants -</v>
      </c>
      <c r="AM167" s="662">
        <f ca="1">IF(AM151*AP167&gt;=AR167,AR167,AM151*AP167)</f>
        <v>0</v>
      </c>
      <c r="AN167" s="663"/>
      <c r="AP167" s="882">
        <f ca="1">AQ167/AQ174</f>
        <v>0</v>
      </c>
      <c r="AQ167" s="883">
        <f ca="1">IF(AM151*AT167/AT174&gt;=AM144+AR167,0,AT167)</f>
        <v>0</v>
      </c>
      <c r="AR167" s="884">
        <f>($K$48-$K$47)*$K$38</f>
        <v>0</v>
      </c>
      <c r="AT167" s="885">
        <f>$K$51*$K$19</f>
        <v>0</v>
      </c>
      <c r="AU167" s="886">
        <f>AT167/AT174</f>
        <v>0</v>
      </c>
      <c r="AX167" s="665" t="str">
        <f t="shared" si="50"/>
        <v>Warrants -</v>
      </c>
      <c r="AY167" s="662">
        <f ca="1">IF(AY151*BB167&gt;=BD167,BD167,AY151*BB167)</f>
        <v>0</v>
      </c>
      <c r="BB167" s="882">
        <f ca="1">BC167/BC174</f>
        <v>0</v>
      </c>
      <c r="BC167" s="883">
        <f ca="1">IF(AY151*BF167/BF174&gt;=AY144+BD167,0,BF167)</f>
        <v>0</v>
      </c>
      <c r="BD167" s="884">
        <f>($K$48-$K$47)*$K$38</f>
        <v>0</v>
      </c>
      <c r="BF167" s="885">
        <f>$K$51*$K$19</f>
        <v>0</v>
      </c>
      <c r="BG167" s="886">
        <f>BF167/BF174</f>
        <v>0</v>
      </c>
      <c r="BJ167" s="665" t="str">
        <f t="shared" si="51"/>
        <v>Warrants -</v>
      </c>
      <c r="BK167" s="662">
        <f ca="1">IF(BK151*BN167&gt;=BP167,BP167,BK151*BN167)</f>
        <v>0</v>
      </c>
      <c r="BN167" s="882">
        <f ca="1">BO167/BO174</f>
        <v>0</v>
      </c>
      <c r="BO167" s="883">
        <f ca="1">IF(BK151*BR167/BR174&gt;=BK144+BP167,0,BR167)</f>
        <v>0</v>
      </c>
      <c r="BP167" s="884">
        <f>($K$48-$K$47)*$K$38</f>
        <v>0</v>
      </c>
      <c r="BR167" s="885">
        <f>$K$51*$K$19</f>
        <v>0</v>
      </c>
      <c r="BS167" s="886">
        <f>BR167/BR174</f>
        <v>0</v>
      </c>
      <c r="BV167" s="665" t="str">
        <f t="shared" si="52"/>
        <v>Warrants -</v>
      </c>
      <c r="BW167" s="662">
        <f ca="1">IF(BW151*BZ167&gt;=CB167,CB167,BW151*BZ167)</f>
        <v>0</v>
      </c>
      <c r="BZ167" s="882">
        <f ca="1">CA167/CA174</f>
        <v>0</v>
      </c>
      <c r="CA167" s="883">
        <f ca="1">IF(BW151*CD167/CD174&gt;=BW144+CB167,0,CD167)</f>
        <v>0</v>
      </c>
      <c r="CB167" s="884">
        <f>($K$48-$K$47)*$K$38</f>
        <v>0</v>
      </c>
      <c r="CD167" s="885">
        <f>$K$51*$K$19</f>
        <v>0</v>
      </c>
      <c r="CE167" s="886">
        <f>CD167/CD174</f>
        <v>0</v>
      </c>
      <c r="CH167" s="665" t="str">
        <f t="shared" si="53"/>
        <v>Warrants -</v>
      </c>
      <c r="CI167" s="662">
        <f ca="1">IF(CI151*CL167&gt;=CN167,CN167,CI151*CL167)</f>
        <v>0</v>
      </c>
      <c r="CL167" s="882">
        <f ca="1">CM167/CM174</f>
        <v>0</v>
      </c>
      <c r="CM167" s="883">
        <f ca="1">IF(CI151*CP167/CP174&gt;=CI144+CN167,0,CP167)</f>
        <v>0</v>
      </c>
      <c r="CN167" s="884">
        <f>($K$48-$K$47)*$K$38</f>
        <v>0</v>
      </c>
      <c r="CP167" s="885">
        <f>$K$51*$K$19</f>
        <v>0</v>
      </c>
      <c r="CQ167" s="886">
        <f>CP167/CP174</f>
        <v>0</v>
      </c>
      <c r="CT167" s="665" t="str">
        <f t="shared" si="54"/>
        <v>Warrants -</v>
      </c>
      <c r="CU167" s="662">
        <f ca="1">IF(CU151*CX167&gt;=CZ167,CZ167,CU151*CX167)</f>
        <v>0</v>
      </c>
      <c r="CX167" s="882">
        <f ca="1">CY167/CY174</f>
        <v>0</v>
      </c>
      <c r="CY167" s="883">
        <f ca="1">IF(CU151*DB167/DB174&gt;=CU144+CZ167,0,DB167)</f>
        <v>0</v>
      </c>
      <c r="CZ167" s="884">
        <f>($K$48-$K$47)*$K$38</f>
        <v>0</v>
      </c>
      <c r="DB167" s="885">
        <f>$K$51*$K$19</f>
        <v>0</v>
      </c>
      <c r="DC167" s="886">
        <f>DB167/DB174</f>
        <v>0</v>
      </c>
      <c r="DF167" s="665" t="str">
        <f t="shared" si="55"/>
        <v>Warrants -</v>
      </c>
      <c r="DG167" s="662">
        <f ca="1">IF(DG151*DJ167&gt;=DL167,DL167,DG151*DJ167)</f>
        <v>0</v>
      </c>
      <c r="DJ167" s="882">
        <f ca="1">DK167/DK174</f>
        <v>0</v>
      </c>
      <c r="DK167" s="883">
        <f ca="1">IF(DG151*DN167/DN174&gt;=DG144+DL167,0,DN167)</f>
        <v>0</v>
      </c>
      <c r="DL167" s="884">
        <f>($K$48-$K$47)*$K$38</f>
        <v>0</v>
      </c>
      <c r="DN167" s="885">
        <f>$K$51*$K$19</f>
        <v>0</v>
      </c>
      <c r="DO167" s="886">
        <f>DN167/DN174</f>
        <v>0</v>
      </c>
    </row>
    <row r="168" spans="2:119" hidden="1" x14ac:dyDescent="0.25">
      <c r="B168" s="665" t="str">
        <f t="shared" si="46"/>
        <v>Warrants -</v>
      </c>
      <c r="C168" s="662">
        <f ca="1">IF(C151*F168&gt;=H168,H168,C151*F168)</f>
        <v>0</v>
      </c>
      <c r="F168" s="882">
        <f ca="1">G168/G174</f>
        <v>0</v>
      </c>
      <c r="G168" s="883">
        <f ca="1">IF(C151*J168/J174&gt;=C145+H168,0,J168)</f>
        <v>0</v>
      </c>
      <c r="H168" s="884">
        <f>($L$48-$L$47)*$L$38</f>
        <v>0</v>
      </c>
      <c r="J168" s="885">
        <f>$L$51*$L$19</f>
        <v>0</v>
      </c>
      <c r="K168" s="886">
        <f>J168/J174</f>
        <v>0</v>
      </c>
      <c r="N168" s="665" t="str">
        <f t="shared" si="47"/>
        <v>Warrants -</v>
      </c>
      <c r="O168" s="662">
        <f ca="1">IF(O151*R168&gt;=T168,T168,O151*R168)</f>
        <v>0</v>
      </c>
      <c r="R168" s="882">
        <f ca="1">S168/S174</f>
        <v>0</v>
      </c>
      <c r="S168" s="883">
        <f ca="1">IF(O151*V168/V174&gt;=O145+T168,0,V168)</f>
        <v>0</v>
      </c>
      <c r="T168" s="884">
        <f>($L$48-$L$47)*$L$38</f>
        <v>0</v>
      </c>
      <c r="U168" s="663"/>
      <c r="V168" s="885">
        <f>$L$51*$L$19</f>
        <v>0</v>
      </c>
      <c r="W168" s="886">
        <f>V168/V174</f>
        <v>0</v>
      </c>
      <c r="Z168" s="665" t="str">
        <f t="shared" si="48"/>
        <v>Warrants -</v>
      </c>
      <c r="AA168" s="662">
        <f ca="1">IF(AA151*AD168&gt;=AF168,AF168,AA151*AD168)</f>
        <v>0</v>
      </c>
      <c r="AB168" s="663"/>
      <c r="AC168" s="663"/>
      <c r="AD168" s="882">
        <f ca="1">AE168/AE174</f>
        <v>0</v>
      </c>
      <c r="AE168" s="883">
        <f ca="1">IF(AA151*AH168/AH174&gt;=AA145+AF168,0,AH168)</f>
        <v>0</v>
      </c>
      <c r="AF168" s="884">
        <f>($L$48-$L$47)*$L$38</f>
        <v>0</v>
      </c>
      <c r="AG168" s="663"/>
      <c r="AH168" s="885">
        <f>$L$51*$L$19</f>
        <v>0</v>
      </c>
      <c r="AI168" s="886">
        <f>AH168/AH174</f>
        <v>0</v>
      </c>
      <c r="AL168" s="665" t="str">
        <f t="shared" si="49"/>
        <v>Warrants -</v>
      </c>
      <c r="AM168" s="662">
        <f ca="1">IF(AM151*AP168&gt;=AR168,AR168,AM151*AP168)</f>
        <v>0</v>
      </c>
      <c r="AN168" s="663"/>
      <c r="AP168" s="882">
        <f ca="1">AQ168/AQ174</f>
        <v>0</v>
      </c>
      <c r="AQ168" s="883">
        <f ca="1">IF(AM151*AT168/AT174&gt;=AM145+AR168,0,AT168)</f>
        <v>0</v>
      </c>
      <c r="AR168" s="884">
        <f>($L$48-$L$47)*$L$38</f>
        <v>0</v>
      </c>
      <c r="AT168" s="885">
        <f>$L$51*$L$19</f>
        <v>0</v>
      </c>
      <c r="AU168" s="886">
        <f>AT168/AT174</f>
        <v>0</v>
      </c>
      <c r="AX168" s="665" t="str">
        <f t="shared" si="50"/>
        <v>Warrants -</v>
      </c>
      <c r="AY168" s="662">
        <f ca="1">IF(AY151*BB168&gt;=BD168,BD168,AY151*BB168)</f>
        <v>0</v>
      </c>
      <c r="BB168" s="882">
        <f ca="1">BC168/BC174</f>
        <v>0</v>
      </c>
      <c r="BC168" s="883">
        <f ca="1">IF(AY151*BF168/BF174&gt;=AY145+BD168,0,BF168)</f>
        <v>0</v>
      </c>
      <c r="BD168" s="884">
        <f>($L$48-$L$47)*$L$38</f>
        <v>0</v>
      </c>
      <c r="BF168" s="885">
        <f>$L$51*$L$19</f>
        <v>0</v>
      </c>
      <c r="BG168" s="886">
        <f>BF168/BF174</f>
        <v>0</v>
      </c>
      <c r="BJ168" s="665" t="str">
        <f t="shared" si="51"/>
        <v>Warrants -</v>
      </c>
      <c r="BK168" s="662">
        <f ca="1">IF(BK151*BN168&gt;=BP168,BP168,BK151*BN168)</f>
        <v>0</v>
      </c>
      <c r="BN168" s="882">
        <f ca="1">BO168/BO174</f>
        <v>0</v>
      </c>
      <c r="BO168" s="883">
        <f ca="1">IF(BK151*BR168/BR174&gt;=BK145+BP168,0,BR168)</f>
        <v>0</v>
      </c>
      <c r="BP168" s="884">
        <f>($L$48-$L$47)*$L$38</f>
        <v>0</v>
      </c>
      <c r="BR168" s="885">
        <f>$L$51*$L$19</f>
        <v>0</v>
      </c>
      <c r="BS168" s="886">
        <f>BR168/BR174</f>
        <v>0</v>
      </c>
      <c r="BV168" s="665" t="str">
        <f t="shared" si="52"/>
        <v>Warrants -</v>
      </c>
      <c r="BW168" s="662">
        <f ca="1">IF(BW151*BZ168&gt;=CB168,CB168,BW151*BZ168)</f>
        <v>0</v>
      </c>
      <c r="BZ168" s="882">
        <f ca="1">CA168/CA174</f>
        <v>0</v>
      </c>
      <c r="CA168" s="883">
        <f ca="1">IF(BW151*CD168/CD174&gt;=BW145+CB168,0,CD168)</f>
        <v>0</v>
      </c>
      <c r="CB168" s="884">
        <f>($L$48-$L$47)*$L$38</f>
        <v>0</v>
      </c>
      <c r="CD168" s="885">
        <f>$L$51*$L$19</f>
        <v>0</v>
      </c>
      <c r="CE168" s="886">
        <f>CD168/CD174</f>
        <v>0</v>
      </c>
      <c r="CH168" s="665" t="str">
        <f t="shared" si="53"/>
        <v>Warrants -</v>
      </c>
      <c r="CI168" s="662">
        <f ca="1">IF(CI151*CL168&gt;=CN168,CN168,CI151*CL168)</f>
        <v>0</v>
      </c>
      <c r="CL168" s="882">
        <f ca="1">CM168/CM174</f>
        <v>0</v>
      </c>
      <c r="CM168" s="883">
        <f ca="1">IF(CI151*CP168/CP174&gt;=CI145+CN168,0,CP168)</f>
        <v>0</v>
      </c>
      <c r="CN168" s="884">
        <f>($L$48-$L$47)*$L$38</f>
        <v>0</v>
      </c>
      <c r="CP168" s="885">
        <f>$L$51*$L$19</f>
        <v>0</v>
      </c>
      <c r="CQ168" s="886">
        <f>CP168/CP174</f>
        <v>0</v>
      </c>
      <c r="CT168" s="665" t="str">
        <f t="shared" si="54"/>
        <v>Warrants -</v>
      </c>
      <c r="CU168" s="662">
        <f ca="1">IF(CU151*CX168&gt;=CZ168,CZ168,CU151*CX168)</f>
        <v>0</v>
      </c>
      <c r="CX168" s="882">
        <f ca="1">CY168/CY174</f>
        <v>0</v>
      </c>
      <c r="CY168" s="883">
        <f ca="1">IF(CU151*DB168/DB174&gt;=CU145+CZ168,0,DB168)</f>
        <v>0</v>
      </c>
      <c r="CZ168" s="884">
        <f>($L$48-$L$47)*$L$38</f>
        <v>0</v>
      </c>
      <c r="DB168" s="885">
        <f>$L$51*$L$19</f>
        <v>0</v>
      </c>
      <c r="DC168" s="886">
        <f>DB168/DB174</f>
        <v>0</v>
      </c>
      <c r="DF168" s="665" t="str">
        <f t="shared" si="55"/>
        <v>Warrants -</v>
      </c>
      <c r="DG168" s="662">
        <f ca="1">IF(DG151*DJ168&gt;=DL168,DL168,DG151*DJ168)</f>
        <v>0</v>
      </c>
      <c r="DJ168" s="882">
        <f ca="1">DK168/DK174</f>
        <v>0</v>
      </c>
      <c r="DK168" s="883">
        <f ca="1">IF(DG151*DN168/DN174&gt;=DG145+DL168,0,DN168)</f>
        <v>0</v>
      </c>
      <c r="DL168" s="884">
        <f>($L$48-$L$47)*$L$38</f>
        <v>0</v>
      </c>
      <c r="DN168" s="885">
        <f>$L$51*$L$19</f>
        <v>0</v>
      </c>
      <c r="DO168" s="886">
        <f>DN168/DN174</f>
        <v>0</v>
      </c>
    </row>
    <row r="169" spans="2:119" hidden="1" x14ac:dyDescent="0.25">
      <c r="B169" s="665" t="str">
        <f t="shared" si="46"/>
        <v>Warrants -</v>
      </c>
      <c r="C169" s="662">
        <f ca="1">IF(C151*F169&gt;=H169,H169,C151*F169)</f>
        <v>0</v>
      </c>
      <c r="F169" s="882">
        <f ca="1">G169/G174</f>
        <v>0</v>
      </c>
      <c r="G169" s="883">
        <f ca="1">IF(C151*J169/J174&gt;=C146+H169,0,J169)</f>
        <v>0</v>
      </c>
      <c r="H169" s="884">
        <f>($M$48-$M$47)*$M$38</f>
        <v>0</v>
      </c>
      <c r="J169" s="885">
        <f>$M$51*$M$19</f>
        <v>0</v>
      </c>
      <c r="K169" s="886">
        <f>J169/J174</f>
        <v>0</v>
      </c>
      <c r="N169" s="665" t="str">
        <f t="shared" si="47"/>
        <v>Warrants -</v>
      </c>
      <c r="O169" s="662">
        <f ca="1">IF(O151*R169&gt;=T169,T169,O151*R169)</f>
        <v>0</v>
      </c>
      <c r="R169" s="882">
        <f ca="1">S169/S174</f>
        <v>0</v>
      </c>
      <c r="S169" s="883">
        <f ca="1">IF(O151*V169/V174&gt;=O146+T169,0,V169)</f>
        <v>0</v>
      </c>
      <c r="T169" s="884">
        <f>($M$48-$M$47)*$M$38</f>
        <v>0</v>
      </c>
      <c r="U169" s="663"/>
      <c r="V169" s="885">
        <f>$M$51*$M$19</f>
        <v>0</v>
      </c>
      <c r="W169" s="886">
        <f>V169/V174</f>
        <v>0</v>
      </c>
      <c r="Z169" s="665" t="str">
        <f t="shared" si="48"/>
        <v>Warrants -</v>
      </c>
      <c r="AA169" s="662">
        <f ca="1">IF(AA151*AD169&gt;=AF169,AF169,AA151*AD169)</f>
        <v>0</v>
      </c>
      <c r="AB169" s="663"/>
      <c r="AC169" s="663"/>
      <c r="AD169" s="882">
        <f ca="1">AE169/AE174</f>
        <v>0</v>
      </c>
      <c r="AE169" s="883">
        <f ca="1">IF(AA151*AH169/AH174&gt;=AA146+AF169,0,AH169)</f>
        <v>0</v>
      </c>
      <c r="AF169" s="884">
        <f>($M$48-$M$47)*$M$38</f>
        <v>0</v>
      </c>
      <c r="AG169" s="663"/>
      <c r="AH169" s="885">
        <f>$M$51*$M$19</f>
        <v>0</v>
      </c>
      <c r="AI169" s="886">
        <f>AH169/AH174</f>
        <v>0</v>
      </c>
      <c r="AL169" s="665" t="str">
        <f t="shared" si="49"/>
        <v>Warrants -</v>
      </c>
      <c r="AM169" s="662">
        <f ca="1">IF(AM151*AP169&gt;=AR169,AR169,AM151*AP169)</f>
        <v>0</v>
      </c>
      <c r="AN169" s="663"/>
      <c r="AP169" s="882">
        <f ca="1">AQ169/AQ174</f>
        <v>0</v>
      </c>
      <c r="AQ169" s="883">
        <f ca="1">IF(AM151*AT169/AT174&gt;=AM146+AR169,0,AT169)</f>
        <v>0</v>
      </c>
      <c r="AR169" s="884">
        <f>($M$48-$M$47)*$M$38</f>
        <v>0</v>
      </c>
      <c r="AT169" s="885">
        <f>$M$51*$M$19</f>
        <v>0</v>
      </c>
      <c r="AU169" s="886">
        <f>AT169/AT174</f>
        <v>0</v>
      </c>
      <c r="AX169" s="665" t="str">
        <f t="shared" si="50"/>
        <v>Warrants -</v>
      </c>
      <c r="AY169" s="662">
        <f ca="1">IF(AY151*BB169&gt;=BD169,BD169,AY151*BB169)</f>
        <v>0</v>
      </c>
      <c r="BB169" s="882">
        <f ca="1">BC169/BC174</f>
        <v>0</v>
      </c>
      <c r="BC169" s="883">
        <f ca="1">IF(AY151*BF169/BF174&gt;=AY146+BD169,0,BF169)</f>
        <v>0</v>
      </c>
      <c r="BD169" s="884">
        <f>($M$48-$M$47)*$M$38</f>
        <v>0</v>
      </c>
      <c r="BF169" s="885">
        <f>$M$51*$M$19</f>
        <v>0</v>
      </c>
      <c r="BG169" s="886">
        <f>BF169/BF174</f>
        <v>0</v>
      </c>
      <c r="BJ169" s="665" t="str">
        <f t="shared" si="51"/>
        <v>Warrants -</v>
      </c>
      <c r="BK169" s="662">
        <f ca="1">IF(BK151*BN169&gt;=BP169,BP169,BK151*BN169)</f>
        <v>0</v>
      </c>
      <c r="BN169" s="882">
        <f ca="1">BO169/BO174</f>
        <v>0</v>
      </c>
      <c r="BO169" s="883">
        <f ca="1">IF(BK151*BR169/BR174&gt;=BK146+BP169,0,BR169)</f>
        <v>0</v>
      </c>
      <c r="BP169" s="884">
        <f>($M$48-$M$47)*$M$38</f>
        <v>0</v>
      </c>
      <c r="BR169" s="885">
        <f>$M$51*$M$19</f>
        <v>0</v>
      </c>
      <c r="BS169" s="886">
        <f>BR169/BR174</f>
        <v>0</v>
      </c>
      <c r="BV169" s="665" t="str">
        <f t="shared" si="52"/>
        <v>Warrants -</v>
      </c>
      <c r="BW169" s="662">
        <f ca="1">IF(BW151*BZ169&gt;=CB169,CB169,BW151*BZ169)</f>
        <v>0</v>
      </c>
      <c r="BZ169" s="882">
        <f ca="1">CA169/CA174</f>
        <v>0</v>
      </c>
      <c r="CA169" s="883">
        <f ca="1">IF(BW151*CD169/CD174&gt;=BW146+CB169,0,CD169)</f>
        <v>0</v>
      </c>
      <c r="CB169" s="884">
        <f>($M$48-$M$47)*$M$38</f>
        <v>0</v>
      </c>
      <c r="CD169" s="885">
        <f>$M$51*$M$19</f>
        <v>0</v>
      </c>
      <c r="CE169" s="886">
        <f>CD169/CD174</f>
        <v>0</v>
      </c>
      <c r="CH169" s="665" t="str">
        <f t="shared" si="53"/>
        <v>Warrants -</v>
      </c>
      <c r="CI169" s="662">
        <f ca="1">IF(CI151*CL169&gt;=CN169,CN169,CI151*CL169)</f>
        <v>0</v>
      </c>
      <c r="CL169" s="882">
        <f ca="1">CM169/CM174</f>
        <v>0</v>
      </c>
      <c r="CM169" s="883">
        <f ca="1">IF(CI151*CP169/CP174&gt;=CI146+CN169,0,CP169)</f>
        <v>0</v>
      </c>
      <c r="CN169" s="884">
        <f>($M$48-$M$47)*$M$38</f>
        <v>0</v>
      </c>
      <c r="CP169" s="885">
        <f>$M$51*$M$19</f>
        <v>0</v>
      </c>
      <c r="CQ169" s="886">
        <f>CP169/CP174</f>
        <v>0</v>
      </c>
      <c r="CT169" s="665" t="str">
        <f t="shared" si="54"/>
        <v>Warrants -</v>
      </c>
      <c r="CU169" s="662">
        <f ca="1">IF(CU151*CX169&gt;=CZ169,CZ169,CU151*CX169)</f>
        <v>0</v>
      </c>
      <c r="CX169" s="882">
        <f ca="1">CY169/CY174</f>
        <v>0</v>
      </c>
      <c r="CY169" s="883">
        <f ca="1">IF(CU151*DB169/DB174&gt;=CU146+CZ169,0,DB169)</f>
        <v>0</v>
      </c>
      <c r="CZ169" s="884">
        <f>($M$48-$M$47)*$M$38</f>
        <v>0</v>
      </c>
      <c r="DB169" s="885">
        <f>$M$51*$M$19</f>
        <v>0</v>
      </c>
      <c r="DC169" s="886">
        <f>DB169/DB174</f>
        <v>0</v>
      </c>
      <c r="DF169" s="665" t="str">
        <f t="shared" si="55"/>
        <v>Warrants -</v>
      </c>
      <c r="DG169" s="662">
        <f ca="1">IF(DG151*DJ169&gt;=DL169,DL169,DG151*DJ169)</f>
        <v>0</v>
      </c>
      <c r="DJ169" s="882">
        <f ca="1">DK169/DK174</f>
        <v>0</v>
      </c>
      <c r="DK169" s="883">
        <f ca="1">IF(DG151*DN169/DN174&gt;=DG146+DL169,0,DN169)</f>
        <v>0</v>
      </c>
      <c r="DL169" s="884">
        <f>($M$48-$M$47)*$M$38</f>
        <v>0</v>
      </c>
      <c r="DN169" s="885">
        <f>$M$51*$M$19</f>
        <v>0</v>
      </c>
      <c r="DO169" s="886">
        <f>DN169/DN174</f>
        <v>0</v>
      </c>
    </row>
    <row r="170" spans="2:119" hidden="1" x14ac:dyDescent="0.25">
      <c r="B170" s="665" t="str">
        <f t="shared" si="46"/>
        <v>Warrants -</v>
      </c>
      <c r="C170" s="662">
        <f ca="1">IF(C151*F170&gt;=H170,H170,C151*F170)</f>
        <v>0</v>
      </c>
      <c r="F170" s="882">
        <f ca="1">G170/G174</f>
        <v>0</v>
      </c>
      <c r="G170" s="883">
        <f ca="1">IF(C151*J170/J174&gt;=C147+H170,0,J170)</f>
        <v>0</v>
      </c>
      <c r="H170" s="884">
        <f>($N$48-$N$47)*$N$38</f>
        <v>0</v>
      </c>
      <c r="J170" s="885">
        <f>$N$51*$N$19</f>
        <v>0</v>
      </c>
      <c r="K170" s="886">
        <f>J170/J174</f>
        <v>0</v>
      </c>
      <c r="N170" s="665" t="str">
        <f t="shared" si="47"/>
        <v>Warrants -</v>
      </c>
      <c r="O170" s="662">
        <f ca="1">IF(O151*R170&gt;=T170,T170,O151*R170)</f>
        <v>0</v>
      </c>
      <c r="R170" s="882">
        <f ca="1">S170/S174</f>
        <v>0</v>
      </c>
      <c r="S170" s="883">
        <f ca="1">IF(O151*V170/V174&gt;=O147+T170,0,V170)</f>
        <v>0</v>
      </c>
      <c r="T170" s="884">
        <f>($N$48-$N$47)*$N$38</f>
        <v>0</v>
      </c>
      <c r="U170" s="663"/>
      <c r="V170" s="885">
        <f>$N$51*$N$19</f>
        <v>0</v>
      </c>
      <c r="W170" s="886">
        <f>V170/V174</f>
        <v>0</v>
      </c>
      <c r="Z170" s="665" t="str">
        <f t="shared" si="48"/>
        <v>Warrants -</v>
      </c>
      <c r="AA170" s="662">
        <f ca="1">IF(AA151*AD170&gt;=AF170,AF170,AA151*AD170)</f>
        <v>0</v>
      </c>
      <c r="AB170" s="663"/>
      <c r="AC170" s="663"/>
      <c r="AD170" s="882">
        <f ca="1">AE170/AE174</f>
        <v>0</v>
      </c>
      <c r="AE170" s="883">
        <f ca="1">IF(AA151*AH170/AH174&gt;=AA147+AF170,0,AH170)</f>
        <v>0</v>
      </c>
      <c r="AF170" s="884">
        <f>($N$48-$N$47)*$N$38</f>
        <v>0</v>
      </c>
      <c r="AG170" s="663"/>
      <c r="AH170" s="885">
        <f>$N$51*$N$19</f>
        <v>0</v>
      </c>
      <c r="AI170" s="886">
        <f>AH170/AH174</f>
        <v>0</v>
      </c>
      <c r="AL170" s="665" t="str">
        <f t="shared" si="49"/>
        <v>Warrants -</v>
      </c>
      <c r="AM170" s="662">
        <f ca="1">IF(AM151*AP170&gt;=AR170,AR170,AM151*AP170)</f>
        <v>0</v>
      </c>
      <c r="AN170" s="663"/>
      <c r="AP170" s="882">
        <f ca="1">AQ170/AQ174</f>
        <v>0</v>
      </c>
      <c r="AQ170" s="883">
        <f ca="1">IF(AM151*AT170/AT174&gt;=AM147+AR170,0,AT170)</f>
        <v>0</v>
      </c>
      <c r="AR170" s="884">
        <f>($N$48-$N$47)*$N$38</f>
        <v>0</v>
      </c>
      <c r="AT170" s="885">
        <f>$N$51*$N$19</f>
        <v>0</v>
      </c>
      <c r="AU170" s="886">
        <f>AT170/AT174</f>
        <v>0</v>
      </c>
      <c r="AX170" s="665" t="str">
        <f t="shared" si="50"/>
        <v>Warrants -</v>
      </c>
      <c r="AY170" s="662">
        <f ca="1">IF(AY151*BB170&gt;=BD170,BD170,AY151*BB170)</f>
        <v>0</v>
      </c>
      <c r="BB170" s="882">
        <f ca="1">BC170/BC174</f>
        <v>0</v>
      </c>
      <c r="BC170" s="883">
        <f ca="1">IF(AY151*BF170/BF174&gt;=AY147+BD170,0,BF170)</f>
        <v>0</v>
      </c>
      <c r="BD170" s="884">
        <f>($N$48-$N$47)*$N$38</f>
        <v>0</v>
      </c>
      <c r="BF170" s="885">
        <f>$N$51*$N$19</f>
        <v>0</v>
      </c>
      <c r="BG170" s="886">
        <f>BF170/BF174</f>
        <v>0</v>
      </c>
      <c r="BJ170" s="665" t="str">
        <f t="shared" si="51"/>
        <v>Warrants -</v>
      </c>
      <c r="BK170" s="662">
        <f ca="1">IF(BK151*BN170&gt;=BP170,BP170,BK151*BN170)</f>
        <v>0</v>
      </c>
      <c r="BN170" s="882">
        <f ca="1">BO170/BO174</f>
        <v>0</v>
      </c>
      <c r="BO170" s="883">
        <f ca="1">IF(BK151*BR170/BR174&gt;=BK147+BP170,0,BR170)</f>
        <v>0</v>
      </c>
      <c r="BP170" s="884">
        <f>($N$48-$N$47)*$N$38</f>
        <v>0</v>
      </c>
      <c r="BR170" s="885">
        <f>$N$51*$N$19</f>
        <v>0</v>
      </c>
      <c r="BS170" s="886">
        <f>BR170/BR174</f>
        <v>0</v>
      </c>
      <c r="BV170" s="665" t="str">
        <f t="shared" si="52"/>
        <v>Warrants -</v>
      </c>
      <c r="BW170" s="662">
        <f ca="1">IF(BW151*BZ170&gt;=CB170,CB170,BW151*BZ170)</f>
        <v>0</v>
      </c>
      <c r="BZ170" s="882">
        <f ca="1">CA170/CA174</f>
        <v>0</v>
      </c>
      <c r="CA170" s="883">
        <f ca="1">IF(BW151*CD170/CD174&gt;=BW147+CB170,0,CD170)</f>
        <v>0</v>
      </c>
      <c r="CB170" s="884">
        <f>($N$48-$N$47)*$N$38</f>
        <v>0</v>
      </c>
      <c r="CD170" s="885">
        <f>$N$51*$N$19</f>
        <v>0</v>
      </c>
      <c r="CE170" s="886">
        <f>CD170/CD174</f>
        <v>0</v>
      </c>
      <c r="CH170" s="665" t="str">
        <f t="shared" si="53"/>
        <v>Warrants -</v>
      </c>
      <c r="CI170" s="662">
        <f ca="1">IF(CI151*CL170&gt;=CN170,CN170,CI151*CL170)</f>
        <v>0</v>
      </c>
      <c r="CL170" s="882">
        <f ca="1">CM170/CM174</f>
        <v>0</v>
      </c>
      <c r="CM170" s="883">
        <f ca="1">IF(CI151*CP170/CP174&gt;=CI147+CN170,0,CP170)</f>
        <v>0</v>
      </c>
      <c r="CN170" s="884">
        <f>($N$48-$N$47)*$N$38</f>
        <v>0</v>
      </c>
      <c r="CP170" s="885">
        <f>$N$51*$N$19</f>
        <v>0</v>
      </c>
      <c r="CQ170" s="886">
        <f>CP170/CP174</f>
        <v>0</v>
      </c>
      <c r="CT170" s="665" t="str">
        <f t="shared" si="54"/>
        <v>Warrants -</v>
      </c>
      <c r="CU170" s="662">
        <f ca="1">IF(CU151*CX170&gt;=CZ170,CZ170,CU151*CX170)</f>
        <v>0</v>
      </c>
      <c r="CX170" s="882">
        <f ca="1">CY170/CY174</f>
        <v>0</v>
      </c>
      <c r="CY170" s="883">
        <f ca="1">IF(CU151*DB170/DB174&gt;=CU147+CZ170,0,DB170)</f>
        <v>0</v>
      </c>
      <c r="CZ170" s="884">
        <f>($N$48-$N$47)*$N$38</f>
        <v>0</v>
      </c>
      <c r="DB170" s="885">
        <f>$N$51*$N$19</f>
        <v>0</v>
      </c>
      <c r="DC170" s="886">
        <f>DB170/DB174</f>
        <v>0</v>
      </c>
      <c r="DF170" s="665" t="str">
        <f t="shared" si="55"/>
        <v>Warrants -</v>
      </c>
      <c r="DG170" s="662">
        <f ca="1">IF(DG151*DJ170&gt;=DL170,DL170,DG151*DJ170)</f>
        <v>0</v>
      </c>
      <c r="DJ170" s="882">
        <f ca="1">DK170/DK174</f>
        <v>0</v>
      </c>
      <c r="DK170" s="883">
        <f ca="1">IF(DG151*DN170/DN174&gt;=DG147+DL170,0,DN170)</f>
        <v>0</v>
      </c>
      <c r="DL170" s="884">
        <f>($N$48-$N$47)*$N$38</f>
        <v>0</v>
      </c>
      <c r="DN170" s="885">
        <f>$N$51*$N$19</f>
        <v>0</v>
      </c>
      <c r="DO170" s="886">
        <f>DN170/DN174</f>
        <v>0</v>
      </c>
    </row>
    <row r="171" spans="2:119" hidden="1" x14ac:dyDescent="0.25">
      <c r="B171" s="665" t="str">
        <f t="shared" si="46"/>
        <v>Warrants -</v>
      </c>
      <c r="C171" s="662">
        <f ca="1">IF(C151*F171&gt;=H171,H171,C151*F171)</f>
        <v>0</v>
      </c>
      <c r="F171" s="882">
        <f ca="1">G171/G174</f>
        <v>0</v>
      </c>
      <c r="G171" s="883">
        <f ca="1">IF(C151*J171/J174&gt;=C148+H171,0,J171)</f>
        <v>0</v>
      </c>
      <c r="H171" s="884">
        <f>($O$48-$O$47)*$O$38</f>
        <v>0</v>
      </c>
      <c r="J171" s="885">
        <f>$O$51*$O$19</f>
        <v>0</v>
      </c>
      <c r="K171" s="886">
        <f>J171/J174</f>
        <v>0</v>
      </c>
      <c r="N171" s="665" t="str">
        <f t="shared" si="47"/>
        <v>Warrants -</v>
      </c>
      <c r="O171" s="662">
        <f ca="1">IF(O151*R171&gt;=T171,T171,O151*R171)</f>
        <v>0</v>
      </c>
      <c r="R171" s="882">
        <f ca="1">S171/S174</f>
        <v>0</v>
      </c>
      <c r="S171" s="883">
        <f ca="1">IF(O151*V171/V174&gt;=O148+T171,0,V171)</f>
        <v>0</v>
      </c>
      <c r="T171" s="884">
        <f>($O$48-$O$47)*$O$38</f>
        <v>0</v>
      </c>
      <c r="U171" s="663"/>
      <c r="V171" s="885">
        <f>$O$51*$O$19</f>
        <v>0</v>
      </c>
      <c r="W171" s="886">
        <f>V171/V174</f>
        <v>0</v>
      </c>
      <c r="Z171" s="665" t="str">
        <f t="shared" si="48"/>
        <v>Warrants -</v>
      </c>
      <c r="AA171" s="662">
        <f ca="1">IF(AA151*AD171&gt;=AF171,AF171,AA151*AD171)</f>
        <v>0</v>
      </c>
      <c r="AB171" s="663"/>
      <c r="AC171" s="663"/>
      <c r="AD171" s="882">
        <f ca="1">AE171/AE174</f>
        <v>0</v>
      </c>
      <c r="AE171" s="883">
        <f ca="1">IF(AA151*AH171/AH174&gt;=AA148+AF171,0,AH171)</f>
        <v>0</v>
      </c>
      <c r="AF171" s="884">
        <f>($O$48-$O$47)*$O$38</f>
        <v>0</v>
      </c>
      <c r="AG171" s="663"/>
      <c r="AH171" s="885">
        <f>$O$51*$O$19</f>
        <v>0</v>
      </c>
      <c r="AI171" s="886">
        <f>AH171/AH174</f>
        <v>0</v>
      </c>
      <c r="AL171" s="665" t="str">
        <f t="shared" si="49"/>
        <v>Warrants -</v>
      </c>
      <c r="AM171" s="662">
        <f ca="1">IF(AM151*AP171&gt;=AR171,AR171,AM151*AP171)</f>
        <v>0</v>
      </c>
      <c r="AN171" s="663"/>
      <c r="AP171" s="882">
        <f ca="1">AQ171/AQ174</f>
        <v>0</v>
      </c>
      <c r="AQ171" s="883">
        <f ca="1">IF(AM151*AT171/AT174&gt;=AM148+AR171,0,AT171)</f>
        <v>0</v>
      </c>
      <c r="AR171" s="884">
        <f>($O$48-$O$47)*$O$38</f>
        <v>0</v>
      </c>
      <c r="AT171" s="885">
        <f>$O$51*$O$19</f>
        <v>0</v>
      </c>
      <c r="AU171" s="886">
        <f>AT171/AT174</f>
        <v>0</v>
      </c>
      <c r="AX171" s="665" t="str">
        <f t="shared" si="50"/>
        <v>Warrants -</v>
      </c>
      <c r="AY171" s="662">
        <f ca="1">IF(AY151*BB171&gt;=BD171,BD171,AY151*BB171)</f>
        <v>0</v>
      </c>
      <c r="BB171" s="882">
        <f ca="1">BC171/BC174</f>
        <v>0</v>
      </c>
      <c r="BC171" s="883">
        <f ca="1">IF(AY151*BF171/BF174&gt;=AY148+BD171,0,BF171)</f>
        <v>0</v>
      </c>
      <c r="BD171" s="884">
        <f>($O$48-$O$47)*$O$38</f>
        <v>0</v>
      </c>
      <c r="BF171" s="885">
        <f>$O$51*$O$19</f>
        <v>0</v>
      </c>
      <c r="BG171" s="886">
        <f>BF171/BF174</f>
        <v>0</v>
      </c>
      <c r="BJ171" s="665" t="str">
        <f t="shared" si="51"/>
        <v>Warrants -</v>
      </c>
      <c r="BK171" s="662">
        <f ca="1">IF(BK151*BN171&gt;=BP171,BP171,BK151*BN171)</f>
        <v>0</v>
      </c>
      <c r="BN171" s="882">
        <f ca="1">BO171/BO174</f>
        <v>0</v>
      </c>
      <c r="BO171" s="883">
        <f ca="1">IF(BK151*BR171/BR174&gt;=BK148+BP171,0,BR171)</f>
        <v>0</v>
      </c>
      <c r="BP171" s="884">
        <f>($O$48-$O$47)*$O$38</f>
        <v>0</v>
      </c>
      <c r="BR171" s="885">
        <f>$O$51*$O$19</f>
        <v>0</v>
      </c>
      <c r="BS171" s="886">
        <f>BR171/BR174</f>
        <v>0</v>
      </c>
      <c r="BV171" s="665" t="str">
        <f t="shared" si="52"/>
        <v>Warrants -</v>
      </c>
      <c r="BW171" s="662">
        <f ca="1">IF(BW151*BZ171&gt;=CB171,CB171,BW151*BZ171)</f>
        <v>0</v>
      </c>
      <c r="BZ171" s="882">
        <f ca="1">CA171/CA174</f>
        <v>0</v>
      </c>
      <c r="CA171" s="883">
        <f ca="1">IF(BW151*CD171/CD174&gt;=BW148+CB171,0,CD171)</f>
        <v>0</v>
      </c>
      <c r="CB171" s="884">
        <f>($O$48-$O$47)*$O$38</f>
        <v>0</v>
      </c>
      <c r="CD171" s="885">
        <f>$O$51*$O$19</f>
        <v>0</v>
      </c>
      <c r="CE171" s="886">
        <f>CD171/CD174</f>
        <v>0</v>
      </c>
      <c r="CH171" s="665" t="str">
        <f t="shared" si="53"/>
        <v>Warrants -</v>
      </c>
      <c r="CI171" s="662">
        <f ca="1">IF(CI151*CL171&gt;=CN171,CN171,CI151*CL171)</f>
        <v>0</v>
      </c>
      <c r="CL171" s="882">
        <f ca="1">CM171/CM174</f>
        <v>0</v>
      </c>
      <c r="CM171" s="883">
        <f ca="1">IF(CI151*CP171/CP174&gt;=CI148+CN171,0,CP171)</f>
        <v>0</v>
      </c>
      <c r="CN171" s="884">
        <f>($O$48-$O$47)*$O$38</f>
        <v>0</v>
      </c>
      <c r="CP171" s="885">
        <f>$O$51*$O$19</f>
        <v>0</v>
      </c>
      <c r="CQ171" s="886">
        <f>CP171/CP174</f>
        <v>0</v>
      </c>
      <c r="CT171" s="665" t="str">
        <f t="shared" si="54"/>
        <v>Warrants -</v>
      </c>
      <c r="CU171" s="662">
        <f ca="1">IF(CU151*CX171&gt;=CZ171,CZ171,CU151*CX171)</f>
        <v>0</v>
      </c>
      <c r="CX171" s="882">
        <f ca="1">CY171/CY174</f>
        <v>0</v>
      </c>
      <c r="CY171" s="883">
        <f ca="1">IF(CU151*DB171/DB174&gt;=CU148+CZ171,0,DB171)</f>
        <v>0</v>
      </c>
      <c r="CZ171" s="884">
        <f>($O$48-$O$47)*$O$38</f>
        <v>0</v>
      </c>
      <c r="DB171" s="885">
        <f>$O$51*$O$19</f>
        <v>0</v>
      </c>
      <c r="DC171" s="886">
        <f>DB171/DB174</f>
        <v>0</v>
      </c>
      <c r="DF171" s="665" t="str">
        <f t="shared" si="55"/>
        <v>Warrants -</v>
      </c>
      <c r="DG171" s="662">
        <f ca="1">IF(DG151*DJ171&gt;=DL171,DL171,DG151*DJ171)</f>
        <v>0</v>
      </c>
      <c r="DJ171" s="882">
        <f ca="1">DK171/DK174</f>
        <v>0</v>
      </c>
      <c r="DK171" s="883">
        <f ca="1">IF(DG151*DN171/DN174&gt;=DG148+DL171,0,DN171)</f>
        <v>0</v>
      </c>
      <c r="DL171" s="884">
        <f>($O$48-$O$47)*$O$38</f>
        <v>0</v>
      </c>
      <c r="DN171" s="885">
        <f>$O$51*$O$19</f>
        <v>0</v>
      </c>
      <c r="DO171" s="886">
        <f>DN171/DN174</f>
        <v>0</v>
      </c>
    </row>
    <row r="172" spans="2:119" hidden="1" x14ac:dyDescent="0.25">
      <c r="B172" s="668" t="s">
        <v>0</v>
      </c>
      <c r="C172" s="662">
        <f ca="1">F172/(F172+F173)*(C151-SUM(C152:C171))</f>
        <v>0</v>
      </c>
      <c r="D172" s="887"/>
      <c r="F172" s="882">
        <f ca="1">G172/G174</f>
        <v>0.16645326504481434</v>
      </c>
      <c r="G172" s="883">
        <f ca="1">J174-G173-SUM(G152:G171)</f>
        <v>5200000</v>
      </c>
      <c r="H172" s="884">
        <v>0</v>
      </c>
      <c r="J172" s="885">
        <f>$C$26</f>
        <v>5200000</v>
      </c>
      <c r="K172" s="886">
        <f>J172/J174</f>
        <v>0.16645326504481434</v>
      </c>
      <c r="N172" s="668" t="s">
        <v>0</v>
      </c>
      <c r="O172" s="662">
        <f ca="1">R172/(R172+R173)*(O151-SUM(O152:O171))</f>
        <v>0</v>
      </c>
      <c r="P172" s="887"/>
      <c r="R172" s="882">
        <f ca="1">S172/S174</f>
        <v>0.16645326504481434</v>
      </c>
      <c r="S172" s="883">
        <f ca="1">V174-S173-SUM(S152:S171)</f>
        <v>5200000</v>
      </c>
      <c r="T172" s="884">
        <v>0</v>
      </c>
      <c r="U172" s="663"/>
      <c r="V172" s="885">
        <f>$C$26</f>
        <v>5200000</v>
      </c>
      <c r="W172" s="886">
        <f>V172/V174</f>
        <v>0.16645326504481434</v>
      </c>
      <c r="Z172" s="668" t="s">
        <v>0</v>
      </c>
      <c r="AA172" s="662">
        <f ca="1">AD172/(AD172+AD173)*(AA151-SUM(AA152:AA171))</f>
        <v>0</v>
      </c>
      <c r="AB172" s="887"/>
      <c r="AC172" s="663"/>
      <c r="AD172" s="882">
        <f ca="1">AE172/AE174</f>
        <v>0.16645326504481434</v>
      </c>
      <c r="AE172" s="883">
        <f ca="1">AH174-AE173-SUM(AE152:AE171)</f>
        <v>5200000</v>
      </c>
      <c r="AF172" s="884">
        <v>0</v>
      </c>
      <c r="AG172" s="663"/>
      <c r="AH172" s="885">
        <f>$C$26</f>
        <v>5200000</v>
      </c>
      <c r="AI172" s="886">
        <f>AH172/AH174</f>
        <v>0.16645326504481434</v>
      </c>
      <c r="AL172" s="668" t="s">
        <v>0</v>
      </c>
      <c r="AM172" s="662">
        <f ca="1">AP172/(AP172+AP173)*(AM151-SUM(AM152:AM171))</f>
        <v>0</v>
      </c>
      <c r="AN172" s="887"/>
      <c r="AP172" s="882">
        <f ca="1">AQ172/AQ174</f>
        <v>0.16645326504481434</v>
      </c>
      <c r="AQ172" s="883">
        <f ca="1">AT174-AQ173-SUM(AQ152:AQ171)</f>
        <v>5200000</v>
      </c>
      <c r="AR172" s="884">
        <v>0</v>
      </c>
      <c r="AT172" s="885">
        <f>$C$26</f>
        <v>5200000</v>
      </c>
      <c r="AU172" s="886">
        <f>AT172/AT174</f>
        <v>0.16645326504481434</v>
      </c>
      <c r="AX172" s="668" t="s">
        <v>0</v>
      </c>
      <c r="AY172" s="662">
        <f ca="1">BB172/(BB172+BB173)*(AY151-SUM(AY152:AY171))</f>
        <v>0</v>
      </c>
      <c r="AZ172" s="887"/>
      <c r="BB172" s="882">
        <f ca="1">BC172/BC174</f>
        <v>0.16645326504481434</v>
      </c>
      <c r="BC172" s="883">
        <f ca="1">BF174-BC173-SUM(BC152:BC171)</f>
        <v>5200000</v>
      </c>
      <c r="BD172" s="884">
        <v>0</v>
      </c>
      <c r="BF172" s="885">
        <f>$C$26</f>
        <v>5200000</v>
      </c>
      <c r="BG172" s="886">
        <f>BF172/BF174</f>
        <v>0.16645326504481434</v>
      </c>
      <c r="BJ172" s="668" t="s">
        <v>0</v>
      </c>
      <c r="BK172" s="662">
        <f ca="1">BN172/(BN172+BN173)*(BK151-SUM(BK152:BK171))</f>
        <v>0</v>
      </c>
      <c r="BL172" s="887"/>
      <c r="BN172" s="882">
        <f ca="1">BO172/BO174</f>
        <v>0.16645326504481434</v>
      </c>
      <c r="BO172" s="883">
        <f ca="1">BR174-BO173-SUM(BO152:BO171)</f>
        <v>5200000</v>
      </c>
      <c r="BP172" s="884">
        <v>0</v>
      </c>
      <c r="BR172" s="885">
        <f>$C$26</f>
        <v>5200000</v>
      </c>
      <c r="BS172" s="886">
        <f>BR172/BR174</f>
        <v>0.16645326504481434</v>
      </c>
      <c r="BV172" s="668" t="s">
        <v>0</v>
      </c>
      <c r="BW172" s="662">
        <f ca="1">BZ172/(BZ172+BZ173)*(BW151-SUM(BW152:BW171))</f>
        <v>0</v>
      </c>
      <c r="BX172" s="887"/>
      <c r="BZ172" s="882">
        <f ca="1">CA172/CA174</f>
        <v>0.16645326504481434</v>
      </c>
      <c r="CA172" s="883">
        <f ca="1">CD174-CA173-SUM(CA152:CA171)</f>
        <v>5200000</v>
      </c>
      <c r="CB172" s="884">
        <v>0</v>
      </c>
      <c r="CD172" s="885">
        <f>$C$26</f>
        <v>5200000</v>
      </c>
      <c r="CE172" s="886">
        <f>CD172/CD174</f>
        <v>0.16645326504481434</v>
      </c>
      <c r="CH172" s="668" t="s">
        <v>0</v>
      </c>
      <c r="CI172" s="662">
        <f ca="1">CL172/(CL172+CL173)*(CI151-SUM(CI152:CI171))</f>
        <v>0</v>
      </c>
      <c r="CJ172" s="887"/>
      <c r="CL172" s="882">
        <f ca="1">CM172/CM174</f>
        <v>0.16645326504481434</v>
      </c>
      <c r="CM172" s="883">
        <f ca="1">CP174-CM173-SUM(CM152:CM171)</f>
        <v>5200000</v>
      </c>
      <c r="CN172" s="884">
        <v>0</v>
      </c>
      <c r="CP172" s="885">
        <f>$C$26</f>
        <v>5200000</v>
      </c>
      <c r="CQ172" s="886">
        <f>CP172/CP174</f>
        <v>0.16645326504481434</v>
      </c>
      <c r="CT172" s="668" t="s">
        <v>0</v>
      </c>
      <c r="CU172" s="662">
        <f ca="1">CX172/(CX172+CX173)*(CU151-SUM(CU152:CU171))</f>
        <v>0</v>
      </c>
      <c r="CV172" s="887"/>
      <c r="CX172" s="882">
        <f ca="1">CY172/CY174</f>
        <v>0.16645326504481434</v>
      </c>
      <c r="CY172" s="883">
        <f ca="1">DB174-CY173-SUM(CY152:CY171)</f>
        <v>5200000</v>
      </c>
      <c r="CZ172" s="884">
        <v>0</v>
      </c>
      <c r="DB172" s="885">
        <f>$C$26</f>
        <v>5200000</v>
      </c>
      <c r="DC172" s="886">
        <f>DB172/DB174</f>
        <v>0.16645326504481434</v>
      </c>
      <c r="DF172" s="668" t="s">
        <v>0</v>
      </c>
      <c r="DG172" s="662">
        <f ca="1">DJ172/(DJ172+DJ173)*(DG151-SUM(DG152:DG171))</f>
        <v>0</v>
      </c>
      <c r="DH172" s="887"/>
      <c r="DJ172" s="882">
        <f ca="1">DK172/DK174</f>
        <v>0.16645326504481434</v>
      </c>
      <c r="DK172" s="883">
        <f ca="1">DN174-DK173-SUM(DK152:DK171)</f>
        <v>5200000</v>
      </c>
      <c r="DL172" s="884">
        <v>0</v>
      </c>
      <c r="DN172" s="885">
        <f>$C$26</f>
        <v>5200000</v>
      </c>
      <c r="DO172" s="886">
        <f>DN172/DN174</f>
        <v>0.16645326504481434</v>
      </c>
    </row>
    <row r="173" spans="2:119" hidden="1" x14ac:dyDescent="0.25">
      <c r="B173" s="668" t="s">
        <v>1</v>
      </c>
      <c r="C173" s="662">
        <f ca="1">F173/(F172+F173)*(C151-SUM(C152:C171))</f>
        <v>0</v>
      </c>
      <c r="F173" s="882">
        <f ca="1">G173/G174</f>
        <v>0</v>
      </c>
      <c r="G173" s="883">
        <f>$D$26</f>
        <v>0</v>
      </c>
      <c r="H173" s="884">
        <v>0</v>
      </c>
      <c r="J173" s="885">
        <f>$D$26</f>
        <v>0</v>
      </c>
      <c r="K173" s="886">
        <f>J173/J174</f>
        <v>0</v>
      </c>
      <c r="N173" s="668" t="s">
        <v>1</v>
      </c>
      <c r="O173" s="662">
        <f ca="1">R173/(R172+R173)*(O151-SUM(O152:O171))</f>
        <v>0</v>
      </c>
      <c r="R173" s="882">
        <f ca="1">S173/S174</f>
        <v>0</v>
      </c>
      <c r="S173" s="883">
        <f>$D$26</f>
        <v>0</v>
      </c>
      <c r="T173" s="884">
        <v>0</v>
      </c>
      <c r="U173" s="663"/>
      <c r="V173" s="885">
        <f>$D$26</f>
        <v>0</v>
      </c>
      <c r="W173" s="886">
        <f>V173/V174</f>
        <v>0</v>
      </c>
      <c r="Z173" s="668" t="s">
        <v>1</v>
      </c>
      <c r="AA173" s="662">
        <f ca="1">AD173/(AD172+AD173)*(AA151-SUM(AA152:AA171))</f>
        <v>0</v>
      </c>
      <c r="AB173" s="663"/>
      <c r="AC173" s="663"/>
      <c r="AD173" s="882">
        <f ca="1">AE173/AE174</f>
        <v>0</v>
      </c>
      <c r="AE173" s="883">
        <f>$D$26</f>
        <v>0</v>
      </c>
      <c r="AF173" s="884">
        <v>0</v>
      </c>
      <c r="AG173" s="663"/>
      <c r="AH173" s="885">
        <f>$D$26</f>
        <v>0</v>
      </c>
      <c r="AI173" s="886">
        <f>AH173/AH174</f>
        <v>0</v>
      </c>
      <c r="AL173" s="668" t="s">
        <v>1</v>
      </c>
      <c r="AM173" s="662">
        <f ca="1">AP173/(AP172+AP173)*(AM151-SUM(AM152:AM171))</f>
        <v>0</v>
      </c>
      <c r="AN173" s="663"/>
      <c r="AP173" s="882">
        <f ca="1">AQ173/AQ174</f>
        <v>0</v>
      </c>
      <c r="AQ173" s="883">
        <f>$D$26</f>
        <v>0</v>
      </c>
      <c r="AR173" s="884">
        <v>0</v>
      </c>
      <c r="AT173" s="885">
        <f>$D$26</f>
        <v>0</v>
      </c>
      <c r="AU173" s="886">
        <f>AT173/AT174</f>
        <v>0</v>
      </c>
      <c r="AX173" s="668" t="s">
        <v>1</v>
      </c>
      <c r="AY173" s="662">
        <f ca="1">BB173/(BB172+BB173)*(AY151-SUM(AY152:AY171))</f>
        <v>0</v>
      </c>
      <c r="BB173" s="882">
        <f ca="1">BC173/BC174</f>
        <v>0</v>
      </c>
      <c r="BC173" s="883">
        <f>$D$26</f>
        <v>0</v>
      </c>
      <c r="BD173" s="884">
        <v>0</v>
      </c>
      <c r="BF173" s="885">
        <f>$D$26</f>
        <v>0</v>
      </c>
      <c r="BG173" s="886">
        <f>BF173/BF174</f>
        <v>0</v>
      </c>
      <c r="BJ173" s="668" t="s">
        <v>1</v>
      </c>
      <c r="BK173" s="662">
        <f ca="1">BN173/(BN172+BN173)*(BK151-SUM(BK152:BK171))</f>
        <v>0</v>
      </c>
      <c r="BN173" s="882">
        <f ca="1">BO173/BO174</f>
        <v>0</v>
      </c>
      <c r="BO173" s="883">
        <f>$D$26</f>
        <v>0</v>
      </c>
      <c r="BP173" s="884">
        <v>0</v>
      </c>
      <c r="BR173" s="885">
        <f>$D$26</f>
        <v>0</v>
      </c>
      <c r="BS173" s="886">
        <f>BR173/BR174</f>
        <v>0</v>
      </c>
      <c r="BV173" s="668" t="s">
        <v>1</v>
      </c>
      <c r="BW173" s="662">
        <f ca="1">BZ173/(BZ172+BZ173)*(BW151-SUM(BW152:BW171))</f>
        <v>0</v>
      </c>
      <c r="BZ173" s="882">
        <f ca="1">CA173/CA174</f>
        <v>0</v>
      </c>
      <c r="CA173" s="883">
        <f>$D$26</f>
        <v>0</v>
      </c>
      <c r="CB173" s="884">
        <v>0</v>
      </c>
      <c r="CD173" s="885">
        <f>$D$26</f>
        <v>0</v>
      </c>
      <c r="CE173" s="886">
        <f>CD173/CD174</f>
        <v>0</v>
      </c>
      <c r="CH173" s="668" t="s">
        <v>1</v>
      </c>
      <c r="CI173" s="662">
        <f ca="1">CL173/(CL172+CL173)*(CI151-SUM(CI152:CI171))</f>
        <v>0</v>
      </c>
      <c r="CL173" s="882">
        <f ca="1">CM173/CM174</f>
        <v>0</v>
      </c>
      <c r="CM173" s="883">
        <f>$D$26</f>
        <v>0</v>
      </c>
      <c r="CN173" s="884">
        <v>0</v>
      </c>
      <c r="CP173" s="885">
        <f>$D$26</f>
        <v>0</v>
      </c>
      <c r="CQ173" s="886">
        <f>CP173/CP174</f>
        <v>0</v>
      </c>
      <c r="CT173" s="668" t="s">
        <v>1</v>
      </c>
      <c r="CU173" s="662">
        <f ca="1">CX173/(CX172+CX173)*(CU151-SUM(CU152:CU171))</f>
        <v>0</v>
      </c>
      <c r="CX173" s="882">
        <f ca="1">CY173/CY174</f>
        <v>0</v>
      </c>
      <c r="CY173" s="883">
        <f>$D$26</f>
        <v>0</v>
      </c>
      <c r="CZ173" s="884">
        <v>0</v>
      </c>
      <c r="DB173" s="885">
        <f>$D$26</f>
        <v>0</v>
      </c>
      <c r="DC173" s="886">
        <f>DB173/DB174</f>
        <v>0</v>
      </c>
      <c r="DF173" s="668" t="s">
        <v>1</v>
      </c>
      <c r="DG173" s="662">
        <f ca="1">DJ173/(DJ172+DJ173)*(DG151-SUM(DG152:DG171))</f>
        <v>0</v>
      </c>
      <c r="DJ173" s="882">
        <f ca="1">DK173/DK174</f>
        <v>0</v>
      </c>
      <c r="DK173" s="883">
        <f>$D$26</f>
        <v>0</v>
      </c>
      <c r="DL173" s="884">
        <v>0</v>
      </c>
      <c r="DN173" s="885">
        <f>$D$26</f>
        <v>0</v>
      </c>
      <c r="DO173" s="886">
        <f>DN173/DN174</f>
        <v>0</v>
      </c>
    </row>
    <row r="174" spans="2:119" hidden="1" x14ac:dyDescent="0.25">
      <c r="B174" s="668"/>
      <c r="C174" s="662"/>
      <c r="F174" s="888">
        <f ca="1">SUM(F152:F173)</f>
        <v>0.99999999999999978</v>
      </c>
      <c r="G174" s="883">
        <f ca="1">SUM(G152:G173)</f>
        <v>31240000</v>
      </c>
      <c r="J174" s="885">
        <f>SUM(J152:J173)</f>
        <v>31240000</v>
      </c>
      <c r="K174" s="886">
        <f>SUM(K152:K173)</f>
        <v>0.99999999999999978</v>
      </c>
      <c r="N174" s="668"/>
      <c r="O174" s="662"/>
      <c r="R174" s="888">
        <f ca="1">SUM(R152:R173)</f>
        <v>0.99999999999999978</v>
      </c>
      <c r="S174" s="883">
        <f ca="1">SUM(S152:S173)</f>
        <v>31240000</v>
      </c>
      <c r="U174" s="663"/>
      <c r="V174" s="885">
        <f>SUM(V152:V173)</f>
        <v>31240000</v>
      </c>
      <c r="W174" s="886">
        <f>SUM(W152:W173)</f>
        <v>0.99999999999999978</v>
      </c>
      <c r="Z174" s="668"/>
      <c r="AA174" s="662"/>
      <c r="AB174" s="663"/>
      <c r="AC174" s="663"/>
      <c r="AD174" s="888">
        <f ca="1">SUM(AD152:AD173)</f>
        <v>0.99999999999999978</v>
      </c>
      <c r="AE174" s="883">
        <f ca="1">SUM(AE152:AE173)</f>
        <v>31240000</v>
      </c>
      <c r="AF174" s="663"/>
      <c r="AG174" s="663"/>
      <c r="AH174" s="885">
        <f>SUM(AH152:AH173)</f>
        <v>31240000</v>
      </c>
      <c r="AI174" s="886">
        <f>SUM(AI152:AI173)</f>
        <v>0.99999999999999978</v>
      </c>
      <c r="AL174" s="668"/>
      <c r="AM174" s="662"/>
      <c r="AN174" s="663"/>
      <c r="AP174" s="888">
        <f ca="1">SUM(AP152:AP173)</f>
        <v>0.99999999999999978</v>
      </c>
      <c r="AQ174" s="883">
        <f ca="1">SUM(AQ152:AQ173)</f>
        <v>31240000</v>
      </c>
      <c r="AT174" s="885">
        <f>SUM(AT152:AT173)</f>
        <v>31240000</v>
      </c>
      <c r="AU174" s="886">
        <f>SUM(AU152:AU173)</f>
        <v>0.99999999999999978</v>
      </c>
      <c r="AX174" s="668"/>
      <c r="AY174" s="662"/>
      <c r="BB174" s="888">
        <f ca="1">SUM(BB152:BB173)</f>
        <v>0.99999999999999978</v>
      </c>
      <c r="BC174" s="883">
        <f ca="1">SUM(BC152:BC173)</f>
        <v>31240000</v>
      </c>
      <c r="BF174" s="885">
        <f>SUM(BF152:BF173)</f>
        <v>31240000</v>
      </c>
      <c r="BG174" s="886">
        <f>SUM(BG152:BG173)</f>
        <v>0.99999999999999978</v>
      </c>
      <c r="BJ174" s="668"/>
      <c r="BK174" s="662"/>
      <c r="BN174" s="888">
        <f ca="1">SUM(BN152:BN173)</f>
        <v>0.99999999999999978</v>
      </c>
      <c r="BO174" s="883">
        <f ca="1">SUM(BO152:BO173)</f>
        <v>31240000</v>
      </c>
      <c r="BR174" s="885">
        <f>SUM(BR152:BR173)</f>
        <v>31240000</v>
      </c>
      <c r="BS174" s="886">
        <f>SUM(BS152:BS173)</f>
        <v>0.99999999999999978</v>
      </c>
      <c r="BV174" s="668"/>
      <c r="BW174" s="662"/>
      <c r="BZ174" s="888">
        <f ca="1">SUM(BZ152:BZ173)</f>
        <v>0.99999999999999978</v>
      </c>
      <c r="CA174" s="883">
        <f ca="1">SUM(CA152:CA173)</f>
        <v>31240000</v>
      </c>
      <c r="CD174" s="885">
        <f>SUM(CD152:CD173)</f>
        <v>31240000</v>
      </c>
      <c r="CE174" s="886">
        <f>SUM(CE152:CE173)</f>
        <v>0.99999999999999978</v>
      </c>
      <c r="CH174" s="668"/>
      <c r="CI174" s="662"/>
      <c r="CL174" s="888">
        <f ca="1">SUM(CL152:CL173)</f>
        <v>0.99999999999999978</v>
      </c>
      <c r="CM174" s="883">
        <f ca="1">SUM(CM152:CM173)</f>
        <v>31240000</v>
      </c>
      <c r="CP174" s="885">
        <f>SUM(CP152:CP173)</f>
        <v>31240000</v>
      </c>
      <c r="CQ174" s="886">
        <f>SUM(CQ152:CQ173)</f>
        <v>0.99999999999999978</v>
      </c>
      <c r="CT174" s="668"/>
      <c r="CU174" s="662"/>
      <c r="CX174" s="888">
        <f ca="1">SUM(CX152:CX173)</f>
        <v>0.99999999999999978</v>
      </c>
      <c r="CY174" s="883">
        <f ca="1">SUM(CY152:CY173)</f>
        <v>31240000</v>
      </c>
      <c r="DB174" s="885">
        <f>SUM(DB152:DB173)</f>
        <v>31240000</v>
      </c>
      <c r="DC174" s="886">
        <f>SUM(DC152:DC173)</f>
        <v>0.99999999999999978</v>
      </c>
      <c r="DF174" s="668"/>
      <c r="DG174" s="662"/>
      <c r="DJ174" s="888">
        <f ca="1">SUM(DJ152:DJ173)</f>
        <v>0.99999999999999978</v>
      </c>
      <c r="DK174" s="883">
        <f ca="1">SUM(DK152:DK173)</f>
        <v>31240000</v>
      </c>
      <c r="DN174" s="885">
        <f>SUM(DN152:DN173)</f>
        <v>31240000</v>
      </c>
      <c r="DO174" s="886">
        <f>SUM(DO152:DO173)</f>
        <v>0.99999999999999978</v>
      </c>
    </row>
    <row r="175" spans="2:119" hidden="1" x14ac:dyDescent="0.25">
      <c r="B175" s="668"/>
      <c r="C175" s="662"/>
      <c r="K175" s="664"/>
      <c r="N175" s="668"/>
      <c r="O175" s="662"/>
      <c r="U175" s="663"/>
      <c r="W175" s="664"/>
      <c r="Z175" s="668"/>
      <c r="AA175" s="662"/>
      <c r="AB175" s="663"/>
      <c r="AC175" s="663"/>
      <c r="AD175" s="663"/>
      <c r="AE175" s="663"/>
      <c r="AF175" s="663"/>
      <c r="AG175" s="663"/>
      <c r="AH175" s="663"/>
      <c r="AI175" s="664"/>
      <c r="AL175" s="668"/>
      <c r="AM175" s="662"/>
      <c r="AN175" s="663"/>
      <c r="AU175" s="664"/>
      <c r="AX175" s="668"/>
      <c r="AY175" s="662"/>
      <c r="BG175" s="664"/>
      <c r="BJ175" s="668"/>
      <c r="BK175" s="662"/>
      <c r="BS175" s="664"/>
      <c r="BV175" s="668"/>
      <c r="BW175" s="662"/>
      <c r="CE175" s="664"/>
      <c r="CH175" s="668"/>
      <c r="CI175" s="662"/>
      <c r="CQ175" s="664"/>
      <c r="CT175" s="668"/>
      <c r="CU175" s="662"/>
      <c r="DC175" s="664"/>
      <c r="DF175" s="668"/>
      <c r="DG175" s="662"/>
      <c r="DO175" s="664"/>
    </row>
    <row r="176" spans="2:119" hidden="1" x14ac:dyDescent="0.25">
      <c r="B176" s="668"/>
      <c r="C176" s="662"/>
      <c r="K176" s="664"/>
      <c r="N176" s="668"/>
      <c r="O176" s="662"/>
      <c r="U176" s="663"/>
      <c r="W176" s="664"/>
      <c r="Z176" s="668"/>
      <c r="AA176" s="662"/>
      <c r="AB176" s="663"/>
      <c r="AC176" s="663"/>
      <c r="AD176" s="663"/>
      <c r="AE176" s="663"/>
      <c r="AF176" s="663"/>
      <c r="AG176" s="663"/>
      <c r="AH176" s="663"/>
      <c r="AI176" s="664"/>
      <c r="AL176" s="668"/>
      <c r="AM176" s="662"/>
      <c r="AN176" s="663"/>
      <c r="AU176" s="664"/>
      <c r="AX176" s="668"/>
      <c r="AY176" s="662"/>
      <c r="BG176" s="664"/>
      <c r="BJ176" s="668"/>
      <c r="BK176" s="662"/>
      <c r="BS176" s="664"/>
      <c r="BV176" s="668"/>
      <c r="BW176" s="662"/>
      <c r="CE176" s="664"/>
      <c r="CH176" s="668"/>
      <c r="CI176" s="662"/>
      <c r="CQ176" s="664"/>
      <c r="CT176" s="668"/>
      <c r="CU176" s="662"/>
      <c r="DC176" s="664"/>
      <c r="DF176" s="668"/>
      <c r="DG176" s="662"/>
      <c r="DO176" s="664"/>
    </row>
    <row r="177" spans="2:119" hidden="1" x14ac:dyDescent="0.25">
      <c r="B177" s="665" t="str">
        <f>B152</f>
        <v>Series A</v>
      </c>
      <c r="C177" s="662">
        <f ca="1">MAX(J152/G172*C172,C152+C129)</f>
        <v>0</v>
      </c>
      <c r="K177" s="664"/>
      <c r="N177" s="665" t="str">
        <f>N152</f>
        <v>Series A</v>
      </c>
      <c r="O177" s="662">
        <f ca="1">MAX(V152/S172*O172,O152+O129)</f>
        <v>0</v>
      </c>
      <c r="U177" s="663"/>
      <c r="W177" s="664"/>
      <c r="Z177" s="665" t="str">
        <f>Z152</f>
        <v>Series A</v>
      </c>
      <c r="AA177" s="662">
        <f ca="1">MAX(AH152/AE172*AA172,AA152+AA129)</f>
        <v>0</v>
      </c>
      <c r="AB177" s="663"/>
      <c r="AC177" s="663"/>
      <c r="AD177" s="663"/>
      <c r="AE177" s="663"/>
      <c r="AF177" s="663"/>
      <c r="AG177" s="663"/>
      <c r="AH177" s="663"/>
      <c r="AI177" s="664"/>
      <c r="AL177" s="665" t="str">
        <f>AL152</f>
        <v>Series A</v>
      </c>
      <c r="AM177" s="662">
        <f ca="1">MAX(AT152/AQ172*AM172,AM152+AM129)</f>
        <v>0</v>
      </c>
      <c r="AN177" s="663"/>
      <c r="AU177" s="664"/>
      <c r="AX177" s="665" t="str">
        <f>AX152</f>
        <v>Series A</v>
      </c>
      <c r="AY177" s="662">
        <f ca="1">MAX(BF152/BC172*AY172,AY152+AY129)</f>
        <v>0</v>
      </c>
      <c r="BG177" s="664"/>
      <c r="BJ177" s="665" t="str">
        <f>BJ152</f>
        <v>Series A</v>
      </c>
      <c r="BK177" s="662">
        <f ca="1">MAX(BR152/BO172*BK172,BK152+BK129)</f>
        <v>0</v>
      </c>
      <c r="BS177" s="664"/>
      <c r="BV177" s="665" t="str">
        <f>BV152</f>
        <v>Series A</v>
      </c>
      <c r="BW177" s="662">
        <f ca="1">MAX(CD152/CA172*BW172,BW152+BW129)</f>
        <v>0</v>
      </c>
      <c r="CE177" s="664"/>
      <c r="CH177" s="665" t="str">
        <f>CH152</f>
        <v>Series A</v>
      </c>
      <c r="CI177" s="662">
        <f ca="1">MAX(CP152/CM172*CI172,CI152+CI129)</f>
        <v>0</v>
      </c>
      <c r="CQ177" s="664"/>
      <c r="CT177" s="665" t="str">
        <f>CT152</f>
        <v>Series A</v>
      </c>
      <c r="CU177" s="662">
        <f ca="1">MAX(DB152/CY172*CU172,CU152+CU129)</f>
        <v>0</v>
      </c>
      <c r="DC177" s="664"/>
      <c r="DF177" s="665" t="str">
        <f>DF152</f>
        <v>Series A</v>
      </c>
      <c r="DG177" s="662">
        <f ca="1">MAX(DN152/DK172*DG172,DG152+DG129)</f>
        <v>0</v>
      </c>
      <c r="DO177" s="664"/>
    </row>
    <row r="178" spans="2:119" hidden="1" x14ac:dyDescent="0.25">
      <c r="B178" s="665" t="str">
        <f t="shared" ref="B178:B198" si="56">B153</f>
        <v>Series B</v>
      </c>
      <c r="C178" s="662">
        <f ca="1">MAX(J153/G172*C172,C153+C130)</f>
        <v>0</v>
      </c>
      <c r="K178" s="664"/>
      <c r="N178" s="665" t="str">
        <f t="shared" ref="N178:N198" si="57">N153</f>
        <v>Series B</v>
      </c>
      <c r="O178" s="662">
        <f ca="1">MAX(V153/S172*O172,O153+O130)</f>
        <v>0</v>
      </c>
      <c r="U178" s="663"/>
      <c r="W178" s="664"/>
      <c r="Z178" s="665" t="str">
        <f t="shared" ref="Z178:Z198" si="58">Z153</f>
        <v>Series B</v>
      </c>
      <c r="AA178" s="662">
        <f ca="1">MAX(AH153/AE172*AA172,AA153+AA130)</f>
        <v>0</v>
      </c>
      <c r="AB178" s="663"/>
      <c r="AC178" s="663"/>
      <c r="AD178" s="663"/>
      <c r="AE178" s="663"/>
      <c r="AF178" s="663"/>
      <c r="AG178" s="663"/>
      <c r="AH178" s="663"/>
      <c r="AI178" s="664"/>
      <c r="AL178" s="665" t="str">
        <f t="shared" ref="AL178:AL198" si="59">AL153</f>
        <v>Series B</v>
      </c>
      <c r="AM178" s="662">
        <f ca="1">MAX(AT153/AQ172*AM172,AM153+AM130)</f>
        <v>0</v>
      </c>
      <c r="AN178" s="663"/>
      <c r="AU178" s="664"/>
      <c r="AX178" s="665" t="str">
        <f t="shared" ref="AX178:AX198" si="60">AX153</f>
        <v>Series B</v>
      </c>
      <c r="AY178" s="662">
        <f ca="1">MAX(BF153/BC172*AY172,AY153+AY130)</f>
        <v>0</v>
      </c>
      <c r="BG178" s="664"/>
      <c r="BJ178" s="665" t="str">
        <f t="shared" ref="BJ178:BJ198" si="61">BJ153</f>
        <v>Series B</v>
      </c>
      <c r="BK178" s="662">
        <f ca="1">MAX(BR153/BO172*BK172,BK153+BK130)</f>
        <v>0</v>
      </c>
      <c r="BS178" s="664"/>
      <c r="BV178" s="665" t="str">
        <f t="shared" ref="BV178:BV198" si="62">BV153</f>
        <v>Series B</v>
      </c>
      <c r="BW178" s="662">
        <f ca="1">MAX(CD153/CA172*BW172,BW153+BW130)</f>
        <v>0</v>
      </c>
      <c r="CE178" s="664"/>
      <c r="CH178" s="665" t="str">
        <f t="shared" ref="CH178:CH198" si="63">CH153</f>
        <v>Series B</v>
      </c>
      <c r="CI178" s="662">
        <f ca="1">MAX(CP153/CM172*CI172,CI153+CI130)</f>
        <v>0</v>
      </c>
      <c r="CQ178" s="664"/>
      <c r="CT178" s="665" t="str">
        <f t="shared" ref="CT178:CT198" si="64">CT153</f>
        <v>Series B</v>
      </c>
      <c r="CU178" s="662">
        <f ca="1">MAX(DB153/CY172*CU172,CU153+CU130)</f>
        <v>0</v>
      </c>
      <c r="DC178" s="664"/>
      <c r="DF178" s="665" t="str">
        <f t="shared" ref="DF178:DF198" si="65">DF153</f>
        <v>Series B</v>
      </c>
      <c r="DG178" s="662">
        <f ca="1">MAX(DN153/DK172*DG172,DG153+DG130)</f>
        <v>0</v>
      </c>
      <c r="DO178" s="664"/>
    </row>
    <row r="179" spans="2:119" hidden="1" x14ac:dyDescent="0.25">
      <c r="B179" s="665" t="str">
        <f t="shared" si="56"/>
        <v>Series C</v>
      </c>
      <c r="C179" s="662">
        <f ca="1">MAX(J154/G172*C172,C154+C131)</f>
        <v>0</v>
      </c>
      <c r="K179" s="664"/>
      <c r="N179" s="665" t="str">
        <f t="shared" si="57"/>
        <v>Series C</v>
      </c>
      <c r="O179" s="662">
        <f ca="1">MAX(V154/S172*O172,O154+O131)</f>
        <v>0</v>
      </c>
      <c r="U179" s="663"/>
      <c r="W179" s="664"/>
      <c r="Z179" s="665" t="str">
        <f t="shared" si="58"/>
        <v>Series C</v>
      </c>
      <c r="AA179" s="662">
        <f ca="1">MAX(AH154/AE172*AA172,AA154+AA131)</f>
        <v>0</v>
      </c>
      <c r="AB179" s="663"/>
      <c r="AC179" s="663"/>
      <c r="AD179" s="663"/>
      <c r="AE179" s="663"/>
      <c r="AF179" s="663"/>
      <c r="AG179" s="663"/>
      <c r="AH179" s="663"/>
      <c r="AI179" s="664"/>
      <c r="AL179" s="665" t="str">
        <f t="shared" si="59"/>
        <v>Series C</v>
      </c>
      <c r="AM179" s="662">
        <f ca="1">MAX(AT154/AQ172*AM172,AM154+AM131)</f>
        <v>0</v>
      </c>
      <c r="AN179" s="663"/>
      <c r="AU179" s="664"/>
      <c r="AX179" s="665" t="str">
        <f t="shared" si="60"/>
        <v>Series C</v>
      </c>
      <c r="AY179" s="662">
        <f ca="1">MAX(BF154/BC172*AY172,AY154+AY131)</f>
        <v>0</v>
      </c>
      <c r="BG179" s="664"/>
      <c r="BJ179" s="665" t="str">
        <f t="shared" si="61"/>
        <v>Series C</v>
      </c>
      <c r="BK179" s="662">
        <f ca="1">MAX(BR154/BO172*BK172,BK154+BK131)</f>
        <v>0</v>
      </c>
      <c r="BS179" s="664"/>
      <c r="BV179" s="665" t="str">
        <f t="shared" si="62"/>
        <v>Series C</v>
      </c>
      <c r="BW179" s="662">
        <f ca="1">MAX(CD154/CA172*BW172,BW154+BW131)</f>
        <v>0</v>
      </c>
      <c r="CE179" s="664"/>
      <c r="CH179" s="665" t="str">
        <f t="shared" si="63"/>
        <v>Series C</v>
      </c>
      <c r="CI179" s="662">
        <f ca="1">MAX(CP154/CM172*CI172,CI154+CI131)</f>
        <v>0</v>
      </c>
      <c r="CQ179" s="664"/>
      <c r="CT179" s="665" t="str">
        <f t="shared" si="64"/>
        <v>Series C</v>
      </c>
      <c r="CU179" s="662">
        <f ca="1">MAX(DB154/CY172*CU172,CU154+CU131)</f>
        <v>0</v>
      </c>
      <c r="DC179" s="664"/>
      <c r="DF179" s="665" t="str">
        <f t="shared" si="65"/>
        <v>Series C</v>
      </c>
      <c r="DG179" s="662">
        <f ca="1">MAX(DN154/DK172*DG172,DG154+DG131)</f>
        <v>0</v>
      </c>
      <c r="DO179" s="664"/>
    </row>
    <row r="180" spans="2:119" hidden="1" x14ac:dyDescent="0.25">
      <c r="B180" s="665" t="str">
        <f t="shared" si="56"/>
        <v>Series D</v>
      </c>
      <c r="C180" s="662">
        <f ca="1">MAX(J155/G172*C172,C155+C132)</f>
        <v>0</v>
      </c>
      <c r="K180" s="664"/>
      <c r="N180" s="665" t="str">
        <f t="shared" si="57"/>
        <v>Series D</v>
      </c>
      <c r="O180" s="662">
        <f ca="1">MAX(V155/S172*O172,O155+O132)</f>
        <v>0</v>
      </c>
      <c r="U180" s="663"/>
      <c r="W180" s="664"/>
      <c r="Z180" s="665" t="str">
        <f t="shared" si="58"/>
        <v>Series D</v>
      </c>
      <c r="AA180" s="662">
        <f ca="1">MAX(AH155/AE172*AA172,AA155+AA132)</f>
        <v>0</v>
      </c>
      <c r="AB180" s="663"/>
      <c r="AC180" s="663"/>
      <c r="AD180" s="663"/>
      <c r="AE180" s="663"/>
      <c r="AF180" s="663"/>
      <c r="AG180" s="663"/>
      <c r="AH180" s="663"/>
      <c r="AI180" s="664"/>
      <c r="AL180" s="665" t="str">
        <f t="shared" si="59"/>
        <v>Series D</v>
      </c>
      <c r="AM180" s="662">
        <f ca="1">MAX(AT155/AQ172*AM172,AM155+AM132)</f>
        <v>0</v>
      </c>
      <c r="AN180" s="663"/>
      <c r="AU180" s="664"/>
      <c r="AX180" s="665" t="str">
        <f t="shared" si="60"/>
        <v>Series D</v>
      </c>
      <c r="AY180" s="662">
        <f ca="1">MAX(BF155/BC172*AY172,AY155+AY132)</f>
        <v>0</v>
      </c>
      <c r="BG180" s="664"/>
      <c r="BJ180" s="665" t="str">
        <f t="shared" si="61"/>
        <v>Series D</v>
      </c>
      <c r="BK180" s="662">
        <f ca="1">MAX(BR155/BO172*BK172,BK155+BK132)</f>
        <v>0</v>
      </c>
      <c r="BS180" s="664"/>
      <c r="BV180" s="665" t="str">
        <f t="shared" si="62"/>
        <v>Series D</v>
      </c>
      <c r="BW180" s="662">
        <f ca="1">MAX(CD155/CA172*BW172,BW155+BW132)</f>
        <v>0</v>
      </c>
      <c r="CE180" s="664"/>
      <c r="CH180" s="665" t="str">
        <f t="shared" si="63"/>
        <v>Series D</v>
      </c>
      <c r="CI180" s="662">
        <f ca="1">MAX(CP155/CM172*CI172,CI155+CI132)</f>
        <v>0</v>
      </c>
      <c r="CQ180" s="664"/>
      <c r="CT180" s="665" t="str">
        <f t="shared" si="64"/>
        <v>Series D</v>
      </c>
      <c r="CU180" s="662">
        <f ca="1">MAX(DB155/CY172*CU172,CU155+CU132)</f>
        <v>0</v>
      </c>
      <c r="DC180" s="664"/>
      <c r="DF180" s="665" t="str">
        <f t="shared" si="65"/>
        <v>Series D</v>
      </c>
      <c r="DG180" s="662">
        <f ca="1">MAX(DN155/DK172*DG172,DG155+DG132)</f>
        <v>0</v>
      </c>
      <c r="DO180" s="664"/>
    </row>
    <row r="181" spans="2:119" hidden="1" x14ac:dyDescent="0.25">
      <c r="B181" s="665" t="str">
        <f t="shared" si="56"/>
        <v>-</v>
      </c>
      <c r="C181" s="662">
        <f ca="1">MAX(J156/G172*C172,C156+C133)</f>
        <v>0</v>
      </c>
      <c r="K181" s="664"/>
      <c r="N181" s="665" t="str">
        <f t="shared" si="57"/>
        <v>-</v>
      </c>
      <c r="O181" s="662">
        <f ca="1">MAX(V156/S172*O172,O156+O133)</f>
        <v>0</v>
      </c>
      <c r="U181" s="663"/>
      <c r="W181" s="664"/>
      <c r="Z181" s="665" t="str">
        <f t="shared" si="58"/>
        <v>-</v>
      </c>
      <c r="AA181" s="662">
        <f ca="1">MAX(AH156/AE172*AA172,AA156+AA133)</f>
        <v>0</v>
      </c>
      <c r="AB181" s="663"/>
      <c r="AC181" s="663"/>
      <c r="AD181" s="663"/>
      <c r="AE181" s="663"/>
      <c r="AF181" s="663"/>
      <c r="AG181" s="663"/>
      <c r="AH181" s="663"/>
      <c r="AI181" s="664"/>
      <c r="AL181" s="665" t="str">
        <f t="shared" si="59"/>
        <v>-</v>
      </c>
      <c r="AM181" s="662">
        <f ca="1">MAX(AT156/AQ172*AM172,AM156+AM133)</f>
        <v>0</v>
      </c>
      <c r="AN181" s="663"/>
      <c r="AU181" s="664"/>
      <c r="AX181" s="665" t="str">
        <f t="shared" si="60"/>
        <v>-</v>
      </c>
      <c r="AY181" s="662">
        <f ca="1">MAX(BF156/BC172*AY172,AY156+AY133)</f>
        <v>0</v>
      </c>
      <c r="BG181" s="664"/>
      <c r="BJ181" s="665" t="str">
        <f t="shared" si="61"/>
        <v>-</v>
      </c>
      <c r="BK181" s="662">
        <f ca="1">MAX(BR156/BO172*BK172,BK156+BK133)</f>
        <v>0</v>
      </c>
      <c r="BS181" s="664"/>
      <c r="BV181" s="665" t="str">
        <f t="shared" si="62"/>
        <v>-</v>
      </c>
      <c r="BW181" s="662">
        <f ca="1">MAX(CD156/CA172*BW172,BW156+BW133)</f>
        <v>0</v>
      </c>
      <c r="CE181" s="664"/>
      <c r="CH181" s="665" t="str">
        <f t="shared" si="63"/>
        <v>-</v>
      </c>
      <c r="CI181" s="662">
        <f ca="1">MAX(CP156/CM172*CI172,CI156+CI133)</f>
        <v>0</v>
      </c>
      <c r="CQ181" s="664"/>
      <c r="CT181" s="665" t="str">
        <f t="shared" si="64"/>
        <v>-</v>
      </c>
      <c r="CU181" s="662">
        <f ca="1">MAX(DB156/CY172*CU172,CU156+CU133)</f>
        <v>0</v>
      </c>
      <c r="DC181" s="664"/>
      <c r="DF181" s="665" t="str">
        <f t="shared" si="65"/>
        <v>-</v>
      </c>
      <c r="DG181" s="662">
        <f ca="1">MAX(DN156/DK172*DG172,DG156+DG133)</f>
        <v>0</v>
      </c>
      <c r="DO181" s="664"/>
    </row>
    <row r="182" spans="2:119" hidden="1" x14ac:dyDescent="0.25">
      <c r="B182" s="665" t="str">
        <f t="shared" si="56"/>
        <v>-</v>
      </c>
      <c r="C182" s="662">
        <f ca="1">MAX(J157/G172*C172,C157+C134)</f>
        <v>0</v>
      </c>
      <c r="E182" s="889"/>
      <c r="K182" s="664"/>
      <c r="N182" s="665" t="str">
        <f t="shared" si="57"/>
        <v>-</v>
      </c>
      <c r="O182" s="662">
        <f ca="1">MAX(V157/S172*O172,O157+O134)</f>
        <v>0</v>
      </c>
      <c r="Q182" s="889"/>
      <c r="U182" s="663"/>
      <c r="W182" s="664"/>
      <c r="Z182" s="665" t="str">
        <f t="shared" si="58"/>
        <v>-</v>
      </c>
      <c r="AA182" s="662">
        <f ca="1">MAX(AH157/AE172*AA172,AA157+AA134)</f>
        <v>0</v>
      </c>
      <c r="AB182" s="663"/>
      <c r="AC182" s="889"/>
      <c r="AD182" s="663"/>
      <c r="AE182" s="663"/>
      <c r="AF182" s="663"/>
      <c r="AG182" s="663"/>
      <c r="AH182" s="663"/>
      <c r="AI182" s="664"/>
      <c r="AL182" s="665" t="str">
        <f t="shared" si="59"/>
        <v>-</v>
      </c>
      <c r="AM182" s="662">
        <f ca="1">MAX(AT157/AQ172*AM172,AM157+AM134)</f>
        <v>0</v>
      </c>
      <c r="AN182" s="663"/>
      <c r="AO182" s="889"/>
      <c r="AU182" s="664"/>
      <c r="AX182" s="665" t="str">
        <f t="shared" si="60"/>
        <v>-</v>
      </c>
      <c r="AY182" s="662">
        <f ca="1">MAX(BF157/BC172*AY172,AY157+AY134)</f>
        <v>0</v>
      </c>
      <c r="BA182" s="889"/>
      <c r="BG182" s="664"/>
      <c r="BJ182" s="665" t="str">
        <f t="shared" si="61"/>
        <v>-</v>
      </c>
      <c r="BK182" s="662">
        <f ca="1">MAX(BR157/BO172*BK172,BK157+BK134)</f>
        <v>0</v>
      </c>
      <c r="BM182" s="889"/>
      <c r="BS182" s="664"/>
      <c r="BV182" s="665" t="str">
        <f t="shared" si="62"/>
        <v>-</v>
      </c>
      <c r="BW182" s="662">
        <f ca="1">MAX(CD157/CA172*BW172,BW157+BW134)</f>
        <v>0</v>
      </c>
      <c r="BY182" s="889"/>
      <c r="CE182" s="664"/>
      <c r="CH182" s="665" t="str">
        <f t="shared" si="63"/>
        <v>-</v>
      </c>
      <c r="CI182" s="662">
        <f ca="1">MAX(CP157/CM172*CI172,CI157+CI134)</f>
        <v>0</v>
      </c>
      <c r="CK182" s="889"/>
      <c r="CQ182" s="664"/>
      <c r="CT182" s="665" t="str">
        <f t="shared" si="64"/>
        <v>-</v>
      </c>
      <c r="CU182" s="662">
        <f ca="1">MAX(DB157/CY172*CU172,CU157+CU134)</f>
        <v>0</v>
      </c>
      <c r="CW182" s="889"/>
      <c r="DC182" s="664"/>
      <c r="DF182" s="665" t="str">
        <f t="shared" si="65"/>
        <v>-</v>
      </c>
      <c r="DG182" s="662">
        <f ca="1">MAX(DN157/DK172*DG172,DG157+DG134)</f>
        <v>0</v>
      </c>
      <c r="DI182" s="889"/>
      <c r="DO182" s="664"/>
    </row>
    <row r="183" spans="2:119" hidden="1" x14ac:dyDescent="0.25">
      <c r="B183" s="665" t="str">
        <f t="shared" si="56"/>
        <v>-</v>
      </c>
      <c r="C183" s="662">
        <f ca="1">MAX(J158/G172*C172,C158+C135)</f>
        <v>0</v>
      </c>
      <c r="K183" s="664"/>
      <c r="N183" s="665" t="str">
        <f t="shared" si="57"/>
        <v>-</v>
      </c>
      <c r="O183" s="662">
        <f ca="1">MAX(V158/S172*O172,O158+O135)</f>
        <v>0</v>
      </c>
      <c r="U183" s="663"/>
      <c r="W183" s="664"/>
      <c r="Z183" s="665" t="str">
        <f t="shared" si="58"/>
        <v>-</v>
      </c>
      <c r="AA183" s="662">
        <f ca="1">MAX(AH158/AE172*AA172,AA158+AA135)</f>
        <v>0</v>
      </c>
      <c r="AB183" s="663"/>
      <c r="AC183" s="663"/>
      <c r="AD183" s="663"/>
      <c r="AE183" s="663"/>
      <c r="AF183" s="663"/>
      <c r="AG183" s="663"/>
      <c r="AH183" s="663"/>
      <c r="AI183" s="664"/>
      <c r="AL183" s="665" t="str">
        <f t="shared" si="59"/>
        <v>-</v>
      </c>
      <c r="AM183" s="662">
        <f ca="1">MAX(AT158/AQ172*AM172,AM158+AM135)</f>
        <v>0</v>
      </c>
      <c r="AN183" s="663"/>
      <c r="AU183" s="664"/>
      <c r="AX183" s="665" t="str">
        <f t="shared" si="60"/>
        <v>-</v>
      </c>
      <c r="AY183" s="662">
        <f ca="1">MAX(BF158/BC172*AY172,AY158+AY135)</f>
        <v>0</v>
      </c>
      <c r="BG183" s="664"/>
      <c r="BJ183" s="665" t="str">
        <f t="shared" si="61"/>
        <v>-</v>
      </c>
      <c r="BK183" s="662">
        <f ca="1">MAX(BR158/BO172*BK172,BK158+BK135)</f>
        <v>0</v>
      </c>
      <c r="BS183" s="664"/>
      <c r="BV183" s="665" t="str">
        <f t="shared" si="62"/>
        <v>-</v>
      </c>
      <c r="BW183" s="662">
        <f ca="1">MAX(CD158/CA172*BW172,BW158+BW135)</f>
        <v>0</v>
      </c>
      <c r="CE183" s="664"/>
      <c r="CH183" s="665" t="str">
        <f t="shared" si="63"/>
        <v>-</v>
      </c>
      <c r="CI183" s="662">
        <f ca="1">MAX(CP158/CM172*CI172,CI158+CI135)</f>
        <v>0</v>
      </c>
      <c r="CQ183" s="664"/>
      <c r="CT183" s="665" t="str">
        <f t="shared" si="64"/>
        <v>-</v>
      </c>
      <c r="CU183" s="662">
        <f ca="1">MAX(DB158/CY172*CU172,CU158+CU135)</f>
        <v>0</v>
      </c>
      <c r="DC183" s="664"/>
      <c r="DF183" s="665" t="str">
        <f t="shared" si="65"/>
        <v>-</v>
      </c>
      <c r="DG183" s="662">
        <f ca="1">MAX(DN158/DK172*DG172,DG158+DG135)</f>
        <v>0</v>
      </c>
      <c r="DO183" s="664"/>
    </row>
    <row r="184" spans="2:119" hidden="1" x14ac:dyDescent="0.25">
      <c r="B184" s="665" t="str">
        <f t="shared" si="56"/>
        <v>-</v>
      </c>
      <c r="C184" s="662">
        <f ca="1">MAX(J159/G172*C172,C159+C136)</f>
        <v>0</v>
      </c>
      <c r="K184" s="664"/>
      <c r="N184" s="665" t="str">
        <f t="shared" si="57"/>
        <v>-</v>
      </c>
      <c r="O184" s="662">
        <f ca="1">MAX(V159/S172*O172,O159+O136)</f>
        <v>0</v>
      </c>
      <c r="U184" s="663"/>
      <c r="W184" s="664"/>
      <c r="Z184" s="665" t="str">
        <f t="shared" si="58"/>
        <v>-</v>
      </c>
      <c r="AA184" s="662">
        <f ca="1">MAX(AH159/AE172*AA172,AA159+AA136)</f>
        <v>0</v>
      </c>
      <c r="AB184" s="663"/>
      <c r="AC184" s="663"/>
      <c r="AD184" s="663"/>
      <c r="AE184" s="663"/>
      <c r="AF184" s="663"/>
      <c r="AG184" s="663"/>
      <c r="AH184" s="663"/>
      <c r="AI184" s="664"/>
      <c r="AL184" s="665" t="str">
        <f t="shared" si="59"/>
        <v>-</v>
      </c>
      <c r="AM184" s="662">
        <f ca="1">MAX(AT159/AQ172*AM172,AM159+AM136)</f>
        <v>0</v>
      </c>
      <c r="AN184" s="663"/>
      <c r="AU184" s="664"/>
      <c r="AX184" s="665" t="str">
        <f t="shared" si="60"/>
        <v>-</v>
      </c>
      <c r="AY184" s="662">
        <f ca="1">MAX(BF159/BC172*AY172,AY159+AY136)</f>
        <v>0</v>
      </c>
      <c r="BG184" s="664"/>
      <c r="BJ184" s="665" t="str">
        <f t="shared" si="61"/>
        <v>-</v>
      </c>
      <c r="BK184" s="662">
        <f ca="1">MAX(BR159/BO172*BK172,BK159+BK136)</f>
        <v>0</v>
      </c>
      <c r="BS184" s="664"/>
      <c r="BV184" s="665" t="str">
        <f t="shared" si="62"/>
        <v>-</v>
      </c>
      <c r="BW184" s="662">
        <f ca="1">MAX(CD159/CA172*BW172,BW159+BW136)</f>
        <v>0</v>
      </c>
      <c r="CE184" s="664"/>
      <c r="CH184" s="665" t="str">
        <f t="shared" si="63"/>
        <v>-</v>
      </c>
      <c r="CI184" s="662">
        <f ca="1">MAX(CP159/CM172*CI172,CI159+CI136)</f>
        <v>0</v>
      </c>
      <c r="CQ184" s="664"/>
      <c r="CT184" s="665" t="str">
        <f t="shared" si="64"/>
        <v>-</v>
      </c>
      <c r="CU184" s="662">
        <f ca="1">MAX(DB159/CY172*CU172,CU159+CU136)</f>
        <v>0</v>
      </c>
      <c r="DC184" s="664"/>
      <c r="DF184" s="665" t="str">
        <f t="shared" si="65"/>
        <v>-</v>
      </c>
      <c r="DG184" s="662">
        <f ca="1">MAX(DN159/DK172*DG172,DG159+DG136)</f>
        <v>0</v>
      </c>
      <c r="DO184" s="664"/>
    </row>
    <row r="185" spans="2:119" hidden="1" x14ac:dyDescent="0.25">
      <c r="B185" s="665" t="str">
        <f t="shared" si="56"/>
        <v>-</v>
      </c>
      <c r="C185" s="662">
        <f ca="1">MAX(J160/G172*C172,C160+C137)</f>
        <v>0</v>
      </c>
      <c r="K185" s="664"/>
      <c r="N185" s="665" t="str">
        <f t="shared" si="57"/>
        <v>-</v>
      </c>
      <c r="O185" s="662">
        <f ca="1">MAX(V160/S172*O172,O160+O137)</f>
        <v>0</v>
      </c>
      <c r="U185" s="663"/>
      <c r="W185" s="664"/>
      <c r="Z185" s="665" t="str">
        <f t="shared" si="58"/>
        <v>-</v>
      </c>
      <c r="AA185" s="662">
        <f ca="1">MAX(AH160/AE172*AA172,AA160+AA137)</f>
        <v>0</v>
      </c>
      <c r="AB185" s="663"/>
      <c r="AC185" s="663"/>
      <c r="AD185" s="663"/>
      <c r="AE185" s="663"/>
      <c r="AF185" s="663"/>
      <c r="AG185" s="663"/>
      <c r="AH185" s="663"/>
      <c r="AI185" s="664"/>
      <c r="AL185" s="665" t="str">
        <f t="shared" si="59"/>
        <v>-</v>
      </c>
      <c r="AM185" s="662">
        <f ca="1">MAX(AT160/AQ172*AM172,AM160+AM137)</f>
        <v>0</v>
      </c>
      <c r="AN185" s="663"/>
      <c r="AU185" s="664"/>
      <c r="AX185" s="665" t="str">
        <f t="shared" si="60"/>
        <v>-</v>
      </c>
      <c r="AY185" s="662">
        <f ca="1">MAX(BF160/BC172*AY172,AY160+AY137)</f>
        <v>0</v>
      </c>
      <c r="BG185" s="664"/>
      <c r="BJ185" s="665" t="str">
        <f t="shared" si="61"/>
        <v>-</v>
      </c>
      <c r="BK185" s="662">
        <f ca="1">MAX(BR160/BO172*BK172,BK160+BK137)</f>
        <v>0</v>
      </c>
      <c r="BS185" s="664"/>
      <c r="BV185" s="665" t="str">
        <f t="shared" si="62"/>
        <v>-</v>
      </c>
      <c r="BW185" s="662">
        <f ca="1">MAX(CD160/CA172*BW172,BW160+BW137)</f>
        <v>0</v>
      </c>
      <c r="CE185" s="664"/>
      <c r="CH185" s="665" t="str">
        <f t="shared" si="63"/>
        <v>-</v>
      </c>
      <c r="CI185" s="662">
        <f ca="1">MAX(CP160/CM172*CI172,CI160+CI137)</f>
        <v>0</v>
      </c>
      <c r="CQ185" s="664"/>
      <c r="CT185" s="665" t="str">
        <f t="shared" si="64"/>
        <v>-</v>
      </c>
      <c r="CU185" s="662">
        <f ca="1">MAX(DB160/CY172*CU172,CU160+CU137)</f>
        <v>0</v>
      </c>
      <c r="DC185" s="664"/>
      <c r="DF185" s="665" t="str">
        <f t="shared" si="65"/>
        <v>-</v>
      </c>
      <c r="DG185" s="662">
        <f ca="1">MAX(DN160/DK172*DG172,DG160+DG137)</f>
        <v>0</v>
      </c>
      <c r="DO185" s="664"/>
    </row>
    <row r="186" spans="2:119" hidden="1" x14ac:dyDescent="0.25">
      <c r="B186" s="665" t="str">
        <f t="shared" si="56"/>
        <v>-</v>
      </c>
      <c r="C186" s="662">
        <f ca="1">MAX(J161/G172*C172,C161+C138)</f>
        <v>0</v>
      </c>
      <c r="K186" s="664"/>
      <c r="N186" s="665" t="str">
        <f t="shared" si="57"/>
        <v>-</v>
      </c>
      <c r="O186" s="662">
        <f ca="1">MAX(V161/S172*O172,O161+O138)</f>
        <v>0</v>
      </c>
      <c r="U186" s="663"/>
      <c r="W186" s="664"/>
      <c r="Z186" s="665" t="str">
        <f t="shared" si="58"/>
        <v>-</v>
      </c>
      <c r="AA186" s="662">
        <f ca="1">MAX(AH161/AE172*AA172,AA161+AA138)</f>
        <v>0</v>
      </c>
      <c r="AB186" s="663"/>
      <c r="AC186" s="663"/>
      <c r="AD186" s="663"/>
      <c r="AE186" s="663"/>
      <c r="AF186" s="663"/>
      <c r="AG186" s="663"/>
      <c r="AH186" s="663"/>
      <c r="AI186" s="664"/>
      <c r="AL186" s="665" t="str">
        <f t="shared" si="59"/>
        <v>-</v>
      </c>
      <c r="AM186" s="662">
        <f ca="1">MAX(AT161/AQ172*AM172,AM161+AM138)</f>
        <v>0</v>
      </c>
      <c r="AN186" s="663"/>
      <c r="AU186" s="664"/>
      <c r="AX186" s="665" t="str">
        <f t="shared" si="60"/>
        <v>-</v>
      </c>
      <c r="AY186" s="662">
        <f ca="1">MAX(BF161/BC172*AY172,AY161+AY138)</f>
        <v>0</v>
      </c>
      <c r="BG186" s="664"/>
      <c r="BJ186" s="665" t="str">
        <f t="shared" si="61"/>
        <v>-</v>
      </c>
      <c r="BK186" s="662">
        <f ca="1">MAX(BR161/BO172*BK172,BK161+BK138)</f>
        <v>0</v>
      </c>
      <c r="BS186" s="664"/>
      <c r="BV186" s="665" t="str">
        <f t="shared" si="62"/>
        <v>-</v>
      </c>
      <c r="BW186" s="662">
        <f ca="1">MAX(CD161/CA172*BW172,BW161+BW138)</f>
        <v>0</v>
      </c>
      <c r="CE186" s="664"/>
      <c r="CH186" s="665" t="str">
        <f t="shared" si="63"/>
        <v>-</v>
      </c>
      <c r="CI186" s="662">
        <f ca="1">MAX(CP161/CM172*CI172,CI161+CI138)</f>
        <v>0</v>
      </c>
      <c r="CQ186" s="664"/>
      <c r="CT186" s="665" t="str">
        <f t="shared" si="64"/>
        <v>-</v>
      </c>
      <c r="CU186" s="662">
        <f ca="1">MAX(DB161/CY172*CU172,CU161+CU138)</f>
        <v>0</v>
      </c>
      <c r="DC186" s="664"/>
      <c r="DF186" s="665" t="str">
        <f t="shared" si="65"/>
        <v>-</v>
      </c>
      <c r="DG186" s="662">
        <f ca="1">MAX(DN161/DK172*DG172,DG161+DG138)</f>
        <v>0</v>
      </c>
      <c r="DO186" s="664"/>
    </row>
    <row r="187" spans="2:119" hidden="1" x14ac:dyDescent="0.25">
      <c r="B187" s="665" t="str">
        <f t="shared" si="56"/>
        <v>Warrants Series A</v>
      </c>
      <c r="C187" s="662">
        <f ca="1">MAX(J162/G172*C172,C162+C139)</f>
        <v>0</v>
      </c>
      <c r="K187" s="664"/>
      <c r="N187" s="665" t="str">
        <f t="shared" si="57"/>
        <v>Warrants Series A</v>
      </c>
      <c r="O187" s="662">
        <f ca="1">MAX(V162/S172*O172,O162+O139)</f>
        <v>0</v>
      </c>
      <c r="U187" s="663"/>
      <c r="W187" s="664"/>
      <c r="Z187" s="665" t="str">
        <f t="shared" si="58"/>
        <v>Warrants Series A</v>
      </c>
      <c r="AA187" s="662">
        <f ca="1">MAX(AH162/AE172*AA172,AA162+AA139)</f>
        <v>0</v>
      </c>
      <c r="AB187" s="663"/>
      <c r="AC187" s="663"/>
      <c r="AD187" s="663"/>
      <c r="AE187" s="663"/>
      <c r="AF187" s="663"/>
      <c r="AG187" s="663"/>
      <c r="AH187" s="663"/>
      <c r="AI187" s="664"/>
      <c r="AL187" s="665" t="str">
        <f t="shared" si="59"/>
        <v>Warrants Series A</v>
      </c>
      <c r="AM187" s="662">
        <f ca="1">MAX(AT162/AQ172*AM172,AM162+AM139)</f>
        <v>0</v>
      </c>
      <c r="AN187" s="663"/>
      <c r="AU187" s="664"/>
      <c r="AX187" s="665" t="str">
        <f t="shared" si="60"/>
        <v>Warrants Series A</v>
      </c>
      <c r="AY187" s="662">
        <f ca="1">MAX(BF162/BC172*AY172,AY162+AY139)</f>
        <v>0</v>
      </c>
      <c r="BG187" s="664"/>
      <c r="BJ187" s="665" t="str">
        <f t="shared" si="61"/>
        <v>Warrants Series A</v>
      </c>
      <c r="BK187" s="662">
        <f ca="1">MAX(BR162/BO172*BK172,BK162+BK139)</f>
        <v>0</v>
      </c>
      <c r="BS187" s="664"/>
      <c r="BV187" s="665" t="str">
        <f t="shared" si="62"/>
        <v>Warrants Series A</v>
      </c>
      <c r="BW187" s="662">
        <f ca="1">MAX(CD162/CA172*BW172,BW162+BW139)</f>
        <v>0</v>
      </c>
      <c r="CE187" s="664"/>
      <c r="CH187" s="665" t="str">
        <f t="shared" si="63"/>
        <v>Warrants Series A</v>
      </c>
      <c r="CI187" s="662">
        <f ca="1">MAX(CP162/CM172*CI172,CI162+CI139)</f>
        <v>0</v>
      </c>
      <c r="CQ187" s="664"/>
      <c r="CT187" s="665" t="str">
        <f t="shared" si="64"/>
        <v>Warrants Series A</v>
      </c>
      <c r="CU187" s="662">
        <f ca="1">MAX(DB162/CY172*CU172,CU162+CU139)</f>
        <v>0</v>
      </c>
      <c r="DC187" s="664"/>
      <c r="DF187" s="665" t="str">
        <f t="shared" si="65"/>
        <v>Warrants Series A</v>
      </c>
      <c r="DG187" s="662">
        <f ca="1">MAX(DN162/DK172*DG172,DG162+DG139)</f>
        <v>0</v>
      </c>
      <c r="DO187" s="664"/>
    </row>
    <row r="188" spans="2:119" hidden="1" x14ac:dyDescent="0.25">
      <c r="B188" s="665" t="str">
        <f t="shared" si="56"/>
        <v>Warrants Series B</v>
      </c>
      <c r="C188" s="662">
        <f ca="1">MAX(J163/G172*C172,C163+C140)</f>
        <v>0</v>
      </c>
      <c r="F188" s="662"/>
      <c r="K188" s="664"/>
      <c r="N188" s="665" t="str">
        <f t="shared" si="57"/>
        <v>Warrants Series B</v>
      </c>
      <c r="O188" s="662">
        <f ca="1">MAX(V163/S172*O172,O163+O140)</f>
        <v>0</v>
      </c>
      <c r="R188" s="662"/>
      <c r="U188" s="663"/>
      <c r="W188" s="664"/>
      <c r="Z188" s="665" t="str">
        <f t="shared" si="58"/>
        <v>Warrants Series B</v>
      </c>
      <c r="AA188" s="662">
        <f ca="1">MAX(AH163/AE172*AA172,AA163+AA140)</f>
        <v>0</v>
      </c>
      <c r="AB188" s="663"/>
      <c r="AC188" s="663"/>
      <c r="AD188" s="662"/>
      <c r="AE188" s="663"/>
      <c r="AF188" s="663"/>
      <c r="AG188" s="663"/>
      <c r="AH188" s="663"/>
      <c r="AI188" s="664"/>
      <c r="AL188" s="665" t="str">
        <f t="shared" si="59"/>
        <v>Warrants Series B</v>
      </c>
      <c r="AM188" s="662">
        <f ca="1">MAX(AT163/AQ172*AM172,AM163+AM140)</f>
        <v>0</v>
      </c>
      <c r="AN188" s="663"/>
      <c r="AP188" s="662"/>
      <c r="AU188" s="664"/>
      <c r="AX188" s="665" t="str">
        <f t="shared" si="60"/>
        <v>Warrants Series B</v>
      </c>
      <c r="AY188" s="662">
        <f ca="1">MAX(BF163/BC172*AY172,AY163+AY140)</f>
        <v>0</v>
      </c>
      <c r="BB188" s="662"/>
      <c r="BG188" s="664"/>
      <c r="BJ188" s="665" t="str">
        <f t="shared" si="61"/>
        <v>Warrants Series B</v>
      </c>
      <c r="BK188" s="662">
        <f ca="1">MAX(BR163/BO172*BK172,BK163+BK140)</f>
        <v>0</v>
      </c>
      <c r="BN188" s="662"/>
      <c r="BS188" s="664"/>
      <c r="BV188" s="665" t="str">
        <f t="shared" si="62"/>
        <v>Warrants Series B</v>
      </c>
      <c r="BW188" s="662">
        <f ca="1">MAX(CD163/CA172*BW172,BW163+BW140)</f>
        <v>0</v>
      </c>
      <c r="BZ188" s="662"/>
      <c r="CE188" s="664"/>
      <c r="CH188" s="665" t="str">
        <f t="shared" si="63"/>
        <v>Warrants Series B</v>
      </c>
      <c r="CI188" s="662">
        <f ca="1">MAX(CP163/CM172*CI172,CI163+CI140)</f>
        <v>0</v>
      </c>
      <c r="CL188" s="662"/>
      <c r="CQ188" s="664"/>
      <c r="CT188" s="665" t="str">
        <f t="shared" si="64"/>
        <v>Warrants Series B</v>
      </c>
      <c r="CU188" s="662">
        <f ca="1">MAX(DB163/CY172*CU172,CU163+CU140)</f>
        <v>0</v>
      </c>
      <c r="CX188" s="662"/>
      <c r="DC188" s="664"/>
      <c r="DF188" s="665" t="str">
        <f t="shared" si="65"/>
        <v>Warrants Series B</v>
      </c>
      <c r="DG188" s="662">
        <f ca="1">MAX(DN163/DK172*DG172,DG163+DG140)</f>
        <v>0</v>
      </c>
      <c r="DJ188" s="662"/>
      <c r="DO188" s="664"/>
    </row>
    <row r="189" spans="2:119" hidden="1" x14ac:dyDescent="0.25">
      <c r="B189" s="665" t="str">
        <f t="shared" si="56"/>
        <v>Warrants Series C</v>
      </c>
      <c r="C189" s="662">
        <f ca="1">MAX(J164/G172*C172,C164+C141)</f>
        <v>0</v>
      </c>
      <c r="F189" s="662"/>
      <c r="K189" s="664"/>
      <c r="N189" s="665" t="str">
        <f t="shared" si="57"/>
        <v>Warrants Series C</v>
      </c>
      <c r="O189" s="662">
        <f ca="1">MAX(V164/S172*O172,O164+O141)</f>
        <v>0</v>
      </c>
      <c r="R189" s="662"/>
      <c r="U189" s="663"/>
      <c r="W189" s="664"/>
      <c r="Z189" s="665" t="str">
        <f t="shared" si="58"/>
        <v>Warrants Series C</v>
      </c>
      <c r="AA189" s="662">
        <f ca="1">MAX(AH164/AE172*AA172,AA164+AA141)</f>
        <v>0</v>
      </c>
      <c r="AB189" s="663"/>
      <c r="AC189" s="663"/>
      <c r="AD189" s="662"/>
      <c r="AE189" s="663"/>
      <c r="AF189" s="663"/>
      <c r="AG189" s="663"/>
      <c r="AH189" s="663"/>
      <c r="AI189" s="664"/>
      <c r="AL189" s="665" t="str">
        <f t="shared" si="59"/>
        <v>Warrants Series C</v>
      </c>
      <c r="AM189" s="662">
        <f ca="1">MAX(AT164/AQ172*AM172,AM164+AM141)</f>
        <v>0</v>
      </c>
      <c r="AN189" s="663"/>
      <c r="AP189" s="662"/>
      <c r="AU189" s="664"/>
      <c r="AX189" s="665" t="str">
        <f t="shared" si="60"/>
        <v>Warrants Series C</v>
      </c>
      <c r="AY189" s="662">
        <f ca="1">MAX(BF164/BC172*AY172,AY164+AY141)</f>
        <v>0</v>
      </c>
      <c r="BB189" s="662"/>
      <c r="BG189" s="664"/>
      <c r="BJ189" s="665" t="str">
        <f t="shared" si="61"/>
        <v>Warrants Series C</v>
      </c>
      <c r="BK189" s="662">
        <f ca="1">MAX(BR164/BO172*BK172,BK164+BK141)</f>
        <v>0</v>
      </c>
      <c r="BN189" s="662"/>
      <c r="BS189" s="664"/>
      <c r="BV189" s="665" t="str">
        <f t="shared" si="62"/>
        <v>Warrants Series C</v>
      </c>
      <c r="BW189" s="662">
        <f ca="1">MAX(CD164/CA172*BW172,BW164+BW141)</f>
        <v>0</v>
      </c>
      <c r="BZ189" s="662"/>
      <c r="CE189" s="664"/>
      <c r="CH189" s="665" t="str">
        <f t="shared" si="63"/>
        <v>Warrants Series C</v>
      </c>
      <c r="CI189" s="662">
        <f ca="1">MAX(CP164/CM172*CI172,CI164+CI141)</f>
        <v>0</v>
      </c>
      <c r="CL189" s="662"/>
      <c r="CQ189" s="664"/>
      <c r="CT189" s="665" t="str">
        <f t="shared" si="64"/>
        <v>Warrants Series C</v>
      </c>
      <c r="CU189" s="662">
        <f ca="1">MAX(DB164/CY172*CU172,CU164+CU141)</f>
        <v>0</v>
      </c>
      <c r="CX189" s="662"/>
      <c r="DC189" s="664"/>
      <c r="DF189" s="665" t="str">
        <f t="shared" si="65"/>
        <v>Warrants Series C</v>
      </c>
      <c r="DG189" s="662">
        <f ca="1">MAX(DN164/DK172*DG172,DG164+DG141)</f>
        <v>0</v>
      </c>
      <c r="DJ189" s="662"/>
      <c r="DO189" s="664"/>
    </row>
    <row r="190" spans="2:119" hidden="1" x14ac:dyDescent="0.25">
      <c r="B190" s="665" t="str">
        <f t="shared" si="56"/>
        <v>Warrants Series D</v>
      </c>
      <c r="C190" s="662">
        <f ca="1">MAX(J165/G172*C172,C165+C142)</f>
        <v>0</v>
      </c>
      <c r="F190" s="662"/>
      <c r="K190" s="664"/>
      <c r="N190" s="665" t="str">
        <f t="shared" si="57"/>
        <v>Warrants Series D</v>
      </c>
      <c r="O190" s="662">
        <f ca="1">MAX(V165/S172*O172,O165+O142)</f>
        <v>0</v>
      </c>
      <c r="R190" s="662"/>
      <c r="U190" s="663"/>
      <c r="W190" s="664"/>
      <c r="Z190" s="665" t="str">
        <f t="shared" si="58"/>
        <v>Warrants Series D</v>
      </c>
      <c r="AA190" s="662">
        <f ca="1">MAX(AH165/AE172*AA172,AA165+AA142)</f>
        <v>0</v>
      </c>
      <c r="AB190" s="663"/>
      <c r="AC190" s="663"/>
      <c r="AD190" s="662"/>
      <c r="AE190" s="663"/>
      <c r="AF190" s="663"/>
      <c r="AG190" s="663"/>
      <c r="AH190" s="663"/>
      <c r="AI190" s="664"/>
      <c r="AL190" s="665" t="str">
        <f t="shared" si="59"/>
        <v>Warrants Series D</v>
      </c>
      <c r="AM190" s="662">
        <f ca="1">MAX(AT165/AQ172*AM172,AM165+AM142)</f>
        <v>0</v>
      </c>
      <c r="AN190" s="663"/>
      <c r="AP190" s="662"/>
      <c r="AU190" s="664"/>
      <c r="AX190" s="665" t="str">
        <f t="shared" si="60"/>
        <v>Warrants Series D</v>
      </c>
      <c r="AY190" s="662">
        <f ca="1">MAX(BF165/BC172*AY172,AY165+AY142)</f>
        <v>0</v>
      </c>
      <c r="BB190" s="662"/>
      <c r="BG190" s="664"/>
      <c r="BJ190" s="665" t="str">
        <f t="shared" si="61"/>
        <v>Warrants Series D</v>
      </c>
      <c r="BK190" s="662">
        <f ca="1">MAX(BR165/BO172*BK172,BK165+BK142)</f>
        <v>0</v>
      </c>
      <c r="BN190" s="662"/>
      <c r="BS190" s="664"/>
      <c r="BV190" s="665" t="str">
        <f t="shared" si="62"/>
        <v>Warrants Series D</v>
      </c>
      <c r="BW190" s="662">
        <f ca="1">MAX(CD165/CA172*BW172,BW165+BW142)</f>
        <v>0</v>
      </c>
      <c r="BZ190" s="662"/>
      <c r="CE190" s="664"/>
      <c r="CH190" s="665" t="str">
        <f t="shared" si="63"/>
        <v>Warrants Series D</v>
      </c>
      <c r="CI190" s="662">
        <f ca="1">MAX(CP165/CM172*CI172,CI165+CI142)</f>
        <v>0</v>
      </c>
      <c r="CL190" s="662"/>
      <c r="CQ190" s="664"/>
      <c r="CT190" s="665" t="str">
        <f t="shared" si="64"/>
        <v>Warrants Series D</v>
      </c>
      <c r="CU190" s="662">
        <f ca="1">MAX(DB165/CY172*CU172,CU165+CU142)</f>
        <v>0</v>
      </c>
      <c r="CX190" s="662"/>
      <c r="DC190" s="664"/>
      <c r="DF190" s="665" t="str">
        <f t="shared" si="65"/>
        <v>Warrants Series D</v>
      </c>
      <c r="DG190" s="662">
        <f ca="1">MAX(DN165/DK172*DG172,DG165+DG142)</f>
        <v>0</v>
      </c>
      <c r="DJ190" s="662"/>
      <c r="DO190" s="664"/>
    </row>
    <row r="191" spans="2:119" hidden="1" x14ac:dyDescent="0.25">
      <c r="B191" s="665" t="str">
        <f t="shared" si="56"/>
        <v>Warrants -</v>
      </c>
      <c r="C191" s="662">
        <f ca="1">MAX(J166/G172*C172,C166+C143)</f>
        <v>0</v>
      </c>
      <c r="F191" s="662"/>
      <c r="K191" s="664"/>
      <c r="N191" s="665" t="str">
        <f t="shared" si="57"/>
        <v>Warrants -</v>
      </c>
      <c r="O191" s="662">
        <f ca="1">MAX(V166/S172*O172,O166+O143)</f>
        <v>0</v>
      </c>
      <c r="R191" s="662"/>
      <c r="U191" s="663"/>
      <c r="W191" s="664"/>
      <c r="Z191" s="665" t="str">
        <f t="shared" si="58"/>
        <v>Warrants -</v>
      </c>
      <c r="AA191" s="662">
        <f ca="1">MAX(AH166/AE172*AA172,AA166+AA143)</f>
        <v>0</v>
      </c>
      <c r="AB191" s="663"/>
      <c r="AC191" s="663"/>
      <c r="AD191" s="662"/>
      <c r="AE191" s="663"/>
      <c r="AF191" s="663"/>
      <c r="AG191" s="663"/>
      <c r="AH191" s="663"/>
      <c r="AI191" s="664"/>
      <c r="AL191" s="665" t="str">
        <f t="shared" si="59"/>
        <v>Warrants -</v>
      </c>
      <c r="AM191" s="662">
        <f ca="1">MAX(AT166/AQ172*AM172,AM166+AM143)</f>
        <v>0</v>
      </c>
      <c r="AN191" s="663"/>
      <c r="AP191" s="662"/>
      <c r="AU191" s="664"/>
      <c r="AX191" s="665" t="str">
        <f t="shared" si="60"/>
        <v>Warrants -</v>
      </c>
      <c r="AY191" s="662">
        <f ca="1">MAX(BF166/BC172*AY172,AY166+AY143)</f>
        <v>0</v>
      </c>
      <c r="BB191" s="662"/>
      <c r="BG191" s="664"/>
      <c r="BJ191" s="665" t="str">
        <f t="shared" si="61"/>
        <v>Warrants -</v>
      </c>
      <c r="BK191" s="662">
        <f ca="1">MAX(BR166/BO172*BK172,BK166+BK143)</f>
        <v>0</v>
      </c>
      <c r="BN191" s="662"/>
      <c r="BS191" s="664"/>
      <c r="BV191" s="665" t="str">
        <f t="shared" si="62"/>
        <v>Warrants -</v>
      </c>
      <c r="BW191" s="662">
        <f ca="1">MAX(CD166/CA172*BW172,BW166+BW143)</f>
        <v>0</v>
      </c>
      <c r="BZ191" s="662"/>
      <c r="CE191" s="664"/>
      <c r="CH191" s="665" t="str">
        <f t="shared" si="63"/>
        <v>Warrants -</v>
      </c>
      <c r="CI191" s="662">
        <f ca="1">MAX(CP166/CM172*CI172,CI166+CI143)</f>
        <v>0</v>
      </c>
      <c r="CL191" s="662"/>
      <c r="CQ191" s="664"/>
      <c r="CT191" s="665" t="str">
        <f t="shared" si="64"/>
        <v>Warrants -</v>
      </c>
      <c r="CU191" s="662">
        <f ca="1">MAX(DB166/CY172*CU172,CU166+CU143)</f>
        <v>0</v>
      </c>
      <c r="CX191" s="662"/>
      <c r="DC191" s="664"/>
      <c r="DF191" s="665" t="str">
        <f t="shared" si="65"/>
        <v>Warrants -</v>
      </c>
      <c r="DG191" s="662">
        <f ca="1">MAX(DN166/DK172*DG172,DG166+DG143)</f>
        <v>0</v>
      </c>
      <c r="DJ191" s="662"/>
      <c r="DO191" s="664"/>
    </row>
    <row r="192" spans="2:119" hidden="1" x14ac:dyDescent="0.25">
      <c r="B192" s="665" t="str">
        <f t="shared" si="56"/>
        <v>Warrants -</v>
      </c>
      <c r="C192" s="662">
        <f ca="1">MAX(J167/G172*C172,C167+C144)</f>
        <v>0</v>
      </c>
      <c r="F192" s="662"/>
      <c r="K192" s="664"/>
      <c r="N192" s="665" t="str">
        <f t="shared" si="57"/>
        <v>Warrants -</v>
      </c>
      <c r="O192" s="662">
        <f ca="1">MAX(V167/S172*O172,O167+O144)</f>
        <v>0</v>
      </c>
      <c r="R192" s="662"/>
      <c r="U192" s="663"/>
      <c r="W192" s="664"/>
      <c r="Z192" s="665" t="str">
        <f t="shared" si="58"/>
        <v>Warrants -</v>
      </c>
      <c r="AA192" s="662">
        <f ca="1">MAX(AH167/AE172*AA172,AA167+AA144)</f>
        <v>0</v>
      </c>
      <c r="AB192" s="663"/>
      <c r="AC192" s="663"/>
      <c r="AD192" s="662"/>
      <c r="AE192" s="663"/>
      <c r="AF192" s="663"/>
      <c r="AG192" s="663"/>
      <c r="AH192" s="663"/>
      <c r="AI192" s="664"/>
      <c r="AL192" s="665" t="str">
        <f t="shared" si="59"/>
        <v>Warrants -</v>
      </c>
      <c r="AM192" s="662">
        <f ca="1">MAX(AT167/AQ172*AM172,AM167+AM144)</f>
        <v>0</v>
      </c>
      <c r="AN192" s="663"/>
      <c r="AP192" s="662"/>
      <c r="AU192" s="664"/>
      <c r="AX192" s="665" t="str">
        <f t="shared" si="60"/>
        <v>Warrants -</v>
      </c>
      <c r="AY192" s="662">
        <f ca="1">MAX(BF167/BC172*AY172,AY167+AY144)</f>
        <v>0</v>
      </c>
      <c r="BB192" s="662"/>
      <c r="BG192" s="664"/>
      <c r="BJ192" s="665" t="str">
        <f t="shared" si="61"/>
        <v>Warrants -</v>
      </c>
      <c r="BK192" s="662">
        <f ca="1">MAX(BR167/BO172*BK172,BK167+BK144)</f>
        <v>0</v>
      </c>
      <c r="BN192" s="662"/>
      <c r="BS192" s="664"/>
      <c r="BV192" s="665" t="str">
        <f t="shared" si="62"/>
        <v>Warrants -</v>
      </c>
      <c r="BW192" s="662">
        <f ca="1">MAX(CD167/CA172*BW172,BW167+BW144)</f>
        <v>0</v>
      </c>
      <c r="BZ192" s="662"/>
      <c r="CE192" s="664"/>
      <c r="CH192" s="665" t="str">
        <f t="shared" si="63"/>
        <v>Warrants -</v>
      </c>
      <c r="CI192" s="662">
        <f ca="1">MAX(CP167/CM172*CI172,CI167+CI144)</f>
        <v>0</v>
      </c>
      <c r="CL192" s="662"/>
      <c r="CQ192" s="664"/>
      <c r="CT192" s="665" t="str">
        <f t="shared" si="64"/>
        <v>Warrants -</v>
      </c>
      <c r="CU192" s="662">
        <f ca="1">MAX(DB167/CY172*CU172,CU167+CU144)</f>
        <v>0</v>
      </c>
      <c r="CX192" s="662"/>
      <c r="DC192" s="664"/>
      <c r="DF192" s="665" t="str">
        <f t="shared" si="65"/>
        <v>Warrants -</v>
      </c>
      <c r="DG192" s="662">
        <f ca="1">MAX(DN167/DK172*DG172,DG167+DG144)</f>
        <v>0</v>
      </c>
      <c r="DJ192" s="662"/>
      <c r="DO192" s="664"/>
    </row>
    <row r="193" spans="2:119" hidden="1" x14ac:dyDescent="0.25">
      <c r="B193" s="665" t="str">
        <f t="shared" si="56"/>
        <v>Warrants -</v>
      </c>
      <c r="C193" s="662">
        <f ca="1">MAX(J168/G172*C172,C168+C145)</f>
        <v>0</v>
      </c>
      <c r="F193" s="662"/>
      <c r="K193" s="664"/>
      <c r="N193" s="665" t="str">
        <f t="shared" si="57"/>
        <v>Warrants -</v>
      </c>
      <c r="O193" s="662">
        <f ca="1">MAX(V168/S172*O172,O168+O145)</f>
        <v>0</v>
      </c>
      <c r="R193" s="662"/>
      <c r="U193" s="663"/>
      <c r="W193" s="664"/>
      <c r="Z193" s="665" t="str">
        <f t="shared" si="58"/>
        <v>Warrants -</v>
      </c>
      <c r="AA193" s="662">
        <f ca="1">MAX(AH168/AE172*AA172,AA168+AA145)</f>
        <v>0</v>
      </c>
      <c r="AB193" s="663"/>
      <c r="AC193" s="663"/>
      <c r="AD193" s="662"/>
      <c r="AE193" s="663"/>
      <c r="AF193" s="663"/>
      <c r="AG193" s="663"/>
      <c r="AH193" s="663"/>
      <c r="AI193" s="664"/>
      <c r="AL193" s="665" t="str">
        <f t="shared" si="59"/>
        <v>Warrants -</v>
      </c>
      <c r="AM193" s="662">
        <f ca="1">MAX(AT168/AQ172*AM172,AM168+AM145)</f>
        <v>0</v>
      </c>
      <c r="AN193" s="663"/>
      <c r="AP193" s="662"/>
      <c r="AU193" s="664"/>
      <c r="AX193" s="665" t="str">
        <f t="shared" si="60"/>
        <v>Warrants -</v>
      </c>
      <c r="AY193" s="662">
        <f ca="1">MAX(BF168/BC172*AY172,AY168+AY145)</f>
        <v>0</v>
      </c>
      <c r="BB193" s="662"/>
      <c r="BG193" s="664"/>
      <c r="BJ193" s="665" t="str">
        <f t="shared" si="61"/>
        <v>Warrants -</v>
      </c>
      <c r="BK193" s="662">
        <f ca="1">MAX(BR168/BO172*BK172,BK168+BK145)</f>
        <v>0</v>
      </c>
      <c r="BN193" s="662"/>
      <c r="BS193" s="664"/>
      <c r="BV193" s="665" t="str">
        <f t="shared" si="62"/>
        <v>Warrants -</v>
      </c>
      <c r="BW193" s="662">
        <f ca="1">MAX(CD168/CA172*BW172,BW168+BW145)</f>
        <v>0</v>
      </c>
      <c r="BZ193" s="662"/>
      <c r="CE193" s="664"/>
      <c r="CH193" s="665" t="str">
        <f t="shared" si="63"/>
        <v>Warrants -</v>
      </c>
      <c r="CI193" s="662">
        <f ca="1">MAX(CP168/CM172*CI172,CI168+CI145)</f>
        <v>0</v>
      </c>
      <c r="CL193" s="662"/>
      <c r="CQ193" s="664"/>
      <c r="CT193" s="665" t="str">
        <f t="shared" si="64"/>
        <v>Warrants -</v>
      </c>
      <c r="CU193" s="662">
        <f ca="1">MAX(DB168/CY172*CU172,CU168+CU145)</f>
        <v>0</v>
      </c>
      <c r="CX193" s="662"/>
      <c r="DC193" s="664"/>
      <c r="DF193" s="665" t="str">
        <f t="shared" si="65"/>
        <v>Warrants -</v>
      </c>
      <c r="DG193" s="662">
        <f ca="1">MAX(DN168/DK172*DG172,DG168+DG145)</f>
        <v>0</v>
      </c>
      <c r="DJ193" s="662"/>
      <c r="DO193" s="664"/>
    </row>
    <row r="194" spans="2:119" hidden="1" x14ac:dyDescent="0.25">
      <c r="B194" s="665" t="str">
        <f t="shared" si="56"/>
        <v>Warrants -</v>
      </c>
      <c r="C194" s="662">
        <f ca="1">MAX(J169/G172*C172,C169+C146)</f>
        <v>0</v>
      </c>
      <c r="K194" s="664"/>
      <c r="N194" s="665" t="str">
        <f t="shared" si="57"/>
        <v>Warrants -</v>
      </c>
      <c r="O194" s="662">
        <f ca="1">MAX(V169/S172*O172,O169+O146)</f>
        <v>0</v>
      </c>
      <c r="U194" s="663"/>
      <c r="W194" s="664"/>
      <c r="Z194" s="665" t="str">
        <f t="shared" si="58"/>
        <v>Warrants -</v>
      </c>
      <c r="AA194" s="662">
        <f ca="1">MAX(AH169/AE172*AA172,AA169+AA146)</f>
        <v>0</v>
      </c>
      <c r="AB194" s="663"/>
      <c r="AC194" s="663"/>
      <c r="AD194" s="663"/>
      <c r="AE194" s="663"/>
      <c r="AF194" s="663"/>
      <c r="AG194" s="663"/>
      <c r="AH194" s="663"/>
      <c r="AI194" s="664"/>
      <c r="AL194" s="665" t="str">
        <f t="shared" si="59"/>
        <v>Warrants -</v>
      </c>
      <c r="AM194" s="662">
        <f ca="1">MAX(AT169/AQ172*AM172,AM169+AM146)</f>
        <v>0</v>
      </c>
      <c r="AN194" s="663"/>
      <c r="AU194" s="664"/>
      <c r="AX194" s="665" t="str">
        <f t="shared" si="60"/>
        <v>Warrants -</v>
      </c>
      <c r="AY194" s="662">
        <f ca="1">MAX(BF169/BC172*AY172,AY169+AY146)</f>
        <v>0</v>
      </c>
      <c r="BG194" s="664"/>
      <c r="BJ194" s="665" t="str">
        <f t="shared" si="61"/>
        <v>Warrants -</v>
      </c>
      <c r="BK194" s="662">
        <f ca="1">MAX(BR169/BO172*BK172,BK169+BK146)</f>
        <v>0</v>
      </c>
      <c r="BS194" s="664"/>
      <c r="BV194" s="665" t="str">
        <f t="shared" si="62"/>
        <v>Warrants -</v>
      </c>
      <c r="BW194" s="662">
        <f ca="1">MAX(CD169/CA172*BW172,BW169+BW146)</f>
        <v>0</v>
      </c>
      <c r="CE194" s="664"/>
      <c r="CH194" s="665" t="str">
        <f t="shared" si="63"/>
        <v>Warrants -</v>
      </c>
      <c r="CI194" s="662">
        <f ca="1">MAX(CP169/CM172*CI172,CI169+CI146)</f>
        <v>0</v>
      </c>
      <c r="CQ194" s="664"/>
      <c r="CT194" s="665" t="str">
        <f t="shared" si="64"/>
        <v>Warrants -</v>
      </c>
      <c r="CU194" s="662">
        <f ca="1">MAX(DB169/CY172*CU172,CU169+CU146)</f>
        <v>0</v>
      </c>
      <c r="DC194" s="664"/>
      <c r="DF194" s="665" t="str">
        <f t="shared" si="65"/>
        <v>Warrants -</v>
      </c>
      <c r="DG194" s="662">
        <f ca="1">MAX(DN169/DK172*DG172,DG169+DG146)</f>
        <v>0</v>
      </c>
      <c r="DO194" s="664"/>
    </row>
    <row r="195" spans="2:119" hidden="1" x14ac:dyDescent="0.25">
      <c r="B195" s="665" t="str">
        <f t="shared" si="56"/>
        <v>Warrants -</v>
      </c>
      <c r="C195" s="662">
        <f ca="1">MAX(J170/G172*C172,C170+C147)</f>
        <v>0</v>
      </c>
      <c r="K195" s="664"/>
      <c r="N195" s="665" t="str">
        <f t="shared" si="57"/>
        <v>Warrants -</v>
      </c>
      <c r="O195" s="662">
        <f ca="1">MAX(V170/S172*O172,O170+O147)</f>
        <v>0</v>
      </c>
      <c r="U195" s="663"/>
      <c r="W195" s="664"/>
      <c r="Z195" s="665" t="str">
        <f t="shared" si="58"/>
        <v>Warrants -</v>
      </c>
      <c r="AA195" s="662">
        <f ca="1">MAX(AH170/AE172*AA172,AA170+AA147)</f>
        <v>0</v>
      </c>
      <c r="AB195" s="663"/>
      <c r="AC195" s="663"/>
      <c r="AD195" s="663"/>
      <c r="AE195" s="663"/>
      <c r="AF195" s="663"/>
      <c r="AG195" s="663"/>
      <c r="AH195" s="663"/>
      <c r="AI195" s="664"/>
      <c r="AL195" s="665" t="str">
        <f t="shared" si="59"/>
        <v>Warrants -</v>
      </c>
      <c r="AM195" s="662">
        <f ca="1">MAX(AT170/AQ172*AM172,AM170+AM147)</f>
        <v>0</v>
      </c>
      <c r="AN195" s="663"/>
      <c r="AU195" s="664"/>
      <c r="AX195" s="665" t="str">
        <f t="shared" si="60"/>
        <v>Warrants -</v>
      </c>
      <c r="AY195" s="662">
        <f ca="1">MAX(BF170/BC172*AY172,AY170+AY147)</f>
        <v>0</v>
      </c>
      <c r="BG195" s="664"/>
      <c r="BJ195" s="665" t="str">
        <f t="shared" si="61"/>
        <v>Warrants -</v>
      </c>
      <c r="BK195" s="662">
        <f ca="1">MAX(BR170/BO172*BK172,BK170+BK147)</f>
        <v>0</v>
      </c>
      <c r="BS195" s="664"/>
      <c r="BV195" s="665" t="str">
        <f t="shared" si="62"/>
        <v>Warrants -</v>
      </c>
      <c r="BW195" s="662">
        <f ca="1">MAX(CD170/CA172*BW172,BW170+BW147)</f>
        <v>0</v>
      </c>
      <c r="CE195" s="664"/>
      <c r="CH195" s="665" t="str">
        <f t="shared" si="63"/>
        <v>Warrants -</v>
      </c>
      <c r="CI195" s="662">
        <f ca="1">MAX(CP170/CM172*CI172,CI170+CI147)</f>
        <v>0</v>
      </c>
      <c r="CQ195" s="664"/>
      <c r="CT195" s="665" t="str">
        <f t="shared" si="64"/>
        <v>Warrants -</v>
      </c>
      <c r="CU195" s="662">
        <f ca="1">MAX(DB170/CY172*CU172,CU170+CU147)</f>
        <v>0</v>
      </c>
      <c r="DC195" s="664"/>
      <c r="DF195" s="665" t="str">
        <f t="shared" si="65"/>
        <v>Warrants -</v>
      </c>
      <c r="DG195" s="662">
        <f ca="1">MAX(DN170/DK172*DG172,DG170+DG147)</f>
        <v>0</v>
      </c>
      <c r="DO195" s="664"/>
    </row>
    <row r="196" spans="2:119" hidden="1" x14ac:dyDescent="0.25">
      <c r="B196" s="665" t="str">
        <f t="shared" si="56"/>
        <v>Warrants -</v>
      </c>
      <c r="C196" s="662">
        <f ca="1">MAX(J171/G172*C172,C171+C148)</f>
        <v>0</v>
      </c>
      <c r="K196" s="664"/>
      <c r="N196" s="665" t="str">
        <f t="shared" si="57"/>
        <v>Warrants -</v>
      </c>
      <c r="O196" s="662">
        <f ca="1">MAX(V171/S172*O172,O171+O148)</f>
        <v>0</v>
      </c>
      <c r="U196" s="663"/>
      <c r="W196" s="664"/>
      <c r="Z196" s="665" t="str">
        <f t="shared" si="58"/>
        <v>Warrants -</v>
      </c>
      <c r="AA196" s="662">
        <f ca="1">MAX(AH171/AE172*AA172,AA171+AA148)</f>
        <v>0</v>
      </c>
      <c r="AB196" s="663"/>
      <c r="AC196" s="663"/>
      <c r="AD196" s="663"/>
      <c r="AE196" s="663"/>
      <c r="AF196" s="663"/>
      <c r="AG196" s="663"/>
      <c r="AH196" s="663"/>
      <c r="AI196" s="664"/>
      <c r="AL196" s="665" t="str">
        <f t="shared" si="59"/>
        <v>Warrants -</v>
      </c>
      <c r="AM196" s="662">
        <f ca="1">MAX(AT171/AQ172*AM172,AM171+AM148)</f>
        <v>0</v>
      </c>
      <c r="AN196" s="663"/>
      <c r="AU196" s="664"/>
      <c r="AX196" s="665" t="str">
        <f t="shared" si="60"/>
        <v>Warrants -</v>
      </c>
      <c r="AY196" s="662">
        <f ca="1">MAX(BF171/BC172*AY172,AY171+AY148)</f>
        <v>0</v>
      </c>
      <c r="BG196" s="664"/>
      <c r="BJ196" s="665" t="str">
        <f t="shared" si="61"/>
        <v>Warrants -</v>
      </c>
      <c r="BK196" s="662">
        <f ca="1">MAX(BR171/BO172*BK172,BK171+BK148)</f>
        <v>0</v>
      </c>
      <c r="BS196" s="664"/>
      <c r="BV196" s="665" t="str">
        <f t="shared" si="62"/>
        <v>Warrants -</v>
      </c>
      <c r="BW196" s="662">
        <f ca="1">MAX(CD171/CA172*BW172,BW171+BW148)</f>
        <v>0</v>
      </c>
      <c r="CE196" s="664"/>
      <c r="CH196" s="665" t="str">
        <f t="shared" si="63"/>
        <v>Warrants -</v>
      </c>
      <c r="CI196" s="662">
        <f ca="1">MAX(CP171/CM172*CI172,CI171+CI148)</f>
        <v>0</v>
      </c>
      <c r="CQ196" s="664"/>
      <c r="CT196" s="665" t="str">
        <f t="shared" si="64"/>
        <v>Warrants -</v>
      </c>
      <c r="CU196" s="662">
        <f ca="1">MAX(DB171/CY172*CU172,CU171+CU148)</f>
        <v>0</v>
      </c>
      <c r="DC196" s="664"/>
      <c r="DF196" s="665" t="str">
        <f t="shared" si="65"/>
        <v>Warrants -</v>
      </c>
      <c r="DG196" s="662">
        <f ca="1">MAX(DN171/DK172*DG172,DG171+DG148)</f>
        <v>0</v>
      </c>
      <c r="DO196" s="664"/>
    </row>
    <row r="197" spans="2:119" hidden="1" x14ac:dyDescent="0.25">
      <c r="B197" s="665" t="str">
        <f t="shared" si="56"/>
        <v>Common</v>
      </c>
      <c r="C197" s="662">
        <f ca="1">$C$26/G172*C172</f>
        <v>0</v>
      </c>
      <c r="K197" s="664"/>
      <c r="N197" s="665" t="str">
        <f t="shared" si="57"/>
        <v>Common</v>
      </c>
      <c r="O197" s="662">
        <f ca="1">$C$26/S172*O172</f>
        <v>0</v>
      </c>
      <c r="U197" s="663"/>
      <c r="W197" s="664"/>
      <c r="Z197" s="665" t="str">
        <f t="shared" si="58"/>
        <v>Common</v>
      </c>
      <c r="AA197" s="662">
        <f ca="1">$C$26/AE172*AA172</f>
        <v>0</v>
      </c>
      <c r="AB197" s="663"/>
      <c r="AC197" s="663"/>
      <c r="AD197" s="663"/>
      <c r="AE197" s="663"/>
      <c r="AF197" s="663"/>
      <c r="AG197" s="663"/>
      <c r="AH197" s="663"/>
      <c r="AI197" s="664"/>
      <c r="AL197" s="665" t="str">
        <f t="shared" si="59"/>
        <v>Common</v>
      </c>
      <c r="AM197" s="662">
        <f ca="1">$C$26/AQ172*AM172</f>
        <v>0</v>
      </c>
      <c r="AN197" s="663"/>
      <c r="AU197" s="664"/>
      <c r="AX197" s="665" t="str">
        <f t="shared" si="60"/>
        <v>Common</v>
      </c>
      <c r="AY197" s="662">
        <f ca="1">$C$26/BC172*AY172</f>
        <v>0</v>
      </c>
      <c r="BG197" s="664"/>
      <c r="BJ197" s="665" t="str">
        <f t="shared" si="61"/>
        <v>Common</v>
      </c>
      <c r="BK197" s="662">
        <f ca="1">$C$26/BO172*BK172</f>
        <v>0</v>
      </c>
      <c r="BS197" s="664"/>
      <c r="BV197" s="665" t="str">
        <f t="shared" si="62"/>
        <v>Common</v>
      </c>
      <c r="BW197" s="662">
        <f ca="1">$C$26/CA172*BW172</f>
        <v>0</v>
      </c>
      <c r="CE197" s="664"/>
      <c r="CH197" s="665" t="str">
        <f t="shared" si="63"/>
        <v>Common</v>
      </c>
      <c r="CI197" s="662">
        <f ca="1">$C$26/CM172*CI172</f>
        <v>0</v>
      </c>
      <c r="CQ197" s="664"/>
      <c r="CT197" s="665" t="str">
        <f t="shared" si="64"/>
        <v>Common</v>
      </c>
      <c r="CU197" s="662">
        <f ca="1">$C$26/CY172*CU172</f>
        <v>0</v>
      </c>
      <c r="DC197" s="664"/>
      <c r="DF197" s="665" t="str">
        <f t="shared" si="65"/>
        <v>Common</v>
      </c>
      <c r="DG197" s="662">
        <f ca="1">$C$26/DK172*DG172</f>
        <v>0</v>
      </c>
      <c r="DO197" s="664"/>
    </row>
    <row r="198" spans="2:119" hidden="1" x14ac:dyDescent="0.25">
      <c r="B198" s="665" t="str">
        <f t="shared" si="56"/>
        <v>Options</v>
      </c>
      <c r="C198" s="662">
        <f ca="1">C173</f>
        <v>0</v>
      </c>
      <c r="K198" s="664"/>
      <c r="N198" s="665" t="str">
        <f t="shared" si="57"/>
        <v>Options</v>
      </c>
      <c r="O198" s="662">
        <f ca="1">O173</f>
        <v>0</v>
      </c>
      <c r="U198" s="663"/>
      <c r="W198" s="664"/>
      <c r="Z198" s="665" t="str">
        <f t="shared" si="58"/>
        <v>Options</v>
      </c>
      <c r="AA198" s="662">
        <f ca="1">AA173</f>
        <v>0</v>
      </c>
      <c r="AB198" s="663"/>
      <c r="AC198" s="663"/>
      <c r="AD198" s="663"/>
      <c r="AE198" s="663"/>
      <c r="AF198" s="663"/>
      <c r="AG198" s="663"/>
      <c r="AH198" s="663"/>
      <c r="AI198" s="664"/>
      <c r="AL198" s="665" t="str">
        <f t="shared" si="59"/>
        <v>Options</v>
      </c>
      <c r="AM198" s="662">
        <f ca="1">AM173</f>
        <v>0</v>
      </c>
      <c r="AN198" s="663"/>
      <c r="AU198" s="664"/>
      <c r="AX198" s="665" t="str">
        <f t="shared" si="60"/>
        <v>Options</v>
      </c>
      <c r="AY198" s="662">
        <f ca="1">AY173</f>
        <v>0</v>
      </c>
      <c r="BG198" s="664"/>
      <c r="BJ198" s="665" t="str">
        <f t="shared" si="61"/>
        <v>Options</v>
      </c>
      <c r="BK198" s="662">
        <f ca="1">BK173</f>
        <v>0</v>
      </c>
      <c r="BS198" s="664"/>
      <c r="BV198" s="665" t="str">
        <f t="shared" si="62"/>
        <v>Options</v>
      </c>
      <c r="BW198" s="662">
        <f ca="1">BW173</f>
        <v>0</v>
      </c>
      <c r="CE198" s="664"/>
      <c r="CH198" s="665" t="str">
        <f t="shared" si="63"/>
        <v>Options</v>
      </c>
      <c r="CI198" s="662">
        <f ca="1">CI173</f>
        <v>0</v>
      </c>
      <c r="CQ198" s="664"/>
      <c r="CT198" s="665" t="str">
        <f t="shared" si="64"/>
        <v>Options</v>
      </c>
      <c r="CU198" s="662">
        <f ca="1">CU173</f>
        <v>0</v>
      </c>
      <c r="DC198" s="664"/>
      <c r="DF198" s="665" t="str">
        <f t="shared" si="65"/>
        <v>Options</v>
      </c>
      <c r="DG198" s="662">
        <f ca="1">DG173</f>
        <v>0</v>
      </c>
      <c r="DO198" s="664"/>
    </row>
    <row r="199" spans="2:119" hidden="1" x14ac:dyDescent="0.25">
      <c r="B199" s="665"/>
      <c r="C199" s="662">
        <f ca="1">SUM(C177:C198)</f>
        <v>0</v>
      </c>
      <c r="K199" s="664"/>
      <c r="N199" s="665"/>
      <c r="O199" s="662">
        <f ca="1">SUM(O177:O198)</f>
        <v>0</v>
      </c>
      <c r="U199" s="663"/>
      <c r="W199" s="664"/>
      <c r="Z199" s="665"/>
      <c r="AA199" s="662">
        <f ca="1">SUM(AA177:AA198)</f>
        <v>0</v>
      </c>
      <c r="AB199" s="663"/>
      <c r="AC199" s="663"/>
      <c r="AD199" s="663"/>
      <c r="AE199" s="663"/>
      <c r="AF199" s="663"/>
      <c r="AG199" s="663"/>
      <c r="AH199" s="663"/>
      <c r="AI199" s="664"/>
      <c r="AL199" s="665"/>
      <c r="AM199" s="662">
        <f ca="1">SUM(AM177:AM198)</f>
        <v>0</v>
      </c>
      <c r="AN199" s="663"/>
      <c r="AU199" s="664"/>
      <c r="AX199" s="665"/>
      <c r="AY199" s="662">
        <f ca="1">SUM(AY177:AY198)</f>
        <v>0</v>
      </c>
      <c r="BG199" s="664"/>
      <c r="BJ199" s="665"/>
      <c r="BK199" s="662">
        <f ca="1">SUM(BK177:BK198)</f>
        <v>0</v>
      </c>
      <c r="BS199" s="664"/>
      <c r="BV199" s="665"/>
      <c r="BW199" s="662">
        <f ca="1">SUM(BW177:BW198)</f>
        <v>0</v>
      </c>
      <c r="CE199" s="664"/>
      <c r="CH199" s="665"/>
      <c r="CI199" s="662">
        <f ca="1">SUM(CI177:CI198)</f>
        <v>0</v>
      </c>
      <c r="CQ199" s="664"/>
      <c r="CT199" s="665"/>
      <c r="CU199" s="662">
        <f ca="1">SUM(CU177:CU198)</f>
        <v>0</v>
      </c>
      <c r="DC199" s="664"/>
      <c r="DF199" s="665"/>
      <c r="DG199" s="662">
        <f ca="1">SUM(DG177:DG198)</f>
        <v>0</v>
      </c>
      <c r="DO199" s="664"/>
    </row>
    <row r="200" spans="2:119" hidden="1" x14ac:dyDescent="0.25">
      <c r="B200" s="668"/>
      <c r="C200" s="662"/>
      <c r="K200" s="664"/>
      <c r="N200" s="668"/>
      <c r="O200" s="662"/>
      <c r="U200" s="663"/>
      <c r="W200" s="664"/>
      <c r="Z200" s="668"/>
      <c r="AA200" s="662"/>
      <c r="AB200" s="663"/>
      <c r="AC200" s="663"/>
      <c r="AD200" s="663"/>
      <c r="AE200" s="663"/>
      <c r="AF200" s="663"/>
      <c r="AG200" s="663"/>
      <c r="AH200" s="663"/>
      <c r="AI200" s="664"/>
      <c r="AL200" s="668"/>
      <c r="AM200" s="662"/>
      <c r="AN200" s="663"/>
      <c r="AU200" s="664"/>
      <c r="AX200" s="668"/>
      <c r="AY200" s="662"/>
      <c r="BG200" s="664"/>
      <c r="BJ200" s="668"/>
      <c r="BK200" s="662"/>
      <c r="BS200" s="664"/>
      <c r="BV200" s="668"/>
      <c r="BW200" s="662"/>
      <c r="CE200" s="664"/>
      <c r="CH200" s="668"/>
      <c r="CI200" s="662"/>
      <c r="CQ200" s="664"/>
      <c r="CT200" s="668"/>
      <c r="CU200" s="662"/>
      <c r="DC200" s="664"/>
      <c r="DF200" s="668"/>
      <c r="DG200" s="662"/>
      <c r="DO200" s="664"/>
    </row>
    <row r="201" spans="2:119" hidden="1" x14ac:dyDescent="0.25">
      <c r="B201" s="668"/>
      <c r="C201" s="662"/>
      <c r="K201" s="664"/>
      <c r="N201" s="668"/>
      <c r="O201" s="662"/>
      <c r="U201" s="663"/>
      <c r="W201" s="664"/>
      <c r="Z201" s="668"/>
      <c r="AA201" s="662"/>
      <c r="AB201" s="663"/>
      <c r="AC201" s="663"/>
      <c r="AD201" s="663"/>
      <c r="AE201" s="663"/>
      <c r="AF201" s="663"/>
      <c r="AG201" s="663"/>
      <c r="AH201" s="663"/>
      <c r="AI201" s="664"/>
      <c r="AL201" s="668"/>
      <c r="AM201" s="662"/>
      <c r="AN201" s="663"/>
      <c r="AU201" s="664"/>
      <c r="AX201" s="668"/>
      <c r="AY201" s="662"/>
      <c r="BG201" s="664"/>
      <c r="BJ201" s="668"/>
      <c r="BK201" s="662"/>
      <c r="BS201" s="664"/>
      <c r="BV201" s="668"/>
      <c r="BW201" s="662"/>
      <c r="CE201" s="664"/>
      <c r="CH201" s="668"/>
      <c r="CI201" s="662"/>
      <c r="CQ201" s="664"/>
      <c r="CT201" s="668"/>
      <c r="CU201" s="662"/>
      <c r="DC201" s="664"/>
      <c r="DF201" s="668"/>
      <c r="DG201" s="662"/>
      <c r="DO201" s="664"/>
    </row>
    <row r="202" spans="2:119" hidden="1" x14ac:dyDescent="0.25">
      <c r="B202" s="665" t="str">
        <f>B29</f>
        <v>HTGC</v>
      </c>
      <c r="C202" s="662">
        <f ca="1">IF(SUM($F$10:$F$18)=0,0,$F$10/SUM($F$10:$F$18)*C$177)+IF(SUM($G$10:$G$18)=0,0,$G$10/SUM($G$10:$G$18)*C$178)+IF(SUM($H$10:$H$18)=0,0,$H$10/SUM($H$10:$H$18)*C$179)+IF(SUM($I$10:$I$18)=0,0,$I$10/SUM($I$10:$I$18)*C$180)+IF(SUM($J$10:$J$18)=0,0,$J$10/SUM($J$10:$J$18)*C$181)+IF(SUM($K$10:$K$18)=0,0,$K$10/SUM($K$10:$K$18)*C$182)+IF(SUM($L$10:$L$18)=0,0,$L$10/SUM($L$10:$L$18)*C$183)+IF(SUM($M$10:$M$18)=0,0,$M$10/SUM($M$10:$M$18)*C$184)+IF(SUM($N$10:$N$18)=0,0,$N$10/SUM($N$10:$N$18)*C$185)+IF(SUM($O$10:$O$18)=0,0,$O$10/SUM($O$10:$O$18)*C$186)</f>
        <v>0</v>
      </c>
      <c r="K202" s="664"/>
      <c r="N202" s="665" t="str">
        <f>B202</f>
        <v>HTGC</v>
      </c>
      <c r="O202" s="662">
        <f ca="1">IF(SUM($F$10:$F$18)=0,0,$F$10/SUM($F$10:$F$18)*O$177)+IF(SUM($G$10:$G$18)=0,0,$G$10/SUM($G$10:$G$18)*O$178)+IF(SUM($H$10:$H$18)=0,0,$H$10/SUM($H$10:$H$18)*O$179)+IF(SUM($I$10:$I$18)=0,0,$I$10/SUM($I$10:$I$18)*O$180)+IF(SUM($J$10:$J$18)=0,0,$J$10/SUM($J$10:$J$18)*O$181)+IF(SUM($K$10:$K$18)=0,0,$K$10/SUM($K$10:$K$18)*O$182)+IF(SUM($L$10:$L$18)=0,0,$L$10/SUM($L$10:$L$18)*O$183)+IF(SUM($M$10:$M$18)=0,0,$M$10/SUM($M$10:$M$18)*O$184)+IF(SUM($N$10:$N$18)=0,0,$N$10/SUM($N$10:$N$18)*O$185)+IF(SUM($O$10:$O$18)=0,0,$O$10/SUM($O$10:$O$18)*O$186)</f>
        <v>0</v>
      </c>
      <c r="U202" s="663"/>
      <c r="W202" s="664"/>
      <c r="Z202" s="665" t="str">
        <f>N202</f>
        <v>HTGC</v>
      </c>
      <c r="AA202" s="662">
        <f ca="1">IF(SUM($F$10:$F$18)=0,0,$F$10/SUM($F$10:$F$18)*AA$177)+IF(SUM($G$10:$G$18)=0,0,$G$10/SUM($G$10:$G$18)*AA$178)+IF(SUM($H$10:$H$18)=0,0,$H$10/SUM($H$10:$H$18)*AA$179)+IF(SUM($I$10:$I$18)=0,0,$I$10/SUM($I$10:$I$18)*AA$180)+IF(SUM($J$10:$J$18)=0,0,$J$10/SUM($J$10:$J$18)*AA$181)+IF(SUM($K$10:$K$18)=0,0,$K$10/SUM($K$10:$K$18)*AA$182)+IF(SUM($L$10:$L$18)=0,0,$L$10/SUM($L$10:$L$18)*AA$183)+IF(SUM($M$10:$M$18)=0,0,$M$10/SUM($M$10:$M$18)*AA$184)+IF(SUM($N$10:$N$18)=0,0,$N$10/SUM($N$10:$N$18)*AA$185)+IF(SUM($O$10:$O$18)=0,0,$O$10/SUM($O$10:$O$18)*AA$186)</f>
        <v>0</v>
      </c>
      <c r="AB202" s="663"/>
      <c r="AC202" s="663"/>
      <c r="AD202" s="663"/>
      <c r="AE202" s="663"/>
      <c r="AF202" s="663"/>
      <c r="AG202" s="663"/>
      <c r="AH202" s="663"/>
      <c r="AI202" s="664"/>
      <c r="AL202" s="665" t="str">
        <f>Z202</f>
        <v>HTGC</v>
      </c>
      <c r="AM202" s="662">
        <f ca="1">IF(SUM($F$10:$F$18)=0,0,$F$10/SUM($F$10:$F$18)*AM$177)+IF(SUM($G$10:$G$18)=0,0,$G$10/SUM($G$10:$G$18)*AM$178)+IF(SUM($H$10:$H$18)=0,0,$H$10/SUM($H$10:$H$18)*AM$179)+IF(SUM($I$10:$I$18)=0,0,$I$10/SUM($I$10:$I$18)*AM$180)+IF(SUM($J$10:$J$18)=0,0,$J$10/SUM($J$10:$J$18)*AM$181)+IF(SUM($K$10:$K$18)=0,0,$K$10/SUM($K$10:$K$18)*AM$182)+IF(SUM($L$10:$L$18)=0,0,$L$10/SUM($L$10:$L$18)*AM$183)+IF(SUM($M$10:$M$18)=0,0,$M$10/SUM($M$10:$M$18)*AM$184)+IF(SUM($N$10:$N$18)=0,0,$N$10/SUM($N$10:$N$18)*AM$185)+IF(SUM($O$10:$O$18)=0,0,$O$10/SUM($O$10:$O$18)*AM$186)</f>
        <v>0</v>
      </c>
      <c r="AN202" s="663"/>
      <c r="AU202" s="664"/>
      <c r="AX202" s="665" t="str">
        <f>AL202</f>
        <v>HTGC</v>
      </c>
      <c r="AY202" s="662">
        <f ca="1">IF(SUM($F$10:$F$18)=0,0,$F$10/SUM($F$10:$F$18)*AY$177)+IF(SUM($G$10:$G$18)=0,0,$G$10/SUM($G$10:$G$18)*AY$178)+IF(SUM($H$10:$H$18)=0,0,$H$10/SUM($H$10:$H$18)*AY$179)+IF(SUM($I$10:$I$18)=0,0,$I$10/SUM($I$10:$I$18)*AY$180)+IF(SUM($J$10:$J$18)=0,0,$J$10/SUM($J$10:$J$18)*AY$181)+IF(SUM($K$10:$K$18)=0,0,$K$10/SUM($K$10:$K$18)*AY$182)+IF(SUM($L$10:$L$18)=0,0,$L$10/SUM($L$10:$L$18)*AY$183)+IF(SUM($M$10:$M$18)=0,0,$M$10/SUM($M$10:$M$18)*AY$184)+IF(SUM($N$10:$N$18)=0,0,$N$10/SUM($N$10:$N$18)*AY$185)+IF(SUM($O$10:$O$18)=0,0,$O$10/SUM($O$10:$O$18)*AY$186)</f>
        <v>0</v>
      </c>
      <c r="BG202" s="664"/>
      <c r="BJ202" s="665" t="str">
        <f>AX202</f>
        <v>HTGC</v>
      </c>
      <c r="BK202" s="662">
        <f ca="1">IF(SUM($F$10:$F$18)=0,0,$F$10/SUM($F$10:$F$18)*BK$177)+IF(SUM($G$10:$G$18)=0,0,$G$10/SUM($G$10:$G$18)*BK$178)+IF(SUM($H$10:$H$18)=0,0,$H$10/SUM($H$10:$H$18)*BK$179)+IF(SUM($I$10:$I$18)=0,0,$I$10/SUM($I$10:$I$18)*BK$180)+IF(SUM($J$10:$J$18)=0,0,$J$10/SUM($J$10:$J$18)*BK$181)+IF(SUM($K$10:$K$18)=0,0,$K$10/SUM($K$10:$K$18)*BK$182)+IF(SUM($L$10:$L$18)=0,0,$L$10/SUM($L$10:$L$18)*BK$183)+IF(SUM($M$10:$M$18)=0,0,$M$10/SUM($M$10:$M$18)*BK$184)+IF(SUM($N$10:$N$18)=0,0,$N$10/SUM($N$10:$N$18)*BK$185)+IF(SUM($O$10:$O$18)=0,0,$O$10/SUM($O$10:$O$18)*BK$186)</f>
        <v>0</v>
      </c>
      <c r="BS202" s="664"/>
      <c r="BV202" s="665" t="str">
        <f>BJ202</f>
        <v>HTGC</v>
      </c>
      <c r="BW202" s="662">
        <f ca="1">IF(SUM($F$10:$F$18)=0,0,$F$10/SUM($F$10:$F$18)*BW$177)+IF(SUM($G$10:$G$18)=0,0,$G$10/SUM($G$10:$G$18)*BW$178)+IF(SUM($H$10:$H$18)=0,0,$H$10/SUM($H$10:$H$18)*BW$179)+IF(SUM($I$10:$I$18)=0,0,$I$10/SUM($I$10:$I$18)*BW$180)+IF(SUM($J$10:$J$18)=0,0,$J$10/SUM($J$10:$J$18)*BW$181)+IF(SUM($K$10:$K$18)=0,0,$K$10/SUM($K$10:$K$18)*BW$182)+IF(SUM($L$10:$L$18)=0,0,$L$10/SUM($L$10:$L$18)*BW$183)+IF(SUM($M$10:$M$18)=0,0,$M$10/SUM($M$10:$M$18)*BW$184)+IF(SUM($N$10:$N$18)=0,0,$N$10/SUM($N$10:$N$18)*BW$185)+IF(SUM($O$10:$O$18)=0,0,$O$10/SUM($O$10:$O$18)*BW$186)</f>
        <v>0</v>
      </c>
      <c r="CE202" s="664"/>
      <c r="CH202" s="665" t="str">
        <f>BV202</f>
        <v>HTGC</v>
      </c>
      <c r="CI202" s="662">
        <f ca="1">IF(SUM($F$10:$F$18)=0,0,$F$10/SUM($F$10:$F$18)*CI$177)+IF(SUM($G$10:$G$18)=0,0,$G$10/SUM($G$10:$G$18)*CI$178)+IF(SUM($H$10:$H$18)=0,0,$H$10/SUM($H$10:$H$18)*CI$179)+IF(SUM($I$10:$I$18)=0,0,$I$10/SUM($I$10:$I$18)*CI$180)+IF(SUM($J$10:$J$18)=0,0,$J$10/SUM($J$10:$J$18)*CI$181)+IF(SUM($K$10:$K$18)=0,0,$K$10/SUM($K$10:$K$18)*CI$182)+IF(SUM($L$10:$L$18)=0,0,$L$10/SUM($L$10:$L$18)*CI$183)+IF(SUM($M$10:$M$18)=0,0,$M$10/SUM($M$10:$M$18)*CI$184)+IF(SUM($N$10:$N$18)=0,0,$N$10/SUM($N$10:$N$18)*CI$185)+IF(SUM($O$10:$O$18)=0,0,$O$10/SUM($O$10:$O$18)*CI$186)</f>
        <v>0</v>
      </c>
      <c r="CQ202" s="664"/>
      <c r="CT202" s="665" t="str">
        <f>CH202</f>
        <v>HTGC</v>
      </c>
      <c r="CU202" s="662">
        <f ca="1">IF(SUM($F$10:$F$18)=0,0,$F$10/SUM($F$10:$F$18)*CU$177)+IF(SUM($G$10:$G$18)=0,0,$G$10/SUM($G$10:$G$18)*CU$178)+IF(SUM($H$10:$H$18)=0,0,$H$10/SUM($H$10:$H$18)*CU$179)+IF(SUM($I$10:$I$18)=0,0,$I$10/SUM($I$10:$I$18)*CU$180)+IF(SUM($J$10:$J$18)=0,0,$J$10/SUM($J$10:$J$18)*CU$181)+IF(SUM($K$10:$K$18)=0,0,$K$10/SUM($K$10:$K$18)*CU$182)+IF(SUM($L$10:$L$18)=0,0,$L$10/SUM($L$10:$L$18)*CU$183)+IF(SUM($M$10:$M$18)=0,0,$M$10/SUM($M$10:$M$18)*CU$184)+IF(SUM($N$10:$N$18)=0,0,$N$10/SUM($N$10:$N$18)*CU$185)+IF(SUM($O$10:$O$18)=0,0,$O$10/SUM($O$10:$O$18)*CU$186)</f>
        <v>0</v>
      </c>
      <c r="DC202" s="664"/>
      <c r="DF202" s="665" t="str">
        <f>CT202</f>
        <v>HTGC</v>
      </c>
      <c r="DG202" s="662">
        <f ca="1">IF(SUM($F$10:$F$18)=0,0,$F$10/SUM($F$10:$F$18)*DG$177)+IF(SUM($G$10:$G$18)=0,0,$G$10/SUM($G$10:$G$18)*DG$178)+IF(SUM($H$10:$H$18)=0,0,$H$10/SUM($H$10:$H$18)*DG$179)+IF(SUM($I$10:$I$18)=0,0,$I$10/SUM($I$10:$I$18)*DG$180)+IF(SUM($J$10:$J$18)=0,0,$J$10/SUM($J$10:$J$18)*DG$181)+IF(SUM($K$10:$K$18)=0,0,$K$10/SUM($K$10:$K$18)*DG$182)+IF(SUM($L$10:$L$18)=0,0,$L$10/SUM($L$10:$L$18)*DG$183)+IF(SUM($M$10:$M$18)=0,0,$M$10/SUM($M$10:$M$18)*DG$184)+IF(SUM($N$10:$N$18)=0,0,$N$10/SUM($N$10:$N$18)*DG$185)+IF(SUM($O$10:$O$18)=0,0,$O$10/SUM($O$10:$O$18)*DG$186)</f>
        <v>0</v>
      </c>
      <c r="DO202" s="664"/>
    </row>
    <row r="203" spans="2:119" hidden="1" x14ac:dyDescent="0.25">
      <c r="B203" s="665" t="str">
        <f t="shared" ref="B203:B210" si="66">B30</f>
        <v>Inv B</v>
      </c>
      <c r="C203" s="662">
        <f ca="1">IF(SUM($F$10:$F$18)=0,0,$F$11/SUM($F$10:$F$18)*C$177)+IF(SUM($G$10:$G$18)=0,0,$G$11/SUM($G$10:$G$18)*C$178)+IF(SUM($H$10:$H$18)=0,0,$H$11/SUM($H$10:$H$18)*C$179)+IF(SUM($I$10:$I$18)=0,0,$I$11/SUM($I$10:$I$18)*C$180)+IF(SUM($J$10:$J$18)=0,0,$J$11/SUM($J$10:$J$18)*C$181)+IF(SUM($K$10:$K$18)=0,0,$K$11/SUM($K$10:$K$18)*C$182)+IF(SUM($L$10:$L$18)=0,0,$L$11/SUM($L$10:$L$18)*C$183)+IF(SUM($M$10:$M$18)=0,0,$M$11/SUM($M$10:$M$18)*C$184)+IF(SUM($N$10:$N$18)=0,0,$N$11/SUM($N$10:$N$18)*C$185)+IF(SUM($O$10:$O$18)=0,0,$O$11/SUM($O$10:$O$18)*C$186)</f>
        <v>0</v>
      </c>
      <c r="K203" s="664"/>
      <c r="N203" s="665" t="str">
        <f t="shared" ref="N203:N222" si="67">B203</f>
        <v>Inv B</v>
      </c>
      <c r="O203" s="662">
        <f ca="1">IF(SUM($F$10:$F$18)=0,0,$F$11/SUM($F$10:$F$18)*O$177)+IF(SUM($G$10:$G$18)=0,0,$G$11/SUM($G$10:$G$18)*O$178)+IF(SUM($H$10:$H$18)=0,0,$H$11/SUM($H$10:$H$18)*O$179)+IF(SUM($I$10:$I$18)=0,0,$I$11/SUM($I$10:$I$18)*O$180)+IF(SUM($J$10:$J$18)=0,0,$J$11/SUM($J$10:$J$18)*O$181)+IF(SUM($K$10:$K$18)=0,0,$K$11/SUM($K$10:$K$18)*O$182)+IF(SUM($L$10:$L$18)=0,0,$L$11/SUM($L$10:$L$18)*O$183)+IF(SUM($M$10:$M$18)=0,0,$M$11/SUM($M$10:$M$18)*O$184)+IF(SUM($N$10:$N$18)=0,0,$N$11/SUM($N$10:$N$18)*O$185)+IF(SUM($O$10:$O$18)=0,0,$O$11/SUM($O$10:$O$18)*O$186)</f>
        <v>0</v>
      </c>
      <c r="U203" s="663"/>
      <c r="W203" s="664"/>
      <c r="Z203" s="665" t="str">
        <f t="shared" ref="Z203:Z222" si="68">N203</f>
        <v>Inv B</v>
      </c>
      <c r="AA203" s="662">
        <f ca="1">IF(SUM($F$10:$F$18)=0,0,$F$11/SUM($F$10:$F$18)*AA$177)+IF(SUM($G$10:$G$18)=0,0,$G$11/SUM($G$10:$G$18)*AA$178)+IF(SUM($H$10:$H$18)=0,0,$H$11/SUM($H$10:$H$18)*AA$179)+IF(SUM($I$10:$I$18)=0,0,$I$11/SUM($I$10:$I$18)*AA$180)+IF(SUM($J$10:$J$18)=0,0,$J$11/SUM($J$10:$J$18)*AA$181)+IF(SUM($K$10:$K$18)=0,0,$K$11/SUM($K$10:$K$18)*AA$182)+IF(SUM($L$10:$L$18)=0,0,$L$11/SUM($L$10:$L$18)*AA$183)+IF(SUM($M$10:$M$18)=0,0,$M$11/SUM($M$10:$M$18)*AA$184)+IF(SUM($N$10:$N$18)=0,0,$N$11/SUM($N$10:$N$18)*AA$185)+IF(SUM($O$10:$O$18)=0,0,$O$11/SUM($O$10:$O$18)*AA$186)</f>
        <v>0</v>
      </c>
      <c r="AB203" s="663"/>
      <c r="AC203" s="663"/>
      <c r="AD203" s="663"/>
      <c r="AE203" s="663"/>
      <c r="AF203" s="663"/>
      <c r="AG203" s="663"/>
      <c r="AH203" s="663"/>
      <c r="AI203" s="664"/>
      <c r="AL203" s="665" t="str">
        <f t="shared" ref="AL203:AL222" si="69">Z203</f>
        <v>Inv B</v>
      </c>
      <c r="AM203" s="662">
        <f ca="1">IF(SUM($F$10:$F$18)=0,0,$F$11/SUM($F$10:$F$18)*AM$177)+IF(SUM($G$10:$G$18)=0,0,$G$11/SUM($G$10:$G$18)*AM$178)+IF(SUM($H$10:$H$18)=0,0,$H$11/SUM($H$10:$H$18)*AM$179)+IF(SUM($I$10:$I$18)=0,0,$I$11/SUM($I$10:$I$18)*AM$180)+IF(SUM($J$10:$J$18)=0,0,$J$11/SUM($J$10:$J$18)*AM$181)+IF(SUM($K$10:$K$18)=0,0,$K$11/SUM($K$10:$K$18)*AM$182)+IF(SUM($L$10:$L$18)=0,0,$L$11/SUM($L$10:$L$18)*AM$183)+IF(SUM($M$10:$M$18)=0,0,$M$11/SUM($M$10:$M$18)*AM$184)+IF(SUM($N$10:$N$18)=0,0,$N$11/SUM($N$10:$N$18)*AM$185)+IF(SUM($O$10:$O$18)=0,0,$O$11/SUM($O$10:$O$18)*AM$186)</f>
        <v>0</v>
      </c>
      <c r="AN203" s="663"/>
      <c r="AU203" s="664"/>
      <c r="AX203" s="665" t="str">
        <f t="shared" ref="AX203:AX222" si="70">AL203</f>
        <v>Inv B</v>
      </c>
      <c r="AY203" s="662">
        <f ca="1">IF(SUM($F$10:$F$18)=0,0,$F$11/SUM($F$10:$F$18)*AY$177)+IF(SUM($G$10:$G$18)=0,0,$G$11/SUM($G$10:$G$18)*AY$178)+IF(SUM($H$10:$H$18)=0,0,$H$11/SUM($H$10:$H$18)*AY$179)+IF(SUM($I$10:$I$18)=0,0,$I$11/SUM($I$10:$I$18)*AY$180)+IF(SUM($J$10:$J$18)=0,0,$J$11/SUM($J$10:$J$18)*AY$181)+IF(SUM($K$10:$K$18)=0,0,$K$11/SUM($K$10:$K$18)*AY$182)+IF(SUM($L$10:$L$18)=0,0,$L$11/SUM($L$10:$L$18)*AY$183)+IF(SUM($M$10:$M$18)=0,0,$M$11/SUM($M$10:$M$18)*AY$184)+IF(SUM($N$10:$N$18)=0,0,$N$11/SUM($N$10:$N$18)*AY$185)+IF(SUM($O$10:$O$18)=0,0,$O$11/SUM($O$10:$O$18)*AY$186)</f>
        <v>0</v>
      </c>
      <c r="BG203" s="664"/>
      <c r="BJ203" s="665" t="str">
        <f t="shared" ref="BJ203:BJ222" si="71">AX203</f>
        <v>Inv B</v>
      </c>
      <c r="BK203" s="662">
        <f ca="1">IF(SUM($F$10:$F$18)=0,0,$F$11/SUM($F$10:$F$18)*BK$177)+IF(SUM($G$10:$G$18)=0,0,$G$11/SUM($G$10:$G$18)*BK$178)+IF(SUM($H$10:$H$18)=0,0,$H$11/SUM($H$10:$H$18)*BK$179)+IF(SUM($I$10:$I$18)=0,0,$I$11/SUM($I$10:$I$18)*BK$180)+IF(SUM($J$10:$J$18)=0,0,$J$11/SUM($J$10:$J$18)*BK$181)+IF(SUM($K$10:$K$18)=0,0,$K$11/SUM($K$10:$K$18)*BK$182)+IF(SUM($L$10:$L$18)=0,0,$L$11/SUM($L$10:$L$18)*BK$183)+IF(SUM($M$10:$M$18)=0,0,$M$11/SUM($M$10:$M$18)*BK$184)+IF(SUM($N$10:$N$18)=0,0,$N$11/SUM($N$10:$N$18)*BK$185)+IF(SUM($O$10:$O$18)=0,0,$O$11/SUM($O$10:$O$18)*BK$186)</f>
        <v>0</v>
      </c>
      <c r="BS203" s="664"/>
      <c r="BV203" s="665" t="str">
        <f t="shared" ref="BV203:BV222" si="72">BJ203</f>
        <v>Inv B</v>
      </c>
      <c r="BW203" s="662">
        <f ca="1">IF(SUM($F$10:$F$18)=0,0,$F$11/SUM($F$10:$F$18)*BW$177)+IF(SUM($G$10:$G$18)=0,0,$G$11/SUM($G$10:$G$18)*BW$178)+IF(SUM($H$10:$H$18)=0,0,$H$11/SUM($H$10:$H$18)*BW$179)+IF(SUM($I$10:$I$18)=0,0,$I$11/SUM($I$10:$I$18)*BW$180)+IF(SUM($J$10:$J$18)=0,0,$J$11/SUM($J$10:$J$18)*BW$181)+IF(SUM($K$10:$K$18)=0,0,$K$11/SUM($K$10:$K$18)*BW$182)+IF(SUM($L$10:$L$18)=0,0,$L$11/SUM($L$10:$L$18)*BW$183)+IF(SUM($M$10:$M$18)=0,0,$M$11/SUM($M$10:$M$18)*BW$184)+IF(SUM($N$10:$N$18)=0,0,$N$11/SUM($N$10:$N$18)*BW$185)+IF(SUM($O$10:$O$18)=0,0,$O$11/SUM($O$10:$O$18)*BW$186)</f>
        <v>0</v>
      </c>
      <c r="CE203" s="664"/>
      <c r="CH203" s="665" t="str">
        <f t="shared" ref="CH203:CH222" si="73">BV203</f>
        <v>Inv B</v>
      </c>
      <c r="CI203" s="662">
        <f ca="1">IF(SUM($F$10:$F$18)=0,0,$F$11/SUM($F$10:$F$18)*CI$177)+IF(SUM($G$10:$G$18)=0,0,$G$11/SUM($G$10:$G$18)*CI$178)+IF(SUM($H$10:$H$18)=0,0,$H$11/SUM($H$10:$H$18)*CI$179)+IF(SUM($I$10:$I$18)=0,0,$I$11/SUM($I$10:$I$18)*CI$180)+IF(SUM($J$10:$J$18)=0,0,$J$11/SUM($J$10:$J$18)*CI$181)+IF(SUM($K$10:$K$18)=0,0,$K$11/SUM($K$10:$K$18)*CI$182)+IF(SUM($L$10:$L$18)=0,0,$L$11/SUM($L$10:$L$18)*CI$183)+IF(SUM($M$10:$M$18)=0,0,$M$11/SUM($M$10:$M$18)*CI$184)+IF(SUM($N$10:$N$18)=0,0,$N$11/SUM($N$10:$N$18)*CI$185)+IF(SUM($O$10:$O$18)=0,0,$O$11/SUM($O$10:$O$18)*CI$186)</f>
        <v>0</v>
      </c>
      <c r="CQ203" s="664"/>
      <c r="CT203" s="665" t="str">
        <f t="shared" ref="CT203:CT222" si="74">CH203</f>
        <v>Inv B</v>
      </c>
      <c r="CU203" s="662">
        <f ca="1">IF(SUM($F$10:$F$18)=0,0,$F$11/SUM($F$10:$F$18)*CU$177)+IF(SUM($G$10:$G$18)=0,0,$G$11/SUM($G$10:$G$18)*CU$178)+IF(SUM($H$10:$H$18)=0,0,$H$11/SUM($H$10:$H$18)*CU$179)+IF(SUM($I$10:$I$18)=0,0,$I$11/SUM($I$10:$I$18)*CU$180)+IF(SUM($J$10:$J$18)=0,0,$J$11/SUM($J$10:$J$18)*CU$181)+IF(SUM($K$10:$K$18)=0,0,$K$11/SUM($K$10:$K$18)*CU$182)+IF(SUM($L$10:$L$18)=0,0,$L$11/SUM($L$10:$L$18)*CU$183)+IF(SUM($M$10:$M$18)=0,0,$M$11/SUM($M$10:$M$18)*CU$184)+IF(SUM($N$10:$N$18)=0,0,$N$11/SUM($N$10:$N$18)*CU$185)+IF(SUM($O$10:$O$18)=0,0,$O$11/SUM($O$10:$O$18)*CU$186)</f>
        <v>0</v>
      </c>
      <c r="DC203" s="664"/>
      <c r="DF203" s="665" t="str">
        <f t="shared" ref="DF203:DF222" si="75">CT203</f>
        <v>Inv B</v>
      </c>
      <c r="DG203" s="662">
        <f ca="1">IF(SUM($F$10:$F$18)=0,0,$F$11/SUM($F$10:$F$18)*DG$177)+IF(SUM($G$10:$G$18)=0,0,$G$11/SUM($G$10:$G$18)*DG$178)+IF(SUM($H$10:$H$18)=0,0,$H$11/SUM($H$10:$H$18)*DG$179)+IF(SUM($I$10:$I$18)=0,0,$I$11/SUM($I$10:$I$18)*DG$180)+IF(SUM($J$10:$J$18)=0,0,$J$11/SUM($J$10:$J$18)*DG$181)+IF(SUM($K$10:$K$18)=0,0,$K$11/SUM($K$10:$K$18)*DG$182)+IF(SUM($L$10:$L$18)=0,0,$L$11/SUM($L$10:$L$18)*DG$183)+IF(SUM($M$10:$M$18)=0,0,$M$11/SUM($M$10:$M$18)*DG$184)+IF(SUM($N$10:$N$18)=0,0,$N$11/SUM($N$10:$N$18)*DG$185)+IF(SUM($O$10:$O$18)=0,0,$O$11/SUM($O$10:$O$18)*DG$186)</f>
        <v>0</v>
      </c>
      <c r="DO203" s="664"/>
    </row>
    <row r="204" spans="2:119" hidden="1" x14ac:dyDescent="0.25">
      <c r="B204" s="665" t="str">
        <f t="shared" si="66"/>
        <v>Inv C</v>
      </c>
      <c r="C204" s="662">
        <f ca="1">IF(SUM($F$10:$F$18)=0,0,$F$12/SUM($F$10:$F$18)*C$177)+IF(SUM($G$10:$G$18)=0,0,$G$12/SUM($G$10:$G$18)*C$178)+IF(SUM($H$10:$H$18)=0,0,$H$12/SUM($H$10:$H$18)*C$179)+IF(SUM($I$10:$I$18)=0,0,$I$12/SUM($I$10:$I$18)*C$180)+IF(SUM($J$10:$J$18)=0,0,$J$12/SUM($J$10:$J$18)*C$181)+IF(SUM($K$10:$K$18)=0,0,$K$12/SUM($K$10:$K$18)*C$182)+IF(SUM($L$10:$L$18)=0,0,$L$12/SUM($L$10:$L$18)*C$183)+IF(SUM($M$10:$M$18)=0,0,$M$12/SUM($M$10:$M$18)*C$184)+IF(SUM($N$10:$N$18)=0,0,$N$12/SUM($N$10:$N$18)*C$185)+IF(SUM($O$10:$O$18)=0,0,$O$12/SUM($O$10:$O$18)*C$186)</f>
        <v>0</v>
      </c>
      <c r="K204" s="664"/>
      <c r="N204" s="665" t="str">
        <f t="shared" si="67"/>
        <v>Inv C</v>
      </c>
      <c r="O204" s="662">
        <f ca="1">IF(SUM($F$10:$F$18)=0,0,$F$12/SUM($F$10:$F$18)*O$177)+IF(SUM($G$10:$G$18)=0,0,$G$12/SUM($G$10:$G$18)*O$178)+IF(SUM($H$10:$H$18)=0,0,$H$12/SUM($H$10:$H$18)*O$179)+IF(SUM($I$10:$I$18)=0,0,$I$12/SUM($I$10:$I$18)*O$180)+IF(SUM($J$10:$J$18)=0,0,$J$12/SUM($J$10:$J$18)*O$181)+IF(SUM($K$10:$K$18)=0,0,$K$12/SUM($K$10:$K$18)*O$182)+IF(SUM($L$10:$L$18)=0,0,$L$12/SUM($L$10:$L$18)*O$183)+IF(SUM($M$10:$M$18)=0,0,$M$12/SUM($M$10:$M$18)*O$184)+IF(SUM($N$10:$N$18)=0,0,$N$12/SUM($N$10:$N$18)*O$185)+IF(SUM($O$10:$O$18)=0,0,$O$12/SUM($O$10:$O$18)*O$186)</f>
        <v>0</v>
      </c>
      <c r="U204" s="663"/>
      <c r="W204" s="664"/>
      <c r="Z204" s="665" t="str">
        <f t="shared" si="68"/>
        <v>Inv C</v>
      </c>
      <c r="AA204" s="662">
        <f ca="1">IF(SUM($F$10:$F$18)=0,0,$F$12/SUM($F$10:$F$18)*AA$177)+IF(SUM($G$10:$G$18)=0,0,$G$12/SUM($G$10:$G$18)*AA$178)+IF(SUM($H$10:$H$18)=0,0,$H$12/SUM($H$10:$H$18)*AA$179)+IF(SUM($I$10:$I$18)=0,0,$I$12/SUM($I$10:$I$18)*AA$180)+IF(SUM($J$10:$J$18)=0,0,$J$12/SUM($J$10:$J$18)*AA$181)+IF(SUM($K$10:$K$18)=0,0,$K$12/SUM($K$10:$K$18)*AA$182)+IF(SUM($L$10:$L$18)=0,0,$L$12/SUM($L$10:$L$18)*AA$183)+IF(SUM($M$10:$M$18)=0,0,$M$12/SUM($M$10:$M$18)*AA$184)+IF(SUM($N$10:$N$18)=0,0,$N$12/SUM($N$10:$N$18)*AA$185)+IF(SUM($O$10:$O$18)=0,0,$O$12/SUM($O$10:$O$18)*AA$186)</f>
        <v>0</v>
      </c>
      <c r="AB204" s="663"/>
      <c r="AC204" s="663"/>
      <c r="AD204" s="663"/>
      <c r="AE204" s="663"/>
      <c r="AF204" s="663"/>
      <c r="AG204" s="663"/>
      <c r="AH204" s="663"/>
      <c r="AI204" s="664"/>
      <c r="AL204" s="665" t="str">
        <f t="shared" si="69"/>
        <v>Inv C</v>
      </c>
      <c r="AM204" s="662">
        <f ca="1">IF(SUM($F$10:$F$18)=0,0,$F$12/SUM($F$10:$F$18)*AM$177)+IF(SUM($G$10:$G$18)=0,0,$G$12/SUM($G$10:$G$18)*AM$178)+IF(SUM($H$10:$H$18)=0,0,$H$12/SUM($H$10:$H$18)*AM$179)+IF(SUM($I$10:$I$18)=0,0,$I$12/SUM($I$10:$I$18)*AM$180)+IF(SUM($J$10:$J$18)=0,0,$J$12/SUM($J$10:$J$18)*AM$181)+IF(SUM($K$10:$K$18)=0,0,$K$12/SUM($K$10:$K$18)*AM$182)+IF(SUM($L$10:$L$18)=0,0,$L$12/SUM($L$10:$L$18)*AM$183)+IF(SUM($M$10:$M$18)=0,0,$M$12/SUM($M$10:$M$18)*AM$184)+IF(SUM($N$10:$N$18)=0,0,$N$12/SUM($N$10:$N$18)*AM$185)+IF(SUM($O$10:$O$18)=0,0,$O$12/SUM($O$10:$O$18)*AM$186)</f>
        <v>0</v>
      </c>
      <c r="AN204" s="663"/>
      <c r="AU204" s="664"/>
      <c r="AX204" s="665" t="str">
        <f t="shared" si="70"/>
        <v>Inv C</v>
      </c>
      <c r="AY204" s="662">
        <f ca="1">IF(SUM($F$10:$F$18)=0,0,$F$12/SUM($F$10:$F$18)*AY$177)+IF(SUM($G$10:$G$18)=0,0,$G$12/SUM($G$10:$G$18)*AY$178)+IF(SUM($H$10:$H$18)=0,0,$H$12/SUM($H$10:$H$18)*AY$179)+IF(SUM($I$10:$I$18)=0,0,$I$12/SUM($I$10:$I$18)*AY$180)+IF(SUM($J$10:$J$18)=0,0,$J$12/SUM($J$10:$J$18)*AY$181)+IF(SUM($K$10:$K$18)=0,0,$K$12/SUM($K$10:$K$18)*AY$182)+IF(SUM($L$10:$L$18)=0,0,$L$12/SUM($L$10:$L$18)*AY$183)+IF(SUM($M$10:$M$18)=0,0,$M$12/SUM($M$10:$M$18)*AY$184)+IF(SUM($N$10:$N$18)=0,0,$N$12/SUM($N$10:$N$18)*AY$185)+IF(SUM($O$10:$O$18)=0,0,$O$12/SUM($O$10:$O$18)*AY$186)</f>
        <v>0</v>
      </c>
      <c r="BG204" s="664"/>
      <c r="BJ204" s="665" t="str">
        <f t="shared" si="71"/>
        <v>Inv C</v>
      </c>
      <c r="BK204" s="662">
        <f ca="1">IF(SUM($F$10:$F$18)=0,0,$F$12/SUM($F$10:$F$18)*BK$177)+IF(SUM($G$10:$G$18)=0,0,$G$12/SUM($G$10:$G$18)*BK$178)+IF(SUM($H$10:$H$18)=0,0,$H$12/SUM($H$10:$H$18)*BK$179)+IF(SUM($I$10:$I$18)=0,0,$I$12/SUM($I$10:$I$18)*BK$180)+IF(SUM($J$10:$J$18)=0,0,$J$12/SUM($J$10:$J$18)*BK$181)+IF(SUM($K$10:$K$18)=0,0,$K$12/SUM($K$10:$K$18)*BK$182)+IF(SUM($L$10:$L$18)=0,0,$L$12/SUM($L$10:$L$18)*BK$183)+IF(SUM($M$10:$M$18)=0,0,$M$12/SUM($M$10:$M$18)*BK$184)+IF(SUM($N$10:$N$18)=0,0,$N$12/SUM($N$10:$N$18)*BK$185)+IF(SUM($O$10:$O$18)=0,0,$O$12/SUM($O$10:$O$18)*BK$186)</f>
        <v>0</v>
      </c>
      <c r="BS204" s="664"/>
      <c r="BV204" s="665" t="str">
        <f t="shared" si="72"/>
        <v>Inv C</v>
      </c>
      <c r="BW204" s="662">
        <f ca="1">IF(SUM($F$10:$F$18)=0,0,$F$12/SUM($F$10:$F$18)*BW$177)+IF(SUM($G$10:$G$18)=0,0,$G$12/SUM($G$10:$G$18)*BW$178)+IF(SUM($H$10:$H$18)=0,0,$H$12/SUM($H$10:$H$18)*BW$179)+IF(SUM($I$10:$I$18)=0,0,$I$12/SUM($I$10:$I$18)*BW$180)+IF(SUM($J$10:$J$18)=0,0,$J$12/SUM($J$10:$J$18)*BW$181)+IF(SUM($K$10:$K$18)=0,0,$K$12/SUM($K$10:$K$18)*BW$182)+IF(SUM($L$10:$L$18)=0,0,$L$12/SUM($L$10:$L$18)*BW$183)+IF(SUM($M$10:$M$18)=0,0,$M$12/SUM($M$10:$M$18)*BW$184)+IF(SUM($N$10:$N$18)=0,0,$N$12/SUM($N$10:$N$18)*BW$185)+IF(SUM($O$10:$O$18)=0,0,$O$12/SUM($O$10:$O$18)*BW$186)</f>
        <v>0</v>
      </c>
      <c r="CE204" s="664"/>
      <c r="CH204" s="665" t="str">
        <f t="shared" si="73"/>
        <v>Inv C</v>
      </c>
      <c r="CI204" s="662">
        <f ca="1">IF(SUM($F$10:$F$18)=0,0,$F$12/SUM($F$10:$F$18)*CI$177)+IF(SUM($G$10:$G$18)=0,0,$G$12/SUM($G$10:$G$18)*CI$178)+IF(SUM($H$10:$H$18)=0,0,$H$12/SUM($H$10:$H$18)*CI$179)+IF(SUM($I$10:$I$18)=0,0,$I$12/SUM($I$10:$I$18)*CI$180)+IF(SUM($J$10:$J$18)=0,0,$J$12/SUM($J$10:$J$18)*CI$181)+IF(SUM($K$10:$K$18)=0,0,$K$12/SUM($K$10:$K$18)*CI$182)+IF(SUM($L$10:$L$18)=0,0,$L$12/SUM($L$10:$L$18)*CI$183)+IF(SUM($M$10:$M$18)=0,0,$M$12/SUM($M$10:$M$18)*CI$184)+IF(SUM($N$10:$N$18)=0,0,$N$12/SUM($N$10:$N$18)*CI$185)+IF(SUM($O$10:$O$18)=0,0,$O$12/SUM($O$10:$O$18)*CI$186)</f>
        <v>0</v>
      </c>
      <c r="CQ204" s="664"/>
      <c r="CT204" s="665" t="str">
        <f t="shared" si="74"/>
        <v>Inv C</v>
      </c>
      <c r="CU204" s="662">
        <f ca="1">IF(SUM($F$10:$F$18)=0,0,$F$12/SUM($F$10:$F$18)*CU$177)+IF(SUM($G$10:$G$18)=0,0,$G$12/SUM($G$10:$G$18)*CU$178)+IF(SUM($H$10:$H$18)=0,0,$H$12/SUM($H$10:$H$18)*CU$179)+IF(SUM($I$10:$I$18)=0,0,$I$12/SUM($I$10:$I$18)*CU$180)+IF(SUM($J$10:$J$18)=0,0,$J$12/SUM($J$10:$J$18)*CU$181)+IF(SUM($K$10:$K$18)=0,0,$K$12/SUM($K$10:$K$18)*CU$182)+IF(SUM($L$10:$L$18)=0,0,$L$12/SUM($L$10:$L$18)*CU$183)+IF(SUM($M$10:$M$18)=0,0,$M$12/SUM($M$10:$M$18)*CU$184)+IF(SUM($N$10:$N$18)=0,0,$N$12/SUM($N$10:$N$18)*CU$185)+IF(SUM($O$10:$O$18)=0,0,$O$12/SUM($O$10:$O$18)*CU$186)</f>
        <v>0</v>
      </c>
      <c r="DC204" s="664"/>
      <c r="DF204" s="665" t="str">
        <f t="shared" si="75"/>
        <v>Inv C</v>
      </c>
      <c r="DG204" s="662">
        <f ca="1">IF(SUM($F$10:$F$18)=0,0,$F$12/SUM($F$10:$F$18)*DG$177)+IF(SUM($G$10:$G$18)=0,0,$G$12/SUM($G$10:$G$18)*DG$178)+IF(SUM($H$10:$H$18)=0,0,$H$12/SUM($H$10:$H$18)*DG$179)+IF(SUM($I$10:$I$18)=0,0,$I$12/SUM($I$10:$I$18)*DG$180)+IF(SUM($J$10:$J$18)=0,0,$J$12/SUM($J$10:$J$18)*DG$181)+IF(SUM($K$10:$K$18)=0,0,$K$12/SUM($K$10:$K$18)*DG$182)+IF(SUM($L$10:$L$18)=0,0,$L$12/SUM($L$10:$L$18)*DG$183)+IF(SUM($M$10:$M$18)=0,0,$M$12/SUM($M$10:$M$18)*DG$184)+IF(SUM($N$10:$N$18)=0,0,$N$12/SUM($N$10:$N$18)*DG$185)+IF(SUM($O$10:$O$18)=0,0,$O$12/SUM($O$10:$O$18)*DG$186)</f>
        <v>0</v>
      </c>
      <c r="DO204" s="664"/>
    </row>
    <row r="205" spans="2:119" hidden="1" x14ac:dyDescent="0.25">
      <c r="B205" s="665" t="str">
        <f t="shared" si="66"/>
        <v>Inv D</v>
      </c>
      <c r="C205" s="662">
        <f ca="1">IF(SUM($F$10:$F$18)=0,0,$F$13/SUM($F$10:$F$18)*C$177)+IF(SUM($G$10:$G$18)=0,0,$G$13/SUM($G$10:$G$18)*C$178)+IF(SUM($H$10:$H$18)=0,0,$H$13/SUM($H$10:$H$18)*C$179)+IF(SUM($I$10:$I$18)=0,0,$I$13/SUM($I$10:$I$18)*C$180)+IF(SUM($J$10:$J$18)=0,0,$J$13/SUM($J$10:$J$18)*C$181)+IF(SUM($K$10:$K$18)=0,0,$K$13/SUM($K$10:$K$18)*C$182)+IF(SUM($L$10:$L$18)=0,0,$L$13/SUM($L$10:$L$18)*C$183)+IF(SUM($M$10:$M$18)=0,0,$M$13/SUM($M$10:$M$18)*C$184)+IF(SUM($N$10:$N$18)=0,0,$N$13/SUM($N$10:$N$18)*C$185)+IF(SUM($O$10:$O$18)=0,0,$O$13/SUM($O$10:$O$18)*C$186)</f>
        <v>0</v>
      </c>
      <c r="K205" s="664"/>
      <c r="N205" s="665" t="str">
        <f t="shared" si="67"/>
        <v>Inv D</v>
      </c>
      <c r="O205" s="662">
        <f ca="1">IF(SUM($F$10:$F$18)=0,0,$F$13/SUM($F$10:$F$18)*O$177)+IF(SUM($G$10:$G$18)=0,0,$G$13/SUM($G$10:$G$18)*O$178)+IF(SUM($H$10:$H$18)=0,0,$H$13/SUM($H$10:$H$18)*O$179)+IF(SUM($I$10:$I$18)=0,0,$I$13/SUM($I$10:$I$18)*O$180)+IF(SUM($J$10:$J$18)=0,0,$J$13/SUM($J$10:$J$18)*O$181)+IF(SUM($K$10:$K$18)=0,0,$K$13/SUM($K$10:$K$18)*O$182)+IF(SUM($L$10:$L$18)=0,0,$L$13/SUM($L$10:$L$18)*O$183)+IF(SUM($M$10:$M$18)=0,0,$M$13/SUM($M$10:$M$18)*O$184)+IF(SUM($N$10:$N$18)=0,0,$N$13/SUM($N$10:$N$18)*O$185)+IF(SUM($O$10:$O$18)=0,0,$O$13/SUM($O$10:$O$18)*O$186)</f>
        <v>0</v>
      </c>
      <c r="U205" s="663"/>
      <c r="W205" s="664"/>
      <c r="Z205" s="665" t="str">
        <f t="shared" si="68"/>
        <v>Inv D</v>
      </c>
      <c r="AA205" s="662">
        <f ca="1">IF(SUM($F$10:$F$18)=0,0,$F$13/SUM($F$10:$F$18)*AA$177)+IF(SUM($G$10:$G$18)=0,0,$G$13/SUM($G$10:$G$18)*AA$178)+IF(SUM($H$10:$H$18)=0,0,$H$13/SUM($H$10:$H$18)*AA$179)+IF(SUM($I$10:$I$18)=0,0,$I$13/SUM($I$10:$I$18)*AA$180)+IF(SUM($J$10:$J$18)=0,0,$J$13/SUM($J$10:$J$18)*AA$181)+IF(SUM($K$10:$K$18)=0,0,$K$13/SUM($K$10:$K$18)*AA$182)+IF(SUM($L$10:$L$18)=0,0,$L$13/SUM($L$10:$L$18)*AA$183)+IF(SUM($M$10:$M$18)=0,0,$M$13/SUM($M$10:$M$18)*AA$184)+IF(SUM($N$10:$N$18)=0,0,$N$13/SUM($N$10:$N$18)*AA$185)+IF(SUM($O$10:$O$18)=0,0,$O$13/SUM($O$10:$O$18)*AA$186)</f>
        <v>0</v>
      </c>
      <c r="AB205" s="663"/>
      <c r="AC205" s="663"/>
      <c r="AD205" s="663"/>
      <c r="AE205" s="663"/>
      <c r="AF205" s="663"/>
      <c r="AG205" s="663"/>
      <c r="AH205" s="663"/>
      <c r="AI205" s="664"/>
      <c r="AL205" s="665" t="str">
        <f t="shared" si="69"/>
        <v>Inv D</v>
      </c>
      <c r="AM205" s="662">
        <f ca="1">IF(SUM($F$10:$F$18)=0,0,$F$13/SUM($F$10:$F$18)*AM$177)+IF(SUM($G$10:$G$18)=0,0,$G$13/SUM($G$10:$G$18)*AM$178)+IF(SUM($H$10:$H$18)=0,0,$H$13/SUM($H$10:$H$18)*AM$179)+IF(SUM($I$10:$I$18)=0,0,$I$13/SUM($I$10:$I$18)*AM$180)+IF(SUM($J$10:$J$18)=0,0,$J$13/SUM($J$10:$J$18)*AM$181)+IF(SUM($K$10:$K$18)=0,0,$K$13/SUM($K$10:$K$18)*AM$182)+IF(SUM($L$10:$L$18)=0,0,$L$13/SUM($L$10:$L$18)*AM$183)+IF(SUM($M$10:$M$18)=0,0,$M$13/SUM($M$10:$M$18)*AM$184)+IF(SUM($N$10:$N$18)=0,0,$N$13/SUM($N$10:$N$18)*AM$185)+IF(SUM($O$10:$O$18)=0,0,$O$13/SUM($O$10:$O$18)*AM$186)</f>
        <v>0</v>
      </c>
      <c r="AN205" s="663"/>
      <c r="AU205" s="664"/>
      <c r="AX205" s="665" t="str">
        <f t="shared" si="70"/>
        <v>Inv D</v>
      </c>
      <c r="AY205" s="662">
        <f ca="1">IF(SUM($F$10:$F$18)=0,0,$F$13/SUM($F$10:$F$18)*AY$177)+IF(SUM($G$10:$G$18)=0,0,$G$13/SUM($G$10:$G$18)*AY$178)+IF(SUM($H$10:$H$18)=0,0,$H$13/SUM($H$10:$H$18)*AY$179)+IF(SUM($I$10:$I$18)=0,0,$I$13/SUM($I$10:$I$18)*AY$180)+IF(SUM($J$10:$J$18)=0,0,$J$13/SUM($J$10:$J$18)*AY$181)+IF(SUM($K$10:$K$18)=0,0,$K$13/SUM($K$10:$K$18)*AY$182)+IF(SUM($L$10:$L$18)=0,0,$L$13/SUM($L$10:$L$18)*AY$183)+IF(SUM($M$10:$M$18)=0,0,$M$13/SUM($M$10:$M$18)*AY$184)+IF(SUM($N$10:$N$18)=0,0,$N$13/SUM($N$10:$N$18)*AY$185)+IF(SUM($O$10:$O$18)=0,0,$O$13/SUM($O$10:$O$18)*AY$186)</f>
        <v>0</v>
      </c>
      <c r="BG205" s="664"/>
      <c r="BJ205" s="665" t="str">
        <f t="shared" si="71"/>
        <v>Inv D</v>
      </c>
      <c r="BK205" s="662">
        <f ca="1">IF(SUM($F$10:$F$18)=0,0,$F$13/SUM($F$10:$F$18)*BK$177)+IF(SUM($G$10:$G$18)=0,0,$G$13/SUM($G$10:$G$18)*BK$178)+IF(SUM($H$10:$H$18)=0,0,$H$13/SUM($H$10:$H$18)*BK$179)+IF(SUM($I$10:$I$18)=0,0,$I$13/SUM($I$10:$I$18)*BK$180)+IF(SUM($J$10:$J$18)=0,0,$J$13/SUM($J$10:$J$18)*BK$181)+IF(SUM($K$10:$K$18)=0,0,$K$13/SUM($K$10:$K$18)*BK$182)+IF(SUM($L$10:$L$18)=0,0,$L$13/SUM($L$10:$L$18)*BK$183)+IF(SUM($M$10:$M$18)=0,0,$M$13/SUM($M$10:$M$18)*BK$184)+IF(SUM($N$10:$N$18)=0,0,$N$13/SUM($N$10:$N$18)*BK$185)+IF(SUM($O$10:$O$18)=0,0,$O$13/SUM($O$10:$O$18)*BK$186)</f>
        <v>0</v>
      </c>
      <c r="BS205" s="664"/>
      <c r="BV205" s="665" t="str">
        <f t="shared" si="72"/>
        <v>Inv D</v>
      </c>
      <c r="BW205" s="662">
        <f ca="1">IF(SUM($F$10:$F$18)=0,0,$F$13/SUM($F$10:$F$18)*BW$177)+IF(SUM($G$10:$G$18)=0,0,$G$13/SUM($G$10:$G$18)*BW$178)+IF(SUM($H$10:$H$18)=0,0,$H$13/SUM($H$10:$H$18)*BW$179)+IF(SUM($I$10:$I$18)=0,0,$I$13/SUM($I$10:$I$18)*BW$180)+IF(SUM($J$10:$J$18)=0,0,$J$13/SUM($J$10:$J$18)*BW$181)+IF(SUM($K$10:$K$18)=0,0,$K$13/SUM($K$10:$K$18)*BW$182)+IF(SUM($L$10:$L$18)=0,0,$L$13/SUM($L$10:$L$18)*BW$183)+IF(SUM($M$10:$M$18)=0,0,$M$13/SUM($M$10:$M$18)*BW$184)+IF(SUM($N$10:$N$18)=0,0,$N$13/SUM($N$10:$N$18)*BW$185)+IF(SUM($O$10:$O$18)=0,0,$O$13/SUM($O$10:$O$18)*BW$186)</f>
        <v>0</v>
      </c>
      <c r="CE205" s="664"/>
      <c r="CH205" s="665" t="str">
        <f t="shared" si="73"/>
        <v>Inv D</v>
      </c>
      <c r="CI205" s="662">
        <f ca="1">IF(SUM($F$10:$F$18)=0,0,$F$13/SUM($F$10:$F$18)*CI$177)+IF(SUM($G$10:$G$18)=0,0,$G$13/SUM($G$10:$G$18)*CI$178)+IF(SUM($H$10:$H$18)=0,0,$H$13/SUM($H$10:$H$18)*CI$179)+IF(SUM($I$10:$I$18)=0,0,$I$13/SUM($I$10:$I$18)*CI$180)+IF(SUM($J$10:$J$18)=0,0,$J$13/SUM($J$10:$J$18)*CI$181)+IF(SUM($K$10:$K$18)=0,0,$K$13/SUM($K$10:$K$18)*CI$182)+IF(SUM($L$10:$L$18)=0,0,$L$13/SUM($L$10:$L$18)*CI$183)+IF(SUM($M$10:$M$18)=0,0,$M$13/SUM($M$10:$M$18)*CI$184)+IF(SUM($N$10:$N$18)=0,0,$N$13/SUM($N$10:$N$18)*CI$185)+IF(SUM($O$10:$O$18)=0,0,$O$13/SUM($O$10:$O$18)*CI$186)</f>
        <v>0</v>
      </c>
      <c r="CQ205" s="664"/>
      <c r="CT205" s="665" t="str">
        <f t="shared" si="74"/>
        <v>Inv D</v>
      </c>
      <c r="CU205" s="662">
        <f ca="1">IF(SUM($F$10:$F$18)=0,0,$F$13/SUM($F$10:$F$18)*CU$177)+IF(SUM($G$10:$G$18)=0,0,$G$13/SUM($G$10:$G$18)*CU$178)+IF(SUM($H$10:$H$18)=0,0,$H$13/SUM($H$10:$H$18)*CU$179)+IF(SUM($I$10:$I$18)=0,0,$I$13/SUM($I$10:$I$18)*CU$180)+IF(SUM($J$10:$J$18)=0,0,$J$13/SUM($J$10:$J$18)*CU$181)+IF(SUM($K$10:$K$18)=0,0,$K$13/SUM($K$10:$K$18)*CU$182)+IF(SUM($L$10:$L$18)=0,0,$L$13/SUM($L$10:$L$18)*CU$183)+IF(SUM($M$10:$M$18)=0,0,$M$13/SUM($M$10:$M$18)*CU$184)+IF(SUM($N$10:$N$18)=0,0,$N$13/SUM($N$10:$N$18)*CU$185)+IF(SUM($O$10:$O$18)=0,0,$O$13/SUM($O$10:$O$18)*CU$186)</f>
        <v>0</v>
      </c>
      <c r="DC205" s="664"/>
      <c r="DF205" s="665" t="str">
        <f t="shared" si="75"/>
        <v>Inv D</v>
      </c>
      <c r="DG205" s="662">
        <f ca="1">IF(SUM($F$10:$F$18)=0,0,$F$13/SUM($F$10:$F$18)*DG$177)+IF(SUM($G$10:$G$18)=0,0,$G$13/SUM($G$10:$G$18)*DG$178)+IF(SUM($H$10:$H$18)=0,0,$H$13/SUM($H$10:$H$18)*DG$179)+IF(SUM($I$10:$I$18)=0,0,$I$13/SUM($I$10:$I$18)*DG$180)+IF(SUM($J$10:$J$18)=0,0,$J$13/SUM($J$10:$J$18)*DG$181)+IF(SUM($K$10:$K$18)=0,0,$K$13/SUM($K$10:$K$18)*DG$182)+IF(SUM($L$10:$L$18)=0,0,$L$13/SUM($L$10:$L$18)*DG$183)+IF(SUM($M$10:$M$18)=0,0,$M$13/SUM($M$10:$M$18)*DG$184)+IF(SUM($N$10:$N$18)=0,0,$N$13/SUM($N$10:$N$18)*DG$185)+IF(SUM($O$10:$O$18)=0,0,$O$13/SUM($O$10:$O$18)*DG$186)</f>
        <v>0</v>
      </c>
      <c r="DO205" s="664"/>
    </row>
    <row r="206" spans="2:119" hidden="1" x14ac:dyDescent="0.25">
      <c r="B206" s="665" t="str">
        <f t="shared" si="66"/>
        <v>Inv E</v>
      </c>
      <c r="C206" s="662">
        <f ca="1">IF(SUM($F$10:$F$18)=0,0,$F$14/SUM($F$10:$F$18)*C$177)+IF(SUM($G$10:$G$18)=0,0,$G$14/SUM($G$10:$G$18)*C$178)+IF(SUM($H$10:$H$18)=0,0,$H$14/SUM($H$10:$H$18)*C$179)+IF(SUM($I$10:$I$18)=0,0,$I$14/SUM($I$10:$I$18)*C$180)+IF(SUM($J$10:$J$18)=0,0,$J$14/SUM($J$10:$J$18)*C$181)+IF(SUM($K$10:$K$18)=0,0,$K$14/SUM($K$10:$K$18)*C$182)+IF(SUM($L$10:$L$18)=0,0,$L$14/SUM($L$10:$L$18)*C$183)+IF(SUM($M$10:$M$18)=0,0,$M$14/SUM($M$10:$M$18)*C$184)+IF(SUM($N$10:$N$18)=0,0,$N$14/SUM($N$10:$N$18)*C$185)+IF(SUM($O$10:$O$18)=0,0,$O$14/SUM($O$10:$O$18)*C$186)</f>
        <v>0</v>
      </c>
      <c r="K206" s="664"/>
      <c r="N206" s="665" t="str">
        <f t="shared" si="67"/>
        <v>Inv E</v>
      </c>
      <c r="O206" s="662">
        <f ca="1">IF(SUM($F$10:$F$18)=0,0,$F$14/SUM($F$10:$F$18)*O$177)+IF(SUM($G$10:$G$18)=0,0,$G$14/SUM($G$10:$G$18)*O$178)+IF(SUM($H$10:$H$18)=0,0,$H$14/SUM($H$10:$H$18)*O$179)+IF(SUM($I$10:$I$18)=0,0,$I$14/SUM($I$10:$I$18)*O$180)+IF(SUM($J$10:$J$18)=0,0,$J$14/SUM($J$10:$J$18)*O$181)+IF(SUM($K$10:$K$18)=0,0,$K$14/SUM($K$10:$K$18)*O$182)+IF(SUM($L$10:$L$18)=0,0,$L$14/SUM($L$10:$L$18)*O$183)+IF(SUM($M$10:$M$18)=0,0,$M$14/SUM($M$10:$M$18)*O$184)+IF(SUM($N$10:$N$18)=0,0,$N$14/SUM($N$10:$N$18)*O$185)+IF(SUM($O$10:$O$18)=0,0,$O$14/SUM($O$10:$O$18)*O$186)</f>
        <v>0</v>
      </c>
      <c r="U206" s="663"/>
      <c r="W206" s="664"/>
      <c r="Z206" s="665" t="str">
        <f t="shared" si="68"/>
        <v>Inv E</v>
      </c>
      <c r="AA206" s="662">
        <f ca="1">IF(SUM($F$10:$F$18)=0,0,$F$14/SUM($F$10:$F$18)*AA$177)+IF(SUM($G$10:$G$18)=0,0,$G$14/SUM($G$10:$G$18)*AA$178)+IF(SUM($H$10:$H$18)=0,0,$H$14/SUM($H$10:$H$18)*AA$179)+IF(SUM($I$10:$I$18)=0,0,$I$14/SUM($I$10:$I$18)*AA$180)+IF(SUM($J$10:$J$18)=0,0,$J$14/SUM($J$10:$J$18)*AA$181)+IF(SUM($K$10:$K$18)=0,0,$K$14/SUM($K$10:$K$18)*AA$182)+IF(SUM($L$10:$L$18)=0,0,$L$14/SUM($L$10:$L$18)*AA$183)+IF(SUM($M$10:$M$18)=0,0,$M$14/SUM($M$10:$M$18)*AA$184)+IF(SUM($N$10:$N$18)=0,0,$N$14/SUM($N$10:$N$18)*AA$185)+IF(SUM($O$10:$O$18)=0,0,$O$14/SUM($O$10:$O$18)*AA$186)</f>
        <v>0</v>
      </c>
      <c r="AB206" s="663"/>
      <c r="AC206" s="663"/>
      <c r="AD206" s="663"/>
      <c r="AE206" s="663"/>
      <c r="AF206" s="663"/>
      <c r="AG206" s="663"/>
      <c r="AH206" s="663"/>
      <c r="AI206" s="664"/>
      <c r="AL206" s="665" t="str">
        <f t="shared" si="69"/>
        <v>Inv E</v>
      </c>
      <c r="AM206" s="662">
        <f ca="1">IF(SUM($F$10:$F$18)=0,0,$F$14/SUM($F$10:$F$18)*AM$177)+IF(SUM($G$10:$G$18)=0,0,$G$14/SUM($G$10:$G$18)*AM$178)+IF(SUM($H$10:$H$18)=0,0,$H$14/SUM($H$10:$H$18)*AM$179)+IF(SUM($I$10:$I$18)=0,0,$I$14/SUM($I$10:$I$18)*AM$180)+IF(SUM($J$10:$J$18)=0,0,$J$14/SUM($J$10:$J$18)*AM$181)+IF(SUM($K$10:$K$18)=0,0,$K$14/SUM($K$10:$K$18)*AM$182)+IF(SUM($L$10:$L$18)=0,0,$L$14/SUM($L$10:$L$18)*AM$183)+IF(SUM($M$10:$M$18)=0,0,$M$14/SUM($M$10:$M$18)*AM$184)+IF(SUM($N$10:$N$18)=0,0,$N$14/SUM($N$10:$N$18)*AM$185)+IF(SUM($O$10:$O$18)=0,0,$O$14/SUM($O$10:$O$18)*AM$186)</f>
        <v>0</v>
      </c>
      <c r="AN206" s="663"/>
      <c r="AU206" s="664"/>
      <c r="AX206" s="665" t="str">
        <f t="shared" si="70"/>
        <v>Inv E</v>
      </c>
      <c r="AY206" s="662">
        <f ca="1">IF(SUM($F$10:$F$18)=0,0,$F$14/SUM($F$10:$F$18)*AY$177)+IF(SUM($G$10:$G$18)=0,0,$G$14/SUM($G$10:$G$18)*AY$178)+IF(SUM($H$10:$H$18)=0,0,$H$14/SUM($H$10:$H$18)*AY$179)+IF(SUM($I$10:$I$18)=0,0,$I$14/SUM($I$10:$I$18)*AY$180)+IF(SUM($J$10:$J$18)=0,0,$J$14/SUM($J$10:$J$18)*AY$181)+IF(SUM($K$10:$K$18)=0,0,$K$14/SUM($K$10:$K$18)*AY$182)+IF(SUM($L$10:$L$18)=0,0,$L$14/SUM($L$10:$L$18)*AY$183)+IF(SUM($M$10:$M$18)=0,0,$M$14/SUM($M$10:$M$18)*AY$184)+IF(SUM($N$10:$N$18)=0,0,$N$14/SUM($N$10:$N$18)*AY$185)+IF(SUM($O$10:$O$18)=0,0,$O$14/SUM($O$10:$O$18)*AY$186)</f>
        <v>0</v>
      </c>
      <c r="BG206" s="664"/>
      <c r="BJ206" s="665" t="str">
        <f t="shared" si="71"/>
        <v>Inv E</v>
      </c>
      <c r="BK206" s="662">
        <f ca="1">IF(SUM($F$10:$F$18)=0,0,$F$14/SUM($F$10:$F$18)*BK$177)+IF(SUM($G$10:$G$18)=0,0,$G$14/SUM($G$10:$G$18)*BK$178)+IF(SUM($H$10:$H$18)=0,0,$H$14/SUM($H$10:$H$18)*BK$179)+IF(SUM($I$10:$I$18)=0,0,$I$14/SUM($I$10:$I$18)*BK$180)+IF(SUM($J$10:$J$18)=0,0,$J$14/SUM($J$10:$J$18)*BK$181)+IF(SUM($K$10:$K$18)=0,0,$K$14/SUM($K$10:$K$18)*BK$182)+IF(SUM($L$10:$L$18)=0,0,$L$14/SUM($L$10:$L$18)*BK$183)+IF(SUM($M$10:$M$18)=0,0,$M$14/SUM($M$10:$M$18)*BK$184)+IF(SUM($N$10:$N$18)=0,0,$N$14/SUM($N$10:$N$18)*BK$185)+IF(SUM($O$10:$O$18)=0,0,$O$14/SUM($O$10:$O$18)*BK$186)</f>
        <v>0</v>
      </c>
      <c r="BS206" s="664"/>
      <c r="BV206" s="665" t="str">
        <f t="shared" si="72"/>
        <v>Inv E</v>
      </c>
      <c r="BW206" s="662">
        <f ca="1">IF(SUM($F$10:$F$18)=0,0,$F$14/SUM($F$10:$F$18)*BW$177)+IF(SUM($G$10:$G$18)=0,0,$G$14/SUM($G$10:$G$18)*BW$178)+IF(SUM($H$10:$H$18)=0,0,$H$14/SUM($H$10:$H$18)*BW$179)+IF(SUM($I$10:$I$18)=0,0,$I$14/SUM($I$10:$I$18)*BW$180)+IF(SUM($J$10:$J$18)=0,0,$J$14/SUM($J$10:$J$18)*BW$181)+IF(SUM($K$10:$K$18)=0,0,$K$14/SUM($K$10:$K$18)*BW$182)+IF(SUM($L$10:$L$18)=0,0,$L$14/SUM($L$10:$L$18)*BW$183)+IF(SUM($M$10:$M$18)=0,0,$M$14/SUM($M$10:$M$18)*BW$184)+IF(SUM($N$10:$N$18)=0,0,$N$14/SUM($N$10:$N$18)*BW$185)+IF(SUM($O$10:$O$18)=0,0,$O$14/SUM($O$10:$O$18)*BW$186)</f>
        <v>0</v>
      </c>
      <c r="CE206" s="664"/>
      <c r="CH206" s="665" t="str">
        <f t="shared" si="73"/>
        <v>Inv E</v>
      </c>
      <c r="CI206" s="662">
        <f ca="1">IF(SUM($F$10:$F$18)=0,0,$F$14/SUM($F$10:$F$18)*CI$177)+IF(SUM($G$10:$G$18)=0,0,$G$14/SUM($G$10:$G$18)*CI$178)+IF(SUM($H$10:$H$18)=0,0,$H$14/SUM($H$10:$H$18)*CI$179)+IF(SUM($I$10:$I$18)=0,0,$I$14/SUM($I$10:$I$18)*CI$180)+IF(SUM($J$10:$J$18)=0,0,$J$14/SUM($J$10:$J$18)*CI$181)+IF(SUM($K$10:$K$18)=0,0,$K$14/SUM($K$10:$K$18)*CI$182)+IF(SUM($L$10:$L$18)=0,0,$L$14/SUM($L$10:$L$18)*CI$183)+IF(SUM($M$10:$M$18)=0,0,$M$14/SUM($M$10:$M$18)*CI$184)+IF(SUM($N$10:$N$18)=0,0,$N$14/SUM($N$10:$N$18)*CI$185)+IF(SUM($O$10:$O$18)=0,0,$O$14/SUM($O$10:$O$18)*CI$186)</f>
        <v>0</v>
      </c>
      <c r="CQ206" s="664"/>
      <c r="CT206" s="665" t="str">
        <f t="shared" si="74"/>
        <v>Inv E</v>
      </c>
      <c r="CU206" s="662">
        <f ca="1">IF(SUM($F$10:$F$18)=0,0,$F$14/SUM($F$10:$F$18)*CU$177)+IF(SUM($G$10:$G$18)=0,0,$G$14/SUM($G$10:$G$18)*CU$178)+IF(SUM($H$10:$H$18)=0,0,$H$14/SUM($H$10:$H$18)*CU$179)+IF(SUM($I$10:$I$18)=0,0,$I$14/SUM($I$10:$I$18)*CU$180)+IF(SUM($J$10:$J$18)=0,0,$J$14/SUM($J$10:$J$18)*CU$181)+IF(SUM($K$10:$K$18)=0,0,$K$14/SUM($K$10:$K$18)*CU$182)+IF(SUM($L$10:$L$18)=0,0,$L$14/SUM($L$10:$L$18)*CU$183)+IF(SUM($M$10:$M$18)=0,0,$M$14/SUM($M$10:$M$18)*CU$184)+IF(SUM($N$10:$N$18)=0,0,$N$14/SUM($N$10:$N$18)*CU$185)+IF(SUM($O$10:$O$18)=0,0,$O$14/SUM($O$10:$O$18)*CU$186)</f>
        <v>0</v>
      </c>
      <c r="DC206" s="664"/>
      <c r="DF206" s="665" t="str">
        <f t="shared" si="75"/>
        <v>Inv E</v>
      </c>
      <c r="DG206" s="662">
        <f ca="1">IF(SUM($F$10:$F$18)=0,0,$F$14/SUM($F$10:$F$18)*DG$177)+IF(SUM($G$10:$G$18)=0,0,$G$14/SUM($G$10:$G$18)*DG$178)+IF(SUM($H$10:$H$18)=0,0,$H$14/SUM($H$10:$H$18)*DG$179)+IF(SUM($I$10:$I$18)=0,0,$I$14/SUM($I$10:$I$18)*DG$180)+IF(SUM($J$10:$J$18)=0,0,$J$14/SUM($J$10:$J$18)*DG$181)+IF(SUM($K$10:$K$18)=0,0,$K$14/SUM($K$10:$K$18)*DG$182)+IF(SUM($L$10:$L$18)=0,0,$L$14/SUM($L$10:$L$18)*DG$183)+IF(SUM($M$10:$M$18)=0,0,$M$14/SUM($M$10:$M$18)*DG$184)+IF(SUM($N$10:$N$18)=0,0,$N$14/SUM($N$10:$N$18)*DG$185)+IF(SUM($O$10:$O$18)=0,0,$O$14/SUM($O$10:$O$18)*DG$186)</f>
        <v>0</v>
      </c>
      <c r="DO206" s="664"/>
    </row>
    <row r="207" spans="2:119" hidden="1" x14ac:dyDescent="0.25">
      <c r="B207" s="665" t="str">
        <f t="shared" si="66"/>
        <v>Inv F</v>
      </c>
      <c r="C207" s="662">
        <f ca="1">IF(SUM($F$10:$F$18)=0,0,$F$15/SUM($F$10:$F$18)*C$177)+IF(SUM($G$10:$G$18)=0,0,$G$15/SUM($G$10:$G$18)*C$178)+IF(SUM($H$10:$H$18)=0,0,$H$15/SUM($H$10:$H$18)*C$179)+IF(SUM($I$10:$I$18)=0,0,$I$15/SUM($I$10:$I$18)*C$180)+IF(SUM($J$10:$J$18)=0,0,$J$15/SUM($J$10:$J$18)*C$181)+IF(SUM($K$10:$K$18)=0,0,$K$15/SUM($K$10:$K$18)*C$182)+IF(SUM($L$10:$L$18)=0,0,$L$15/SUM($L$10:$L$18)*C$183)+IF(SUM($M$10:$M$18)=0,0,$M$15/SUM($M$10:$M$18)*C$184)+IF(SUM($N$10:$N$18)=0,0,$N$15/SUM($N$10:$N$18)*C$185)+IF(SUM($O$10:$O$18)=0,0,$O$15/SUM($O$10:$O$18)*C$186)</f>
        <v>0</v>
      </c>
      <c r="K207" s="664"/>
      <c r="N207" s="665" t="str">
        <f t="shared" si="67"/>
        <v>Inv F</v>
      </c>
      <c r="O207" s="662">
        <f ca="1">IF(SUM($F$10:$F$18)=0,0,$F$15/SUM($F$10:$F$18)*O$177)+IF(SUM($G$10:$G$18)=0,0,$G$15/SUM($G$10:$G$18)*O$178)+IF(SUM($H$10:$H$18)=0,0,$H$15/SUM($H$10:$H$18)*O$179)+IF(SUM($I$10:$I$18)=0,0,$I$15/SUM($I$10:$I$18)*O$180)+IF(SUM($J$10:$J$18)=0,0,$J$15/SUM($J$10:$J$18)*O$181)+IF(SUM($K$10:$K$18)=0,0,$K$15/SUM($K$10:$K$18)*O$182)+IF(SUM($L$10:$L$18)=0,0,$L$15/SUM($L$10:$L$18)*O$183)+IF(SUM($M$10:$M$18)=0,0,$M$15/SUM($M$10:$M$18)*O$184)+IF(SUM($N$10:$N$18)=0,0,$N$15/SUM($N$10:$N$18)*O$185)+IF(SUM($O$10:$O$18)=0,0,$O$15/SUM($O$10:$O$18)*O$186)</f>
        <v>0</v>
      </c>
      <c r="U207" s="663"/>
      <c r="W207" s="664"/>
      <c r="Z207" s="665" t="str">
        <f t="shared" si="68"/>
        <v>Inv F</v>
      </c>
      <c r="AA207" s="662">
        <f ca="1">IF(SUM($F$10:$F$18)=0,0,$F$15/SUM($F$10:$F$18)*AA$177)+IF(SUM($G$10:$G$18)=0,0,$G$15/SUM($G$10:$G$18)*AA$178)+IF(SUM($H$10:$H$18)=0,0,$H$15/SUM($H$10:$H$18)*AA$179)+IF(SUM($I$10:$I$18)=0,0,$I$15/SUM($I$10:$I$18)*AA$180)+IF(SUM($J$10:$J$18)=0,0,$J$15/SUM($J$10:$J$18)*AA$181)+IF(SUM($K$10:$K$18)=0,0,$K$15/SUM($K$10:$K$18)*AA$182)+IF(SUM($L$10:$L$18)=0,0,$L$15/SUM($L$10:$L$18)*AA$183)+IF(SUM($M$10:$M$18)=0,0,$M$15/SUM($M$10:$M$18)*AA$184)+IF(SUM($N$10:$N$18)=0,0,$N$15/SUM($N$10:$N$18)*AA$185)+IF(SUM($O$10:$O$18)=0,0,$O$15/SUM($O$10:$O$18)*AA$186)</f>
        <v>0</v>
      </c>
      <c r="AB207" s="663"/>
      <c r="AC207" s="663"/>
      <c r="AD207" s="663"/>
      <c r="AE207" s="663"/>
      <c r="AF207" s="663"/>
      <c r="AG207" s="663"/>
      <c r="AH207" s="663"/>
      <c r="AI207" s="664"/>
      <c r="AL207" s="665" t="str">
        <f t="shared" si="69"/>
        <v>Inv F</v>
      </c>
      <c r="AM207" s="662">
        <f ca="1">IF(SUM($F$10:$F$18)=0,0,$F$15/SUM($F$10:$F$18)*AM$177)+IF(SUM($G$10:$G$18)=0,0,$G$15/SUM($G$10:$G$18)*AM$178)+IF(SUM($H$10:$H$18)=0,0,$H$15/SUM($H$10:$H$18)*AM$179)+IF(SUM($I$10:$I$18)=0,0,$I$15/SUM($I$10:$I$18)*AM$180)+IF(SUM($J$10:$J$18)=0,0,$J$15/SUM($J$10:$J$18)*AM$181)+IF(SUM($K$10:$K$18)=0,0,$K$15/SUM($K$10:$K$18)*AM$182)+IF(SUM($L$10:$L$18)=0,0,$L$15/SUM($L$10:$L$18)*AM$183)+IF(SUM($M$10:$M$18)=0,0,$M$15/SUM($M$10:$M$18)*AM$184)+IF(SUM($N$10:$N$18)=0,0,$N$15/SUM($N$10:$N$18)*AM$185)+IF(SUM($O$10:$O$18)=0,0,$O$15/SUM($O$10:$O$18)*AM$186)</f>
        <v>0</v>
      </c>
      <c r="AN207" s="663"/>
      <c r="AU207" s="664"/>
      <c r="AX207" s="665" t="str">
        <f t="shared" si="70"/>
        <v>Inv F</v>
      </c>
      <c r="AY207" s="662">
        <f ca="1">IF(SUM($F$10:$F$18)=0,0,$F$15/SUM($F$10:$F$18)*AY$177)+IF(SUM($G$10:$G$18)=0,0,$G$15/SUM($G$10:$G$18)*AY$178)+IF(SUM($H$10:$H$18)=0,0,$H$15/SUM($H$10:$H$18)*AY$179)+IF(SUM($I$10:$I$18)=0,0,$I$15/SUM($I$10:$I$18)*AY$180)+IF(SUM($J$10:$J$18)=0,0,$J$15/SUM($J$10:$J$18)*AY$181)+IF(SUM($K$10:$K$18)=0,0,$K$15/SUM($K$10:$K$18)*AY$182)+IF(SUM($L$10:$L$18)=0,0,$L$15/SUM($L$10:$L$18)*AY$183)+IF(SUM($M$10:$M$18)=0,0,$M$15/SUM($M$10:$M$18)*AY$184)+IF(SUM($N$10:$N$18)=0,0,$N$15/SUM($N$10:$N$18)*AY$185)+IF(SUM($O$10:$O$18)=0,0,$O$15/SUM($O$10:$O$18)*AY$186)</f>
        <v>0</v>
      </c>
      <c r="BG207" s="664"/>
      <c r="BJ207" s="665" t="str">
        <f t="shared" si="71"/>
        <v>Inv F</v>
      </c>
      <c r="BK207" s="662">
        <f ca="1">IF(SUM($F$10:$F$18)=0,0,$F$15/SUM($F$10:$F$18)*BK$177)+IF(SUM($G$10:$G$18)=0,0,$G$15/SUM($G$10:$G$18)*BK$178)+IF(SUM($H$10:$H$18)=0,0,$H$15/SUM($H$10:$H$18)*BK$179)+IF(SUM($I$10:$I$18)=0,0,$I$15/SUM($I$10:$I$18)*BK$180)+IF(SUM($J$10:$J$18)=0,0,$J$15/SUM($J$10:$J$18)*BK$181)+IF(SUM($K$10:$K$18)=0,0,$K$15/SUM($K$10:$K$18)*BK$182)+IF(SUM($L$10:$L$18)=0,0,$L$15/SUM($L$10:$L$18)*BK$183)+IF(SUM($M$10:$M$18)=0,0,$M$15/SUM($M$10:$M$18)*BK$184)+IF(SUM($N$10:$N$18)=0,0,$N$15/SUM($N$10:$N$18)*BK$185)+IF(SUM($O$10:$O$18)=0,0,$O$15/SUM($O$10:$O$18)*BK$186)</f>
        <v>0</v>
      </c>
      <c r="BS207" s="664"/>
      <c r="BV207" s="665" t="str">
        <f t="shared" si="72"/>
        <v>Inv F</v>
      </c>
      <c r="BW207" s="662">
        <f ca="1">IF(SUM($F$10:$F$18)=0,0,$F$15/SUM($F$10:$F$18)*BW$177)+IF(SUM($G$10:$G$18)=0,0,$G$15/SUM($G$10:$G$18)*BW$178)+IF(SUM($H$10:$H$18)=0,0,$H$15/SUM($H$10:$H$18)*BW$179)+IF(SUM($I$10:$I$18)=0,0,$I$15/SUM($I$10:$I$18)*BW$180)+IF(SUM($J$10:$J$18)=0,0,$J$15/SUM($J$10:$J$18)*BW$181)+IF(SUM($K$10:$K$18)=0,0,$K$15/SUM($K$10:$K$18)*BW$182)+IF(SUM($L$10:$L$18)=0,0,$L$15/SUM($L$10:$L$18)*BW$183)+IF(SUM($M$10:$M$18)=0,0,$M$15/SUM($M$10:$M$18)*BW$184)+IF(SUM($N$10:$N$18)=0,0,$N$15/SUM($N$10:$N$18)*BW$185)+IF(SUM($O$10:$O$18)=0,0,$O$15/SUM($O$10:$O$18)*BW$186)</f>
        <v>0</v>
      </c>
      <c r="CE207" s="664"/>
      <c r="CH207" s="665" t="str">
        <f t="shared" si="73"/>
        <v>Inv F</v>
      </c>
      <c r="CI207" s="662">
        <f ca="1">IF(SUM($F$10:$F$18)=0,0,$F$15/SUM($F$10:$F$18)*CI$177)+IF(SUM($G$10:$G$18)=0,0,$G$15/SUM($G$10:$G$18)*CI$178)+IF(SUM($H$10:$H$18)=0,0,$H$15/SUM($H$10:$H$18)*CI$179)+IF(SUM($I$10:$I$18)=0,0,$I$15/SUM($I$10:$I$18)*CI$180)+IF(SUM($J$10:$J$18)=0,0,$J$15/SUM($J$10:$J$18)*CI$181)+IF(SUM($K$10:$K$18)=0,0,$K$15/SUM($K$10:$K$18)*CI$182)+IF(SUM($L$10:$L$18)=0,0,$L$15/SUM($L$10:$L$18)*CI$183)+IF(SUM($M$10:$M$18)=0,0,$M$15/SUM($M$10:$M$18)*CI$184)+IF(SUM($N$10:$N$18)=0,0,$N$15/SUM($N$10:$N$18)*CI$185)+IF(SUM($O$10:$O$18)=0,0,$O$15/SUM($O$10:$O$18)*CI$186)</f>
        <v>0</v>
      </c>
      <c r="CQ207" s="664"/>
      <c r="CT207" s="665" t="str">
        <f t="shared" si="74"/>
        <v>Inv F</v>
      </c>
      <c r="CU207" s="662">
        <f ca="1">IF(SUM($F$10:$F$18)=0,0,$F$15/SUM($F$10:$F$18)*CU$177)+IF(SUM($G$10:$G$18)=0,0,$G$15/SUM($G$10:$G$18)*CU$178)+IF(SUM($H$10:$H$18)=0,0,$H$15/SUM($H$10:$H$18)*CU$179)+IF(SUM($I$10:$I$18)=0,0,$I$15/SUM($I$10:$I$18)*CU$180)+IF(SUM($J$10:$J$18)=0,0,$J$15/SUM($J$10:$J$18)*CU$181)+IF(SUM($K$10:$K$18)=0,0,$K$15/SUM($K$10:$K$18)*CU$182)+IF(SUM($L$10:$L$18)=0,0,$L$15/SUM($L$10:$L$18)*CU$183)+IF(SUM($M$10:$M$18)=0,0,$M$15/SUM($M$10:$M$18)*CU$184)+IF(SUM($N$10:$N$18)=0,0,$N$15/SUM($N$10:$N$18)*CU$185)+IF(SUM($O$10:$O$18)=0,0,$O$15/SUM($O$10:$O$18)*CU$186)</f>
        <v>0</v>
      </c>
      <c r="DC207" s="664"/>
      <c r="DF207" s="665" t="str">
        <f t="shared" si="75"/>
        <v>Inv F</v>
      </c>
      <c r="DG207" s="662">
        <f ca="1">IF(SUM($F$10:$F$18)=0,0,$F$15/SUM($F$10:$F$18)*DG$177)+IF(SUM($G$10:$G$18)=0,0,$G$15/SUM($G$10:$G$18)*DG$178)+IF(SUM($H$10:$H$18)=0,0,$H$15/SUM($H$10:$H$18)*DG$179)+IF(SUM($I$10:$I$18)=0,0,$I$15/SUM($I$10:$I$18)*DG$180)+IF(SUM($J$10:$J$18)=0,0,$J$15/SUM($J$10:$J$18)*DG$181)+IF(SUM($K$10:$K$18)=0,0,$K$15/SUM($K$10:$K$18)*DG$182)+IF(SUM($L$10:$L$18)=0,0,$L$15/SUM($L$10:$L$18)*DG$183)+IF(SUM($M$10:$M$18)=0,0,$M$15/SUM($M$10:$M$18)*DG$184)+IF(SUM($N$10:$N$18)=0,0,$N$15/SUM($N$10:$N$18)*DG$185)+IF(SUM($O$10:$O$18)=0,0,$O$15/SUM($O$10:$O$18)*DG$186)</f>
        <v>0</v>
      </c>
      <c r="DO207" s="664"/>
    </row>
    <row r="208" spans="2:119" hidden="1" x14ac:dyDescent="0.25">
      <c r="B208" s="665" t="str">
        <f t="shared" si="66"/>
        <v>Inv G</v>
      </c>
      <c r="C208" s="662">
        <f ca="1">IF(SUM($F$10:$F$18)=0,0,$F$16/SUM($F$10:$F$18)*C$177)+IF(SUM($G$10:$G$18)=0,0,$G$16/SUM($G$10:$G$18)*C$178)+IF(SUM($H$10:$H$18)=0,0,$H$16/SUM($H$10:$H$18)*C$179)+IF(SUM($I$10:$I$18)=0,0,$I$16/SUM($I$10:$I$18)*C$180)+IF(SUM($J$10:$J$18)=0,0,$J$16/SUM($J$10:$J$18)*C$181)+IF(SUM($K$10:$K$18)=0,0,$K$16/SUM($K$10:$K$18)*C$182)+IF(SUM($L$10:$L$18)=0,0,$L$16/SUM($L$10:$L$18)*C$183)+IF(SUM($M$10:$M$18)=0,0,$M$16/SUM($M$10:$M$18)*C$184)+IF(SUM($N$10:$N$18)=0,0,$N$16/SUM($N$10:$N$18)*C$185)+IF(SUM($O$10:$O$18)=0,0,$O$16/SUM($O$10:$O$18)*C$186)</f>
        <v>0</v>
      </c>
      <c r="K208" s="664"/>
      <c r="N208" s="665" t="str">
        <f t="shared" si="67"/>
        <v>Inv G</v>
      </c>
      <c r="O208" s="662">
        <f ca="1">IF(SUM($F$10:$F$18)=0,0,$F$16/SUM($F$10:$F$18)*O$177)+IF(SUM($G$10:$G$18)=0,0,$G$16/SUM($G$10:$G$18)*O$178)+IF(SUM($H$10:$H$18)=0,0,$H$16/SUM($H$10:$H$18)*O$179)+IF(SUM($I$10:$I$18)=0,0,$I$16/SUM($I$10:$I$18)*O$180)+IF(SUM($J$10:$J$18)=0,0,$J$16/SUM($J$10:$J$18)*O$181)+IF(SUM($K$10:$K$18)=0,0,$K$16/SUM($K$10:$K$18)*O$182)+IF(SUM($L$10:$L$18)=0,0,$L$16/SUM($L$10:$L$18)*O$183)+IF(SUM($M$10:$M$18)=0,0,$M$16/SUM($M$10:$M$18)*O$184)+IF(SUM($N$10:$N$18)=0,0,$N$16/SUM($N$10:$N$18)*O$185)+IF(SUM($O$10:$O$18)=0,0,$O$16/SUM($O$10:$O$18)*O$186)</f>
        <v>0</v>
      </c>
      <c r="U208" s="663"/>
      <c r="W208" s="664"/>
      <c r="Z208" s="665" t="str">
        <f t="shared" si="68"/>
        <v>Inv G</v>
      </c>
      <c r="AA208" s="662">
        <f ca="1">IF(SUM($F$10:$F$18)=0,0,$F$16/SUM($F$10:$F$18)*AA$177)+IF(SUM($G$10:$G$18)=0,0,$G$16/SUM($G$10:$G$18)*AA$178)+IF(SUM($H$10:$H$18)=0,0,$H$16/SUM($H$10:$H$18)*AA$179)+IF(SUM($I$10:$I$18)=0,0,$I$16/SUM($I$10:$I$18)*AA$180)+IF(SUM($J$10:$J$18)=0,0,$J$16/SUM($J$10:$J$18)*AA$181)+IF(SUM($K$10:$K$18)=0,0,$K$16/SUM($K$10:$K$18)*AA$182)+IF(SUM($L$10:$L$18)=0,0,$L$16/SUM($L$10:$L$18)*AA$183)+IF(SUM($M$10:$M$18)=0,0,$M$16/SUM($M$10:$M$18)*AA$184)+IF(SUM($N$10:$N$18)=0,0,$N$16/SUM($N$10:$N$18)*AA$185)+IF(SUM($O$10:$O$18)=0,0,$O$16/SUM($O$10:$O$18)*AA$186)</f>
        <v>0</v>
      </c>
      <c r="AB208" s="663"/>
      <c r="AC208" s="663"/>
      <c r="AD208" s="663"/>
      <c r="AE208" s="663"/>
      <c r="AF208" s="663"/>
      <c r="AG208" s="663"/>
      <c r="AH208" s="663"/>
      <c r="AI208" s="664"/>
      <c r="AL208" s="665" t="str">
        <f t="shared" si="69"/>
        <v>Inv G</v>
      </c>
      <c r="AM208" s="662">
        <f ca="1">IF(SUM($F$10:$F$18)=0,0,$F$16/SUM($F$10:$F$18)*AM$177)+IF(SUM($G$10:$G$18)=0,0,$G$16/SUM($G$10:$G$18)*AM$178)+IF(SUM($H$10:$H$18)=0,0,$H$16/SUM($H$10:$H$18)*AM$179)+IF(SUM($I$10:$I$18)=0,0,$I$16/SUM($I$10:$I$18)*AM$180)+IF(SUM($J$10:$J$18)=0,0,$J$16/SUM($J$10:$J$18)*AM$181)+IF(SUM($K$10:$K$18)=0,0,$K$16/SUM($K$10:$K$18)*AM$182)+IF(SUM($L$10:$L$18)=0,0,$L$16/SUM($L$10:$L$18)*AM$183)+IF(SUM($M$10:$M$18)=0,0,$M$16/SUM($M$10:$M$18)*AM$184)+IF(SUM($N$10:$N$18)=0,0,$N$16/SUM($N$10:$N$18)*AM$185)+IF(SUM($O$10:$O$18)=0,0,$O$16/SUM($O$10:$O$18)*AM$186)</f>
        <v>0</v>
      </c>
      <c r="AN208" s="663"/>
      <c r="AU208" s="664"/>
      <c r="AX208" s="665" t="str">
        <f t="shared" si="70"/>
        <v>Inv G</v>
      </c>
      <c r="AY208" s="662">
        <f ca="1">IF(SUM($F$10:$F$18)=0,0,$F$16/SUM($F$10:$F$18)*AY$177)+IF(SUM($G$10:$G$18)=0,0,$G$16/SUM($G$10:$G$18)*AY$178)+IF(SUM($H$10:$H$18)=0,0,$H$16/SUM($H$10:$H$18)*AY$179)+IF(SUM($I$10:$I$18)=0,0,$I$16/SUM($I$10:$I$18)*AY$180)+IF(SUM($J$10:$J$18)=0,0,$J$16/SUM($J$10:$J$18)*AY$181)+IF(SUM($K$10:$K$18)=0,0,$K$16/SUM($K$10:$K$18)*AY$182)+IF(SUM($L$10:$L$18)=0,0,$L$16/SUM($L$10:$L$18)*AY$183)+IF(SUM($M$10:$M$18)=0,0,$M$16/SUM($M$10:$M$18)*AY$184)+IF(SUM($N$10:$N$18)=0,0,$N$16/SUM($N$10:$N$18)*AY$185)+IF(SUM($O$10:$O$18)=0,0,$O$16/SUM($O$10:$O$18)*AY$186)</f>
        <v>0</v>
      </c>
      <c r="BG208" s="664"/>
      <c r="BJ208" s="665" t="str">
        <f t="shared" si="71"/>
        <v>Inv G</v>
      </c>
      <c r="BK208" s="662">
        <f ca="1">IF(SUM($F$10:$F$18)=0,0,$F$16/SUM($F$10:$F$18)*BK$177)+IF(SUM($G$10:$G$18)=0,0,$G$16/SUM($G$10:$G$18)*BK$178)+IF(SUM($H$10:$H$18)=0,0,$H$16/SUM($H$10:$H$18)*BK$179)+IF(SUM($I$10:$I$18)=0,0,$I$16/SUM($I$10:$I$18)*BK$180)+IF(SUM($J$10:$J$18)=0,0,$J$16/SUM($J$10:$J$18)*BK$181)+IF(SUM($K$10:$K$18)=0,0,$K$16/SUM($K$10:$K$18)*BK$182)+IF(SUM($L$10:$L$18)=0,0,$L$16/SUM($L$10:$L$18)*BK$183)+IF(SUM($M$10:$M$18)=0,0,$M$16/SUM($M$10:$M$18)*BK$184)+IF(SUM($N$10:$N$18)=0,0,$N$16/SUM($N$10:$N$18)*BK$185)+IF(SUM($O$10:$O$18)=0,0,$O$16/SUM($O$10:$O$18)*BK$186)</f>
        <v>0</v>
      </c>
      <c r="BS208" s="664"/>
      <c r="BV208" s="665" t="str">
        <f t="shared" si="72"/>
        <v>Inv G</v>
      </c>
      <c r="BW208" s="662">
        <f ca="1">IF(SUM($F$10:$F$18)=0,0,$F$16/SUM($F$10:$F$18)*BW$177)+IF(SUM($G$10:$G$18)=0,0,$G$16/SUM($G$10:$G$18)*BW$178)+IF(SUM($H$10:$H$18)=0,0,$H$16/SUM($H$10:$H$18)*BW$179)+IF(SUM($I$10:$I$18)=0,0,$I$16/SUM($I$10:$I$18)*BW$180)+IF(SUM($J$10:$J$18)=0,0,$J$16/SUM($J$10:$J$18)*BW$181)+IF(SUM($K$10:$K$18)=0,0,$K$16/SUM($K$10:$K$18)*BW$182)+IF(SUM($L$10:$L$18)=0,0,$L$16/SUM($L$10:$L$18)*BW$183)+IF(SUM($M$10:$M$18)=0,0,$M$16/SUM($M$10:$M$18)*BW$184)+IF(SUM($N$10:$N$18)=0,0,$N$16/SUM($N$10:$N$18)*BW$185)+IF(SUM($O$10:$O$18)=0,0,$O$16/SUM($O$10:$O$18)*BW$186)</f>
        <v>0</v>
      </c>
      <c r="CE208" s="664"/>
      <c r="CH208" s="665" t="str">
        <f t="shared" si="73"/>
        <v>Inv G</v>
      </c>
      <c r="CI208" s="662">
        <f ca="1">IF(SUM($F$10:$F$18)=0,0,$F$16/SUM($F$10:$F$18)*CI$177)+IF(SUM($G$10:$G$18)=0,0,$G$16/SUM($G$10:$G$18)*CI$178)+IF(SUM($H$10:$H$18)=0,0,$H$16/SUM($H$10:$H$18)*CI$179)+IF(SUM($I$10:$I$18)=0,0,$I$16/SUM($I$10:$I$18)*CI$180)+IF(SUM($J$10:$J$18)=0,0,$J$16/SUM($J$10:$J$18)*CI$181)+IF(SUM($K$10:$K$18)=0,0,$K$16/SUM($K$10:$K$18)*CI$182)+IF(SUM($L$10:$L$18)=0,0,$L$16/SUM($L$10:$L$18)*CI$183)+IF(SUM($M$10:$M$18)=0,0,$M$16/SUM($M$10:$M$18)*CI$184)+IF(SUM($N$10:$N$18)=0,0,$N$16/SUM($N$10:$N$18)*CI$185)+IF(SUM($O$10:$O$18)=0,0,$O$16/SUM($O$10:$O$18)*CI$186)</f>
        <v>0</v>
      </c>
      <c r="CQ208" s="664"/>
      <c r="CT208" s="665" t="str">
        <f t="shared" si="74"/>
        <v>Inv G</v>
      </c>
      <c r="CU208" s="662">
        <f ca="1">IF(SUM($F$10:$F$18)=0,0,$F$16/SUM($F$10:$F$18)*CU$177)+IF(SUM($G$10:$G$18)=0,0,$G$16/SUM($G$10:$G$18)*CU$178)+IF(SUM($H$10:$H$18)=0,0,$H$16/SUM($H$10:$H$18)*CU$179)+IF(SUM($I$10:$I$18)=0,0,$I$16/SUM($I$10:$I$18)*CU$180)+IF(SUM($J$10:$J$18)=0,0,$J$16/SUM($J$10:$J$18)*CU$181)+IF(SUM($K$10:$K$18)=0,0,$K$16/SUM($K$10:$K$18)*CU$182)+IF(SUM($L$10:$L$18)=0,0,$L$16/SUM($L$10:$L$18)*CU$183)+IF(SUM($M$10:$M$18)=0,0,$M$16/SUM($M$10:$M$18)*CU$184)+IF(SUM($N$10:$N$18)=0,0,$N$16/SUM($N$10:$N$18)*CU$185)+IF(SUM($O$10:$O$18)=0,0,$O$16/SUM($O$10:$O$18)*CU$186)</f>
        <v>0</v>
      </c>
      <c r="DC208" s="664"/>
      <c r="DF208" s="665" t="str">
        <f t="shared" si="75"/>
        <v>Inv G</v>
      </c>
      <c r="DG208" s="662">
        <f ca="1">IF(SUM($F$10:$F$18)=0,0,$F$16/SUM($F$10:$F$18)*DG$177)+IF(SUM($G$10:$G$18)=0,0,$G$16/SUM($G$10:$G$18)*DG$178)+IF(SUM($H$10:$H$18)=0,0,$H$16/SUM($H$10:$H$18)*DG$179)+IF(SUM($I$10:$I$18)=0,0,$I$16/SUM($I$10:$I$18)*DG$180)+IF(SUM($J$10:$J$18)=0,0,$J$16/SUM($J$10:$J$18)*DG$181)+IF(SUM($K$10:$K$18)=0,0,$K$16/SUM($K$10:$K$18)*DG$182)+IF(SUM($L$10:$L$18)=0,0,$L$16/SUM($L$10:$L$18)*DG$183)+IF(SUM($M$10:$M$18)=0,0,$M$16/SUM($M$10:$M$18)*DG$184)+IF(SUM($N$10:$N$18)=0,0,$N$16/SUM($N$10:$N$18)*DG$185)+IF(SUM($O$10:$O$18)=0,0,$O$16/SUM($O$10:$O$18)*DG$186)</f>
        <v>0</v>
      </c>
      <c r="DO208" s="664"/>
    </row>
    <row r="209" spans="2:119" hidden="1" x14ac:dyDescent="0.25">
      <c r="B209" s="665" t="str">
        <f t="shared" si="66"/>
        <v>Inv H</v>
      </c>
      <c r="C209" s="662">
        <f ca="1">IF(SUM($F$10:$F$18)=0,0,$F$17/SUM($F$10:$F$18)*C$177)+IF(SUM($G$10:$G$18)=0,0,$G$17/SUM($G$10:$G$18)*C$178)+IF(SUM($H$10:$H$18)=0,0,$H$17/SUM($H$10:$H$18)*C$179)+IF(SUM($I$10:$I$18)=0,0,$I$17/SUM($I$10:$I$18)*C$180)+IF(SUM($J$10:$J$18)=0,0,$J$17/SUM($J$10:$J$18)*C$181)+IF(SUM($K$10:$K$18)=0,0,$K$17/SUM($K$10:$K$18)*C$182)+IF(SUM($L$10:$L$18)=0,0,$L$17/SUM($L$10:$L$18)*C$183)+IF(SUM($M$10:$M$18)=0,0,$M$17/SUM($M$10:$M$18)*C$184)+IF(SUM($N$10:$N$18)=0,0,$N$17/SUM($N$10:$N$18)*C$185)+IF(SUM($O$10:$O$18)=0,0,$O$17/SUM($O$10:$O$18)*C$186)</f>
        <v>0</v>
      </c>
      <c r="K209" s="664"/>
      <c r="N209" s="665" t="str">
        <f t="shared" si="67"/>
        <v>Inv H</v>
      </c>
      <c r="O209" s="662">
        <f ca="1">IF(SUM($F$10:$F$18)=0,0,$F$17/SUM($F$10:$F$18)*O$177)+IF(SUM($G$10:$G$18)=0,0,$G$17/SUM($G$10:$G$18)*O$178)+IF(SUM($H$10:$H$18)=0,0,$H$17/SUM($H$10:$H$18)*O$179)+IF(SUM($I$10:$I$18)=0,0,$I$17/SUM($I$10:$I$18)*O$180)+IF(SUM($J$10:$J$18)=0,0,$J$17/SUM($J$10:$J$18)*O$181)+IF(SUM($K$10:$K$18)=0,0,$K$17/SUM($K$10:$K$18)*O$182)+IF(SUM($L$10:$L$18)=0,0,$L$17/SUM($L$10:$L$18)*O$183)+IF(SUM($M$10:$M$18)=0,0,$M$17/SUM($M$10:$M$18)*O$184)+IF(SUM($N$10:$N$18)=0,0,$N$17/SUM($N$10:$N$18)*O$185)+IF(SUM($O$10:$O$18)=0,0,$O$17/SUM($O$10:$O$18)*O$186)</f>
        <v>0</v>
      </c>
      <c r="U209" s="663"/>
      <c r="W209" s="664"/>
      <c r="Z209" s="665" t="str">
        <f t="shared" si="68"/>
        <v>Inv H</v>
      </c>
      <c r="AA209" s="662">
        <f ca="1">IF(SUM($F$10:$F$18)=0,0,$F$17/SUM($F$10:$F$18)*AA$177)+IF(SUM($G$10:$G$18)=0,0,$G$17/SUM($G$10:$G$18)*AA$178)+IF(SUM($H$10:$H$18)=0,0,$H$17/SUM($H$10:$H$18)*AA$179)+IF(SUM($I$10:$I$18)=0,0,$I$17/SUM($I$10:$I$18)*AA$180)+IF(SUM($J$10:$J$18)=0,0,$J$17/SUM($J$10:$J$18)*AA$181)+IF(SUM($K$10:$K$18)=0,0,$K$17/SUM($K$10:$K$18)*AA$182)+IF(SUM($L$10:$L$18)=0,0,$L$17/SUM($L$10:$L$18)*AA$183)+IF(SUM($M$10:$M$18)=0,0,$M$17/SUM($M$10:$M$18)*AA$184)+IF(SUM($N$10:$N$18)=0,0,$N$17/SUM($N$10:$N$18)*AA$185)+IF(SUM($O$10:$O$18)=0,0,$O$17/SUM($O$10:$O$18)*AA$186)</f>
        <v>0</v>
      </c>
      <c r="AB209" s="663"/>
      <c r="AC209" s="663"/>
      <c r="AD209" s="663"/>
      <c r="AE209" s="663"/>
      <c r="AF209" s="663"/>
      <c r="AG209" s="663"/>
      <c r="AH209" s="663"/>
      <c r="AI209" s="664"/>
      <c r="AL209" s="665" t="str">
        <f t="shared" si="69"/>
        <v>Inv H</v>
      </c>
      <c r="AM209" s="662">
        <f ca="1">IF(SUM($F$10:$F$18)=0,0,$F$17/SUM($F$10:$F$18)*AM$177)+IF(SUM($G$10:$G$18)=0,0,$G$17/SUM($G$10:$G$18)*AM$178)+IF(SUM($H$10:$H$18)=0,0,$H$17/SUM($H$10:$H$18)*AM$179)+IF(SUM($I$10:$I$18)=0,0,$I$17/SUM($I$10:$I$18)*AM$180)+IF(SUM($J$10:$J$18)=0,0,$J$17/SUM($J$10:$J$18)*AM$181)+IF(SUM($K$10:$K$18)=0,0,$K$17/SUM($K$10:$K$18)*AM$182)+IF(SUM($L$10:$L$18)=0,0,$L$17/SUM($L$10:$L$18)*AM$183)+IF(SUM($M$10:$M$18)=0,0,$M$17/SUM($M$10:$M$18)*AM$184)+IF(SUM($N$10:$N$18)=0,0,$N$17/SUM($N$10:$N$18)*AM$185)+IF(SUM($O$10:$O$18)=0,0,$O$17/SUM($O$10:$O$18)*AM$186)</f>
        <v>0</v>
      </c>
      <c r="AN209" s="663"/>
      <c r="AU209" s="664"/>
      <c r="AX209" s="665" t="str">
        <f t="shared" si="70"/>
        <v>Inv H</v>
      </c>
      <c r="AY209" s="662">
        <f ca="1">IF(SUM($F$10:$F$18)=0,0,$F$17/SUM($F$10:$F$18)*AY$177)+IF(SUM($G$10:$G$18)=0,0,$G$17/SUM($G$10:$G$18)*AY$178)+IF(SUM($H$10:$H$18)=0,0,$H$17/SUM($H$10:$H$18)*AY$179)+IF(SUM($I$10:$I$18)=0,0,$I$17/SUM($I$10:$I$18)*AY$180)+IF(SUM($J$10:$J$18)=0,0,$J$17/SUM($J$10:$J$18)*AY$181)+IF(SUM($K$10:$K$18)=0,0,$K$17/SUM($K$10:$K$18)*AY$182)+IF(SUM($L$10:$L$18)=0,0,$L$17/SUM($L$10:$L$18)*AY$183)+IF(SUM($M$10:$M$18)=0,0,$M$17/SUM($M$10:$M$18)*AY$184)+IF(SUM($N$10:$N$18)=0,0,$N$17/SUM($N$10:$N$18)*AY$185)+IF(SUM($O$10:$O$18)=0,0,$O$17/SUM($O$10:$O$18)*AY$186)</f>
        <v>0</v>
      </c>
      <c r="BG209" s="664"/>
      <c r="BJ209" s="665" t="str">
        <f t="shared" si="71"/>
        <v>Inv H</v>
      </c>
      <c r="BK209" s="662">
        <f ca="1">IF(SUM($F$10:$F$18)=0,0,$F$17/SUM($F$10:$F$18)*BK$177)+IF(SUM($G$10:$G$18)=0,0,$G$17/SUM($G$10:$G$18)*BK$178)+IF(SUM($H$10:$H$18)=0,0,$H$17/SUM($H$10:$H$18)*BK$179)+IF(SUM($I$10:$I$18)=0,0,$I$17/SUM($I$10:$I$18)*BK$180)+IF(SUM($J$10:$J$18)=0,0,$J$17/SUM($J$10:$J$18)*BK$181)+IF(SUM($K$10:$K$18)=0,0,$K$17/SUM($K$10:$K$18)*BK$182)+IF(SUM($L$10:$L$18)=0,0,$L$17/SUM($L$10:$L$18)*BK$183)+IF(SUM($M$10:$M$18)=0,0,$M$17/SUM($M$10:$M$18)*BK$184)+IF(SUM($N$10:$N$18)=0,0,$N$17/SUM($N$10:$N$18)*BK$185)+IF(SUM($O$10:$O$18)=0,0,$O$17/SUM($O$10:$O$18)*BK$186)</f>
        <v>0</v>
      </c>
      <c r="BS209" s="664"/>
      <c r="BV209" s="665" t="str">
        <f t="shared" si="72"/>
        <v>Inv H</v>
      </c>
      <c r="BW209" s="662">
        <f ca="1">IF(SUM($F$10:$F$18)=0,0,$F$17/SUM($F$10:$F$18)*BW$177)+IF(SUM($G$10:$G$18)=0,0,$G$17/SUM($G$10:$G$18)*BW$178)+IF(SUM($H$10:$H$18)=0,0,$H$17/SUM($H$10:$H$18)*BW$179)+IF(SUM($I$10:$I$18)=0,0,$I$17/SUM($I$10:$I$18)*BW$180)+IF(SUM($J$10:$J$18)=0,0,$J$17/SUM($J$10:$J$18)*BW$181)+IF(SUM($K$10:$K$18)=0,0,$K$17/SUM($K$10:$K$18)*BW$182)+IF(SUM($L$10:$L$18)=0,0,$L$17/SUM($L$10:$L$18)*BW$183)+IF(SUM($M$10:$M$18)=0,0,$M$17/SUM($M$10:$M$18)*BW$184)+IF(SUM($N$10:$N$18)=0,0,$N$17/SUM($N$10:$N$18)*BW$185)+IF(SUM($O$10:$O$18)=0,0,$O$17/SUM($O$10:$O$18)*BW$186)</f>
        <v>0</v>
      </c>
      <c r="CE209" s="664"/>
      <c r="CH209" s="665" t="str">
        <f t="shared" si="73"/>
        <v>Inv H</v>
      </c>
      <c r="CI209" s="662">
        <f ca="1">IF(SUM($F$10:$F$18)=0,0,$F$17/SUM($F$10:$F$18)*CI$177)+IF(SUM($G$10:$G$18)=0,0,$G$17/SUM($G$10:$G$18)*CI$178)+IF(SUM($H$10:$H$18)=0,0,$H$17/SUM($H$10:$H$18)*CI$179)+IF(SUM($I$10:$I$18)=0,0,$I$17/SUM($I$10:$I$18)*CI$180)+IF(SUM($J$10:$J$18)=0,0,$J$17/SUM($J$10:$J$18)*CI$181)+IF(SUM($K$10:$K$18)=0,0,$K$17/SUM($K$10:$K$18)*CI$182)+IF(SUM($L$10:$L$18)=0,0,$L$17/SUM($L$10:$L$18)*CI$183)+IF(SUM($M$10:$M$18)=0,0,$M$17/SUM($M$10:$M$18)*CI$184)+IF(SUM($N$10:$N$18)=0,0,$N$17/SUM($N$10:$N$18)*CI$185)+IF(SUM($O$10:$O$18)=0,0,$O$17/SUM($O$10:$O$18)*CI$186)</f>
        <v>0</v>
      </c>
      <c r="CQ209" s="664"/>
      <c r="CT209" s="665" t="str">
        <f t="shared" si="74"/>
        <v>Inv H</v>
      </c>
      <c r="CU209" s="662">
        <f ca="1">IF(SUM($F$10:$F$18)=0,0,$F$17/SUM($F$10:$F$18)*CU$177)+IF(SUM($G$10:$G$18)=0,0,$G$17/SUM($G$10:$G$18)*CU$178)+IF(SUM($H$10:$H$18)=0,0,$H$17/SUM($H$10:$H$18)*CU$179)+IF(SUM($I$10:$I$18)=0,0,$I$17/SUM($I$10:$I$18)*CU$180)+IF(SUM($J$10:$J$18)=0,0,$J$17/SUM($J$10:$J$18)*CU$181)+IF(SUM($K$10:$K$18)=0,0,$K$17/SUM($K$10:$K$18)*CU$182)+IF(SUM($L$10:$L$18)=0,0,$L$17/SUM($L$10:$L$18)*CU$183)+IF(SUM($M$10:$M$18)=0,0,$M$17/SUM($M$10:$M$18)*CU$184)+IF(SUM($N$10:$N$18)=0,0,$N$17/SUM($N$10:$N$18)*CU$185)+IF(SUM($O$10:$O$18)=0,0,$O$17/SUM($O$10:$O$18)*CU$186)</f>
        <v>0</v>
      </c>
      <c r="DC209" s="664"/>
      <c r="DF209" s="665" t="str">
        <f t="shared" si="75"/>
        <v>Inv H</v>
      </c>
      <c r="DG209" s="662">
        <f ca="1">IF(SUM($F$10:$F$18)=0,0,$F$17/SUM($F$10:$F$18)*DG$177)+IF(SUM($G$10:$G$18)=0,0,$G$17/SUM($G$10:$G$18)*DG$178)+IF(SUM($H$10:$H$18)=0,0,$H$17/SUM($H$10:$H$18)*DG$179)+IF(SUM($I$10:$I$18)=0,0,$I$17/SUM($I$10:$I$18)*DG$180)+IF(SUM($J$10:$J$18)=0,0,$J$17/SUM($J$10:$J$18)*DG$181)+IF(SUM($K$10:$K$18)=0,0,$K$17/SUM($K$10:$K$18)*DG$182)+IF(SUM($L$10:$L$18)=0,0,$L$17/SUM($L$10:$L$18)*DG$183)+IF(SUM($M$10:$M$18)=0,0,$M$17/SUM($M$10:$M$18)*DG$184)+IF(SUM($N$10:$N$18)=0,0,$N$17/SUM($N$10:$N$18)*DG$185)+IF(SUM($O$10:$O$18)=0,0,$O$17/SUM($O$10:$O$18)*DG$186)</f>
        <v>0</v>
      </c>
      <c r="DO209" s="664"/>
    </row>
    <row r="210" spans="2:119" hidden="1" x14ac:dyDescent="0.25">
      <c r="B210" s="665" t="str">
        <f t="shared" si="66"/>
        <v>Other Investors</v>
      </c>
      <c r="C210" s="662">
        <f ca="1">IF(SUM($F$10:$F$18)=0,0,$F$18/SUM($F$10:$F$18)*C$177)+IF(SUM($G$10:$G$18)=0,0,$G$18/SUM($G$10:$G$18)*C$178)+IF(SUM($H$10:$H$18)=0,0,$H$18/SUM($H$10:$H$18)*C$179)+IF(SUM($I$10:$I$18)=0,0,$I$18/SUM($I$10:$I$18)*C$180)+IF(SUM($J$10:$J$18)=0,0,$J$18/SUM($J$10:$J$18)*C$181)+IF(SUM($K$10:$K$18)=0,0,$K$18/SUM($K$10:$K$18)*C$182)+IF(SUM($L$10:$L$18)=0,0,$L$18/SUM($L$10:$L$18)*C$183)+IF(SUM($M$10:$M$18)=0,0,$M$18/SUM($M$10:$M$18)*C$184)+IF(SUM($N$10:$N$18)=0,0,$N$18/SUM($N$10:$N$18)*C$185)+IF(SUM($O$10:$O$18)=0,0,$O$18/SUM($O$10:$O$18)*C$186)</f>
        <v>0</v>
      </c>
      <c r="K210" s="664"/>
      <c r="N210" s="665" t="str">
        <f t="shared" si="67"/>
        <v>Other Investors</v>
      </c>
      <c r="O210" s="662">
        <f ca="1">IF(SUM($F$10:$F$18)=0,0,$F$18/SUM($F$10:$F$18)*O$177)+IF(SUM($G$10:$G$18)=0,0,$G$18/SUM($G$10:$G$18)*O$178)+IF(SUM($H$10:$H$18)=0,0,$H$18/SUM($H$10:$H$18)*O$179)+IF(SUM($I$10:$I$18)=0,0,$I$18/SUM($I$10:$I$18)*O$180)+IF(SUM($J$10:$J$18)=0,0,$J$18/SUM($J$10:$J$18)*O$181)+IF(SUM($K$10:$K$18)=0,0,$K$18/SUM($K$10:$K$18)*O$182)+IF(SUM($L$10:$L$18)=0,0,$L$18/SUM($L$10:$L$18)*O$183)+IF(SUM($M$10:$M$18)=0,0,$M$18/SUM($M$10:$M$18)*O$184)+IF(SUM($N$10:$N$18)=0,0,$N$18/SUM($N$10:$N$18)*O$185)+IF(SUM($O$10:$O$18)=0,0,$O$18/SUM($O$10:$O$18)*O$186)</f>
        <v>0</v>
      </c>
      <c r="U210" s="663"/>
      <c r="W210" s="664"/>
      <c r="Z210" s="665" t="str">
        <f t="shared" si="68"/>
        <v>Other Investors</v>
      </c>
      <c r="AA210" s="662">
        <f ca="1">IF(SUM($F$10:$F$18)=0,0,$F$18/SUM($F$10:$F$18)*AA$177)+IF(SUM($G$10:$G$18)=0,0,$G$18/SUM($G$10:$G$18)*AA$178)+IF(SUM($H$10:$H$18)=0,0,$H$18/SUM($H$10:$H$18)*AA$179)+IF(SUM($I$10:$I$18)=0,0,$I$18/SUM($I$10:$I$18)*AA$180)+IF(SUM($J$10:$J$18)=0,0,$J$18/SUM($J$10:$J$18)*AA$181)+IF(SUM($K$10:$K$18)=0,0,$K$18/SUM($K$10:$K$18)*AA$182)+IF(SUM($L$10:$L$18)=0,0,$L$18/SUM($L$10:$L$18)*AA$183)+IF(SUM($M$10:$M$18)=0,0,$M$18/SUM($M$10:$M$18)*AA$184)+IF(SUM($N$10:$N$18)=0,0,$N$18/SUM($N$10:$N$18)*AA$185)+IF(SUM($O$10:$O$18)=0,0,$O$18/SUM($O$10:$O$18)*AA$186)</f>
        <v>0</v>
      </c>
      <c r="AB210" s="663"/>
      <c r="AC210" s="663"/>
      <c r="AD210" s="663"/>
      <c r="AE210" s="663"/>
      <c r="AF210" s="663"/>
      <c r="AG210" s="663"/>
      <c r="AH210" s="663"/>
      <c r="AI210" s="664"/>
      <c r="AL210" s="665" t="str">
        <f t="shared" si="69"/>
        <v>Other Investors</v>
      </c>
      <c r="AM210" s="662">
        <f ca="1">IF(SUM($F$10:$F$18)=0,0,$F$18/SUM($F$10:$F$18)*AM$177)+IF(SUM($G$10:$G$18)=0,0,$G$18/SUM($G$10:$G$18)*AM$178)+IF(SUM($H$10:$H$18)=0,0,$H$18/SUM($H$10:$H$18)*AM$179)+IF(SUM($I$10:$I$18)=0,0,$I$18/SUM($I$10:$I$18)*AM$180)+IF(SUM($J$10:$J$18)=0,0,$J$18/SUM($J$10:$J$18)*AM$181)+IF(SUM($K$10:$K$18)=0,0,$K$18/SUM($K$10:$K$18)*AM$182)+IF(SUM($L$10:$L$18)=0,0,$L$18/SUM($L$10:$L$18)*AM$183)+IF(SUM($M$10:$M$18)=0,0,$M$18/SUM($M$10:$M$18)*AM$184)+IF(SUM($N$10:$N$18)=0,0,$N$18/SUM($N$10:$N$18)*AM$185)+IF(SUM($O$10:$O$18)=0,0,$O$18/SUM($O$10:$O$18)*AM$186)</f>
        <v>0</v>
      </c>
      <c r="AN210" s="663"/>
      <c r="AU210" s="664"/>
      <c r="AX210" s="665" t="str">
        <f t="shared" si="70"/>
        <v>Other Investors</v>
      </c>
      <c r="AY210" s="662">
        <f ca="1">IF(SUM($F$10:$F$18)=0,0,$F$18/SUM($F$10:$F$18)*AY$177)+IF(SUM($G$10:$G$18)=0,0,$G$18/SUM($G$10:$G$18)*AY$178)+IF(SUM($H$10:$H$18)=0,0,$H$18/SUM($H$10:$H$18)*AY$179)+IF(SUM($I$10:$I$18)=0,0,$I$18/SUM($I$10:$I$18)*AY$180)+IF(SUM($J$10:$J$18)=0,0,$J$18/SUM($J$10:$J$18)*AY$181)+IF(SUM($K$10:$K$18)=0,0,$K$18/SUM($K$10:$K$18)*AY$182)+IF(SUM($L$10:$L$18)=0,0,$L$18/SUM($L$10:$L$18)*AY$183)+IF(SUM($M$10:$M$18)=0,0,$M$18/SUM($M$10:$M$18)*AY$184)+IF(SUM($N$10:$N$18)=0,0,$N$18/SUM($N$10:$N$18)*AY$185)+IF(SUM($O$10:$O$18)=0,0,$O$18/SUM($O$10:$O$18)*AY$186)</f>
        <v>0</v>
      </c>
      <c r="BG210" s="664"/>
      <c r="BJ210" s="665" t="str">
        <f t="shared" si="71"/>
        <v>Other Investors</v>
      </c>
      <c r="BK210" s="662">
        <f ca="1">IF(SUM($F$10:$F$18)=0,0,$F$18/SUM($F$10:$F$18)*BK$177)+IF(SUM($G$10:$G$18)=0,0,$G$18/SUM($G$10:$G$18)*BK$178)+IF(SUM($H$10:$H$18)=0,0,$H$18/SUM($H$10:$H$18)*BK$179)+IF(SUM($I$10:$I$18)=0,0,$I$18/SUM($I$10:$I$18)*BK$180)+IF(SUM($J$10:$J$18)=0,0,$J$18/SUM($J$10:$J$18)*BK$181)+IF(SUM($K$10:$K$18)=0,0,$K$18/SUM($K$10:$K$18)*BK$182)+IF(SUM($L$10:$L$18)=0,0,$L$18/SUM($L$10:$L$18)*BK$183)+IF(SUM($M$10:$M$18)=0,0,$M$18/SUM($M$10:$M$18)*BK$184)+IF(SUM($N$10:$N$18)=0,0,$N$18/SUM($N$10:$N$18)*BK$185)+IF(SUM($O$10:$O$18)=0,0,$O$18/SUM($O$10:$O$18)*BK$186)</f>
        <v>0</v>
      </c>
      <c r="BS210" s="664"/>
      <c r="BV210" s="665" t="str">
        <f t="shared" si="72"/>
        <v>Other Investors</v>
      </c>
      <c r="BW210" s="662">
        <f ca="1">IF(SUM($F$10:$F$18)=0,0,$F$18/SUM($F$10:$F$18)*BW$177)+IF(SUM($G$10:$G$18)=0,0,$G$18/SUM($G$10:$G$18)*BW$178)+IF(SUM($H$10:$H$18)=0,0,$H$18/SUM($H$10:$H$18)*BW$179)+IF(SUM($I$10:$I$18)=0,0,$I$18/SUM($I$10:$I$18)*BW$180)+IF(SUM($J$10:$J$18)=0,0,$J$18/SUM($J$10:$J$18)*BW$181)+IF(SUM($K$10:$K$18)=0,0,$K$18/SUM($K$10:$K$18)*BW$182)+IF(SUM($L$10:$L$18)=0,0,$L$18/SUM($L$10:$L$18)*BW$183)+IF(SUM($M$10:$M$18)=0,0,$M$18/SUM($M$10:$M$18)*BW$184)+IF(SUM($N$10:$N$18)=0,0,$N$18/SUM($N$10:$N$18)*BW$185)+IF(SUM($O$10:$O$18)=0,0,$O$18/SUM($O$10:$O$18)*BW$186)</f>
        <v>0</v>
      </c>
      <c r="CE210" s="664"/>
      <c r="CH210" s="665" t="str">
        <f t="shared" si="73"/>
        <v>Other Investors</v>
      </c>
      <c r="CI210" s="662">
        <f ca="1">IF(SUM($F$10:$F$18)=0,0,$F$18/SUM($F$10:$F$18)*CI$177)+IF(SUM($G$10:$G$18)=0,0,$G$18/SUM($G$10:$G$18)*CI$178)+IF(SUM($H$10:$H$18)=0,0,$H$18/SUM($H$10:$H$18)*CI$179)+IF(SUM($I$10:$I$18)=0,0,$I$18/SUM($I$10:$I$18)*CI$180)+IF(SUM($J$10:$J$18)=0,0,$J$18/SUM($J$10:$J$18)*CI$181)+IF(SUM($K$10:$K$18)=0,0,$K$18/SUM($K$10:$K$18)*CI$182)+IF(SUM($L$10:$L$18)=0,0,$L$18/SUM($L$10:$L$18)*CI$183)+IF(SUM($M$10:$M$18)=0,0,$M$18/SUM($M$10:$M$18)*CI$184)+IF(SUM($N$10:$N$18)=0,0,$N$18/SUM($N$10:$N$18)*CI$185)+IF(SUM($O$10:$O$18)=0,0,$O$18/SUM($O$10:$O$18)*CI$186)</f>
        <v>0</v>
      </c>
      <c r="CQ210" s="664"/>
      <c r="CT210" s="665" t="str">
        <f t="shared" si="74"/>
        <v>Other Investors</v>
      </c>
      <c r="CU210" s="662">
        <f ca="1">IF(SUM($F$10:$F$18)=0,0,$F$18/SUM($F$10:$F$18)*CU$177)+IF(SUM($G$10:$G$18)=0,0,$G$18/SUM($G$10:$G$18)*CU$178)+IF(SUM($H$10:$H$18)=0,0,$H$18/SUM($H$10:$H$18)*CU$179)+IF(SUM($I$10:$I$18)=0,0,$I$18/SUM($I$10:$I$18)*CU$180)+IF(SUM($J$10:$J$18)=0,0,$J$18/SUM($J$10:$J$18)*CU$181)+IF(SUM($K$10:$K$18)=0,0,$K$18/SUM($K$10:$K$18)*CU$182)+IF(SUM($L$10:$L$18)=0,0,$L$18/SUM($L$10:$L$18)*CU$183)+IF(SUM($M$10:$M$18)=0,0,$M$18/SUM($M$10:$M$18)*CU$184)+IF(SUM($N$10:$N$18)=0,0,$N$18/SUM($N$10:$N$18)*CU$185)+IF(SUM($O$10:$O$18)=0,0,$O$18/SUM($O$10:$O$18)*CU$186)</f>
        <v>0</v>
      </c>
      <c r="DC210" s="664"/>
      <c r="DF210" s="665" t="str">
        <f t="shared" si="75"/>
        <v>Other Investors</v>
      </c>
      <c r="DG210" s="662">
        <f ca="1">IF(SUM($F$10:$F$18)=0,0,$F$18/SUM($F$10:$F$18)*DG$177)+IF(SUM($G$10:$G$18)=0,0,$G$18/SUM($G$10:$G$18)*DG$178)+IF(SUM($H$10:$H$18)=0,0,$H$18/SUM($H$10:$H$18)*DG$179)+IF(SUM($I$10:$I$18)=0,0,$I$18/SUM($I$10:$I$18)*DG$180)+IF(SUM($J$10:$J$18)=0,0,$J$18/SUM($J$10:$J$18)*DG$181)+IF(SUM($K$10:$K$18)=0,0,$K$18/SUM($K$10:$K$18)*DG$182)+IF(SUM($L$10:$L$18)=0,0,$L$18/SUM($L$10:$L$18)*DG$183)+IF(SUM($M$10:$M$18)=0,0,$M$18/SUM($M$10:$M$18)*DG$184)+IF(SUM($N$10:$N$18)=0,0,$N$18/SUM($N$10:$N$18)*DG$185)+IF(SUM($O$10:$O$18)=0,0,$O$18/SUM($O$10:$O$18)*DG$186)</f>
        <v>0</v>
      </c>
      <c r="DO210" s="664"/>
    </row>
    <row r="211" spans="2:119" hidden="1" x14ac:dyDescent="0.25">
      <c r="B211" s="665" t="str">
        <f>CONCATENATE(B187," holders")</f>
        <v>Warrants Series A holders</v>
      </c>
      <c r="C211" s="662">
        <f ca="1">C187</f>
        <v>0</v>
      </c>
      <c r="K211" s="664"/>
      <c r="N211" s="665" t="str">
        <f t="shared" si="67"/>
        <v>Warrants Series A holders</v>
      </c>
      <c r="O211" s="662">
        <f ca="1">O187</f>
        <v>0</v>
      </c>
      <c r="U211" s="663"/>
      <c r="W211" s="664"/>
      <c r="Z211" s="665" t="str">
        <f t="shared" si="68"/>
        <v>Warrants Series A holders</v>
      </c>
      <c r="AA211" s="662">
        <f ca="1">AA187</f>
        <v>0</v>
      </c>
      <c r="AB211" s="663"/>
      <c r="AC211" s="663"/>
      <c r="AD211" s="663"/>
      <c r="AE211" s="663"/>
      <c r="AF211" s="663"/>
      <c r="AG211" s="663"/>
      <c r="AH211" s="663"/>
      <c r="AI211" s="664"/>
      <c r="AL211" s="665" t="str">
        <f t="shared" si="69"/>
        <v>Warrants Series A holders</v>
      </c>
      <c r="AM211" s="662">
        <f ca="1">AM187</f>
        <v>0</v>
      </c>
      <c r="AN211" s="663"/>
      <c r="AU211" s="664"/>
      <c r="AX211" s="665" t="str">
        <f t="shared" si="70"/>
        <v>Warrants Series A holders</v>
      </c>
      <c r="AY211" s="662">
        <f ca="1">AY187</f>
        <v>0</v>
      </c>
      <c r="BG211" s="664"/>
      <c r="BJ211" s="665" t="str">
        <f t="shared" si="71"/>
        <v>Warrants Series A holders</v>
      </c>
      <c r="BK211" s="662">
        <f ca="1">BK187</f>
        <v>0</v>
      </c>
      <c r="BS211" s="664"/>
      <c r="BV211" s="665" t="str">
        <f t="shared" si="72"/>
        <v>Warrants Series A holders</v>
      </c>
      <c r="BW211" s="662">
        <f ca="1">BW187</f>
        <v>0</v>
      </c>
      <c r="CE211" s="664"/>
      <c r="CH211" s="665" t="str">
        <f t="shared" si="73"/>
        <v>Warrants Series A holders</v>
      </c>
      <c r="CI211" s="662">
        <f ca="1">CI187</f>
        <v>0</v>
      </c>
      <c r="CQ211" s="664"/>
      <c r="CT211" s="665" t="str">
        <f t="shared" si="74"/>
        <v>Warrants Series A holders</v>
      </c>
      <c r="CU211" s="662">
        <f ca="1">CU187</f>
        <v>0</v>
      </c>
      <c r="DC211" s="664"/>
      <c r="DF211" s="665" t="str">
        <f t="shared" si="75"/>
        <v>Warrants Series A holders</v>
      </c>
      <c r="DG211" s="662">
        <f ca="1">DG187</f>
        <v>0</v>
      </c>
      <c r="DO211" s="664"/>
    </row>
    <row r="212" spans="2:119" hidden="1" x14ac:dyDescent="0.25">
      <c r="B212" s="665" t="str">
        <f t="shared" ref="B212:B221" si="76">CONCATENATE(B188," holders")</f>
        <v>Warrants Series B holders</v>
      </c>
      <c r="C212" s="662">
        <f t="shared" ref="C212:C222" ca="1" si="77">C188</f>
        <v>0</v>
      </c>
      <c r="K212" s="664"/>
      <c r="N212" s="665" t="str">
        <f t="shared" si="67"/>
        <v>Warrants Series B holders</v>
      </c>
      <c r="O212" s="662">
        <f t="shared" ref="O212:O222" ca="1" si="78">O188</f>
        <v>0</v>
      </c>
      <c r="U212" s="663"/>
      <c r="W212" s="664"/>
      <c r="Z212" s="665" t="str">
        <f t="shared" si="68"/>
        <v>Warrants Series B holders</v>
      </c>
      <c r="AA212" s="662">
        <f t="shared" ref="AA212:AA222" ca="1" si="79">AA188</f>
        <v>0</v>
      </c>
      <c r="AB212" s="663"/>
      <c r="AC212" s="663"/>
      <c r="AD212" s="663"/>
      <c r="AE212" s="663"/>
      <c r="AF212" s="663"/>
      <c r="AG212" s="663"/>
      <c r="AH212" s="663"/>
      <c r="AI212" s="664"/>
      <c r="AL212" s="665" t="str">
        <f t="shared" si="69"/>
        <v>Warrants Series B holders</v>
      </c>
      <c r="AM212" s="662">
        <f t="shared" ref="AM212:AM222" ca="1" si="80">AM188</f>
        <v>0</v>
      </c>
      <c r="AN212" s="663"/>
      <c r="AU212" s="664"/>
      <c r="AX212" s="665" t="str">
        <f t="shared" si="70"/>
        <v>Warrants Series B holders</v>
      </c>
      <c r="AY212" s="662">
        <f t="shared" ref="AY212:AY222" ca="1" si="81">AY188</f>
        <v>0</v>
      </c>
      <c r="BG212" s="664"/>
      <c r="BJ212" s="665" t="str">
        <f t="shared" si="71"/>
        <v>Warrants Series B holders</v>
      </c>
      <c r="BK212" s="662">
        <f t="shared" ref="BK212:BK222" ca="1" si="82">BK188</f>
        <v>0</v>
      </c>
      <c r="BS212" s="664"/>
      <c r="BV212" s="665" t="str">
        <f t="shared" si="72"/>
        <v>Warrants Series B holders</v>
      </c>
      <c r="BW212" s="662">
        <f t="shared" ref="BW212:BW222" ca="1" si="83">BW188</f>
        <v>0</v>
      </c>
      <c r="CE212" s="664"/>
      <c r="CH212" s="665" t="str">
        <f t="shared" si="73"/>
        <v>Warrants Series B holders</v>
      </c>
      <c r="CI212" s="662">
        <f t="shared" ref="CI212:CI222" ca="1" si="84">CI188</f>
        <v>0</v>
      </c>
      <c r="CQ212" s="664"/>
      <c r="CT212" s="665" t="str">
        <f t="shared" si="74"/>
        <v>Warrants Series B holders</v>
      </c>
      <c r="CU212" s="662">
        <f t="shared" ref="CU212:CU222" ca="1" si="85">CU188</f>
        <v>0</v>
      </c>
      <c r="DC212" s="664"/>
      <c r="DF212" s="665" t="str">
        <f t="shared" si="75"/>
        <v>Warrants Series B holders</v>
      </c>
      <c r="DG212" s="662">
        <f t="shared" ref="DG212:DG222" ca="1" si="86">DG188</f>
        <v>0</v>
      </c>
      <c r="DO212" s="664"/>
    </row>
    <row r="213" spans="2:119" hidden="1" x14ac:dyDescent="0.25">
      <c r="B213" s="665" t="str">
        <f t="shared" si="76"/>
        <v>Warrants Series C holders</v>
      </c>
      <c r="C213" s="662">
        <f t="shared" ca="1" si="77"/>
        <v>0</v>
      </c>
      <c r="K213" s="664"/>
      <c r="N213" s="665" t="str">
        <f t="shared" si="67"/>
        <v>Warrants Series C holders</v>
      </c>
      <c r="O213" s="662">
        <f t="shared" ca="1" si="78"/>
        <v>0</v>
      </c>
      <c r="U213" s="663"/>
      <c r="W213" s="664"/>
      <c r="Z213" s="665" t="str">
        <f t="shared" si="68"/>
        <v>Warrants Series C holders</v>
      </c>
      <c r="AA213" s="662">
        <f t="shared" ca="1" si="79"/>
        <v>0</v>
      </c>
      <c r="AB213" s="663"/>
      <c r="AC213" s="663"/>
      <c r="AD213" s="663"/>
      <c r="AE213" s="663"/>
      <c r="AF213" s="663"/>
      <c r="AG213" s="663"/>
      <c r="AH213" s="663"/>
      <c r="AI213" s="664"/>
      <c r="AL213" s="665" t="str">
        <f t="shared" si="69"/>
        <v>Warrants Series C holders</v>
      </c>
      <c r="AM213" s="662">
        <f t="shared" ca="1" si="80"/>
        <v>0</v>
      </c>
      <c r="AN213" s="663"/>
      <c r="AU213" s="664"/>
      <c r="AX213" s="665" t="str">
        <f t="shared" si="70"/>
        <v>Warrants Series C holders</v>
      </c>
      <c r="AY213" s="662">
        <f t="shared" ca="1" si="81"/>
        <v>0</v>
      </c>
      <c r="BG213" s="664"/>
      <c r="BJ213" s="665" t="str">
        <f t="shared" si="71"/>
        <v>Warrants Series C holders</v>
      </c>
      <c r="BK213" s="662">
        <f t="shared" ca="1" si="82"/>
        <v>0</v>
      </c>
      <c r="BS213" s="664"/>
      <c r="BV213" s="665" t="str">
        <f t="shared" si="72"/>
        <v>Warrants Series C holders</v>
      </c>
      <c r="BW213" s="662">
        <f t="shared" ca="1" si="83"/>
        <v>0</v>
      </c>
      <c r="CE213" s="664"/>
      <c r="CH213" s="665" t="str">
        <f t="shared" si="73"/>
        <v>Warrants Series C holders</v>
      </c>
      <c r="CI213" s="662">
        <f t="shared" ca="1" si="84"/>
        <v>0</v>
      </c>
      <c r="CQ213" s="664"/>
      <c r="CT213" s="665" t="str">
        <f t="shared" si="74"/>
        <v>Warrants Series C holders</v>
      </c>
      <c r="CU213" s="662">
        <f t="shared" ca="1" si="85"/>
        <v>0</v>
      </c>
      <c r="DC213" s="664"/>
      <c r="DF213" s="665" t="str">
        <f t="shared" si="75"/>
        <v>Warrants Series C holders</v>
      </c>
      <c r="DG213" s="662">
        <f t="shared" ca="1" si="86"/>
        <v>0</v>
      </c>
      <c r="DO213" s="664"/>
    </row>
    <row r="214" spans="2:119" hidden="1" x14ac:dyDescent="0.25">
      <c r="B214" s="665" t="str">
        <f t="shared" si="76"/>
        <v>Warrants Series D holders</v>
      </c>
      <c r="C214" s="662">
        <f t="shared" ca="1" si="77"/>
        <v>0</v>
      </c>
      <c r="K214" s="664"/>
      <c r="N214" s="665" t="str">
        <f t="shared" si="67"/>
        <v>Warrants Series D holders</v>
      </c>
      <c r="O214" s="662">
        <f t="shared" ca="1" si="78"/>
        <v>0</v>
      </c>
      <c r="U214" s="663"/>
      <c r="W214" s="664"/>
      <c r="Z214" s="665" t="str">
        <f t="shared" si="68"/>
        <v>Warrants Series D holders</v>
      </c>
      <c r="AA214" s="662">
        <f t="shared" ca="1" si="79"/>
        <v>0</v>
      </c>
      <c r="AB214" s="663"/>
      <c r="AC214" s="663"/>
      <c r="AD214" s="663"/>
      <c r="AE214" s="663"/>
      <c r="AF214" s="663"/>
      <c r="AG214" s="663"/>
      <c r="AH214" s="663"/>
      <c r="AI214" s="664"/>
      <c r="AL214" s="665" t="str">
        <f t="shared" si="69"/>
        <v>Warrants Series D holders</v>
      </c>
      <c r="AM214" s="662">
        <f t="shared" ca="1" si="80"/>
        <v>0</v>
      </c>
      <c r="AN214" s="663"/>
      <c r="AU214" s="664"/>
      <c r="AX214" s="665" t="str">
        <f t="shared" si="70"/>
        <v>Warrants Series D holders</v>
      </c>
      <c r="AY214" s="662">
        <f t="shared" ca="1" si="81"/>
        <v>0</v>
      </c>
      <c r="BG214" s="664"/>
      <c r="BJ214" s="665" t="str">
        <f t="shared" si="71"/>
        <v>Warrants Series D holders</v>
      </c>
      <c r="BK214" s="662">
        <f t="shared" ca="1" si="82"/>
        <v>0</v>
      </c>
      <c r="BS214" s="664"/>
      <c r="BV214" s="665" t="str">
        <f t="shared" si="72"/>
        <v>Warrants Series D holders</v>
      </c>
      <c r="BW214" s="662">
        <f t="shared" ca="1" si="83"/>
        <v>0</v>
      </c>
      <c r="CE214" s="664"/>
      <c r="CH214" s="665" t="str">
        <f t="shared" si="73"/>
        <v>Warrants Series D holders</v>
      </c>
      <c r="CI214" s="662">
        <f t="shared" ca="1" si="84"/>
        <v>0</v>
      </c>
      <c r="CQ214" s="664"/>
      <c r="CT214" s="665" t="str">
        <f t="shared" si="74"/>
        <v>Warrants Series D holders</v>
      </c>
      <c r="CU214" s="662">
        <f t="shared" ca="1" si="85"/>
        <v>0</v>
      </c>
      <c r="DC214" s="664"/>
      <c r="DF214" s="665" t="str">
        <f t="shared" si="75"/>
        <v>Warrants Series D holders</v>
      </c>
      <c r="DG214" s="662">
        <f t="shared" ca="1" si="86"/>
        <v>0</v>
      </c>
      <c r="DO214" s="664"/>
    </row>
    <row r="215" spans="2:119" hidden="1" x14ac:dyDescent="0.25">
      <c r="B215" s="665" t="str">
        <f t="shared" si="76"/>
        <v>Warrants - holders</v>
      </c>
      <c r="C215" s="662">
        <f t="shared" ca="1" si="77"/>
        <v>0</v>
      </c>
      <c r="K215" s="664"/>
      <c r="N215" s="665" t="str">
        <f t="shared" si="67"/>
        <v>Warrants - holders</v>
      </c>
      <c r="O215" s="662">
        <f t="shared" ca="1" si="78"/>
        <v>0</v>
      </c>
      <c r="U215" s="663"/>
      <c r="W215" s="664"/>
      <c r="Z215" s="665" t="str">
        <f t="shared" si="68"/>
        <v>Warrants - holders</v>
      </c>
      <c r="AA215" s="662">
        <f t="shared" ca="1" si="79"/>
        <v>0</v>
      </c>
      <c r="AB215" s="663"/>
      <c r="AC215" s="663"/>
      <c r="AD215" s="663"/>
      <c r="AE215" s="663"/>
      <c r="AF215" s="663"/>
      <c r="AG215" s="663"/>
      <c r="AH215" s="663"/>
      <c r="AI215" s="664"/>
      <c r="AL215" s="665" t="str">
        <f t="shared" si="69"/>
        <v>Warrants - holders</v>
      </c>
      <c r="AM215" s="662">
        <f t="shared" ca="1" si="80"/>
        <v>0</v>
      </c>
      <c r="AN215" s="663"/>
      <c r="AU215" s="664"/>
      <c r="AX215" s="665" t="str">
        <f t="shared" si="70"/>
        <v>Warrants - holders</v>
      </c>
      <c r="AY215" s="662">
        <f t="shared" ca="1" si="81"/>
        <v>0</v>
      </c>
      <c r="BG215" s="664"/>
      <c r="BJ215" s="665" t="str">
        <f t="shared" si="71"/>
        <v>Warrants - holders</v>
      </c>
      <c r="BK215" s="662">
        <f t="shared" ca="1" si="82"/>
        <v>0</v>
      </c>
      <c r="BS215" s="664"/>
      <c r="BV215" s="665" t="str">
        <f t="shared" si="72"/>
        <v>Warrants - holders</v>
      </c>
      <c r="BW215" s="662">
        <f t="shared" ca="1" si="83"/>
        <v>0</v>
      </c>
      <c r="CE215" s="664"/>
      <c r="CH215" s="665" t="str">
        <f t="shared" si="73"/>
        <v>Warrants - holders</v>
      </c>
      <c r="CI215" s="662">
        <f t="shared" ca="1" si="84"/>
        <v>0</v>
      </c>
      <c r="CQ215" s="664"/>
      <c r="CT215" s="665" t="str">
        <f t="shared" si="74"/>
        <v>Warrants - holders</v>
      </c>
      <c r="CU215" s="662">
        <f t="shared" ca="1" si="85"/>
        <v>0</v>
      </c>
      <c r="DC215" s="664"/>
      <c r="DF215" s="665" t="str">
        <f t="shared" si="75"/>
        <v>Warrants - holders</v>
      </c>
      <c r="DG215" s="662">
        <f t="shared" ca="1" si="86"/>
        <v>0</v>
      </c>
      <c r="DO215" s="664"/>
    </row>
    <row r="216" spans="2:119" hidden="1" x14ac:dyDescent="0.25">
      <c r="B216" s="665" t="str">
        <f t="shared" si="76"/>
        <v>Warrants - holders</v>
      </c>
      <c r="C216" s="662">
        <f t="shared" ca="1" si="77"/>
        <v>0</v>
      </c>
      <c r="K216" s="664"/>
      <c r="N216" s="665" t="str">
        <f t="shared" si="67"/>
        <v>Warrants - holders</v>
      </c>
      <c r="O216" s="662">
        <f t="shared" ca="1" si="78"/>
        <v>0</v>
      </c>
      <c r="U216" s="663"/>
      <c r="W216" s="664"/>
      <c r="Z216" s="665" t="str">
        <f t="shared" si="68"/>
        <v>Warrants - holders</v>
      </c>
      <c r="AA216" s="662">
        <f t="shared" ca="1" si="79"/>
        <v>0</v>
      </c>
      <c r="AB216" s="663"/>
      <c r="AC216" s="663"/>
      <c r="AD216" s="663"/>
      <c r="AE216" s="663"/>
      <c r="AF216" s="663"/>
      <c r="AG216" s="663"/>
      <c r="AH216" s="663"/>
      <c r="AI216" s="664"/>
      <c r="AL216" s="665" t="str">
        <f t="shared" si="69"/>
        <v>Warrants - holders</v>
      </c>
      <c r="AM216" s="662">
        <f t="shared" ca="1" si="80"/>
        <v>0</v>
      </c>
      <c r="AN216" s="663"/>
      <c r="AU216" s="664"/>
      <c r="AX216" s="665" t="str">
        <f t="shared" si="70"/>
        <v>Warrants - holders</v>
      </c>
      <c r="AY216" s="662">
        <f t="shared" ca="1" si="81"/>
        <v>0</v>
      </c>
      <c r="BG216" s="664"/>
      <c r="BJ216" s="665" t="str">
        <f t="shared" si="71"/>
        <v>Warrants - holders</v>
      </c>
      <c r="BK216" s="662">
        <f t="shared" ca="1" si="82"/>
        <v>0</v>
      </c>
      <c r="BS216" s="664"/>
      <c r="BV216" s="665" t="str">
        <f t="shared" si="72"/>
        <v>Warrants - holders</v>
      </c>
      <c r="BW216" s="662">
        <f t="shared" ca="1" si="83"/>
        <v>0</v>
      </c>
      <c r="CE216" s="664"/>
      <c r="CH216" s="665" t="str">
        <f t="shared" si="73"/>
        <v>Warrants - holders</v>
      </c>
      <c r="CI216" s="662">
        <f t="shared" ca="1" si="84"/>
        <v>0</v>
      </c>
      <c r="CQ216" s="664"/>
      <c r="CT216" s="665" t="str">
        <f t="shared" si="74"/>
        <v>Warrants - holders</v>
      </c>
      <c r="CU216" s="662">
        <f t="shared" ca="1" si="85"/>
        <v>0</v>
      </c>
      <c r="DC216" s="664"/>
      <c r="DF216" s="665" t="str">
        <f t="shared" si="75"/>
        <v>Warrants - holders</v>
      </c>
      <c r="DG216" s="662">
        <f t="shared" ca="1" si="86"/>
        <v>0</v>
      </c>
      <c r="DO216" s="664"/>
    </row>
    <row r="217" spans="2:119" hidden="1" x14ac:dyDescent="0.25">
      <c r="B217" s="665" t="str">
        <f t="shared" si="76"/>
        <v>Warrants - holders</v>
      </c>
      <c r="C217" s="662">
        <f t="shared" ca="1" si="77"/>
        <v>0</v>
      </c>
      <c r="K217" s="664"/>
      <c r="N217" s="665" t="str">
        <f t="shared" si="67"/>
        <v>Warrants - holders</v>
      </c>
      <c r="O217" s="662">
        <f t="shared" ca="1" si="78"/>
        <v>0</v>
      </c>
      <c r="U217" s="663"/>
      <c r="W217" s="664"/>
      <c r="Z217" s="665" t="str">
        <f t="shared" si="68"/>
        <v>Warrants - holders</v>
      </c>
      <c r="AA217" s="662">
        <f t="shared" ca="1" si="79"/>
        <v>0</v>
      </c>
      <c r="AB217" s="663"/>
      <c r="AC217" s="663"/>
      <c r="AD217" s="663"/>
      <c r="AE217" s="663"/>
      <c r="AF217" s="663"/>
      <c r="AG217" s="663"/>
      <c r="AH217" s="663"/>
      <c r="AI217" s="664"/>
      <c r="AL217" s="665" t="str">
        <f t="shared" si="69"/>
        <v>Warrants - holders</v>
      </c>
      <c r="AM217" s="662">
        <f t="shared" ca="1" si="80"/>
        <v>0</v>
      </c>
      <c r="AN217" s="663"/>
      <c r="AU217" s="664"/>
      <c r="AX217" s="665" t="str">
        <f t="shared" si="70"/>
        <v>Warrants - holders</v>
      </c>
      <c r="AY217" s="662">
        <f t="shared" ca="1" si="81"/>
        <v>0</v>
      </c>
      <c r="BG217" s="664"/>
      <c r="BJ217" s="665" t="str">
        <f t="shared" si="71"/>
        <v>Warrants - holders</v>
      </c>
      <c r="BK217" s="662">
        <f t="shared" ca="1" si="82"/>
        <v>0</v>
      </c>
      <c r="BS217" s="664"/>
      <c r="BV217" s="665" t="str">
        <f t="shared" si="72"/>
        <v>Warrants - holders</v>
      </c>
      <c r="BW217" s="662">
        <f t="shared" ca="1" si="83"/>
        <v>0</v>
      </c>
      <c r="CE217" s="664"/>
      <c r="CH217" s="665" t="str">
        <f t="shared" si="73"/>
        <v>Warrants - holders</v>
      </c>
      <c r="CI217" s="662">
        <f t="shared" ca="1" si="84"/>
        <v>0</v>
      </c>
      <c r="CQ217" s="664"/>
      <c r="CT217" s="665" t="str">
        <f t="shared" si="74"/>
        <v>Warrants - holders</v>
      </c>
      <c r="CU217" s="662">
        <f t="shared" ca="1" si="85"/>
        <v>0</v>
      </c>
      <c r="DC217" s="664"/>
      <c r="DF217" s="665" t="str">
        <f t="shared" si="75"/>
        <v>Warrants - holders</v>
      </c>
      <c r="DG217" s="662">
        <f t="shared" ca="1" si="86"/>
        <v>0</v>
      </c>
      <c r="DO217" s="664"/>
    </row>
    <row r="218" spans="2:119" hidden="1" x14ac:dyDescent="0.25">
      <c r="B218" s="665" t="str">
        <f t="shared" si="76"/>
        <v>Warrants - holders</v>
      </c>
      <c r="C218" s="662">
        <f t="shared" ca="1" si="77"/>
        <v>0</v>
      </c>
      <c r="K218" s="664"/>
      <c r="N218" s="665" t="str">
        <f t="shared" si="67"/>
        <v>Warrants - holders</v>
      </c>
      <c r="O218" s="662">
        <f t="shared" ca="1" si="78"/>
        <v>0</v>
      </c>
      <c r="U218" s="663"/>
      <c r="W218" s="664"/>
      <c r="Z218" s="665" t="str">
        <f t="shared" si="68"/>
        <v>Warrants - holders</v>
      </c>
      <c r="AA218" s="662">
        <f t="shared" ca="1" si="79"/>
        <v>0</v>
      </c>
      <c r="AB218" s="663"/>
      <c r="AC218" s="663"/>
      <c r="AD218" s="663"/>
      <c r="AE218" s="663"/>
      <c r="AF218" s="663"/>
      <c r="AG218" s="663"/>
      <c r="AH218" s="663"/>
      <c r="AI218" s="664"/>
      <c r="AL218" s="665" t="str">
        <f t="shared" si="69"/>
        <v>Warrants - holders</v>
      </c>
      <c r="AM218" s="662">
        <f t="shared" ca="1" si="80"/>
        <v>0</v>
      </c>
      <c r="AN218" s="663"/>
      <c r="AU218" s="664"/>
      <c r="AX218" s="665" t="str">
        <f t="shared" si="70"/>
        <v>Warrants - holders</v>
      </c>
      <c r="AY218" s="662">
        <f t="shared" ca="1" si="81"/>
        <v>0</v>
      </c>
      <c r="BG218" s="664"/>
      <c r="BJ218" s="665" t="str">
        <f t="shared" si="71"/>
        <v>Warrants - holders</v>
      </c>
      <c r="BK218" s="662">
        <f t="shared" ca="1" si="82"/>
        <v>0</v>
      </c>
      <c r="BS218" s="664"/>
      <c r="BV218" s="665" t="str">
        <f t="shared" si="72"/>
        <v>Warrants - holders</v>
      </c>
      <c r="BW218" s="662">
        <f t="shared" ca="1" si="83"/>
        <v>0</v>
      </c>
      <c r="CE218" s="664"/>
      <c r="CH218" s="665" t="str">
        <f t="shared" si="73"/>
        <v>Warrants - holders</v>
      </c>
      <c r="CI218" s="662">
        <f t="shared" ca="1" si="84"/>
        <v>0</v>
      </c>
      <c r="CQ218" s="664"/>
      <c r="CT218" s="665" t="str">
        <f t="shared" si="74"/>
        <v>Warrants - holders</v>
      </c>
      <c r="CU218" s="662">
        <f t="shared" ca="1" si="85"/>
        <v>0</v>
      </c>
      <c r="DC218" s="664"/>
      <c r="DF218" s="665" t="str">
        <f t="shared" si="75"/>
        <v>Warrants - holders</v>
      </c>
      <c r="DG218" s="662">
        <f t="shared" ca="1" si="86"/>
        <v>0</v>
      </c>
      <c r="DO218" s="664"/>
    </row>
    <row r="219" spans="2:119" hidden="1" x14ac:dyDescent="0.25">
      <c r="B219" s="665" t="str">
        <f t="shared" si="76"/>
        <v>Warrants - holders</v>
      </c>
      <c r="C219" s="662">
        <f t="shared" ca="1" si="77"/>
        <v>0</v>
      </c>
      <c r="K219" s="664"/>
      <c r="N219" s="665" t="str">
        <f t="shared" si="67"/>
        <v>Warrants - holders</v>
      </c>
      <c r="O219" s="662">
        <f t="shared" ca="1" si="78"/>
        <v>0</v>
      </c>
      <c r="U219" s="663"/>
      <c r="W219" s="664"/>
      <c r="Z219" s="665" t="str">
        <f t="shared" si="68"/>
        <v>Warrants - holders</v>
      </c>
      <c r="AA219" s="662">
        <f t="shared" ca="1" si="79"/>
        <v>0</v>
      </c>
      <c r="AB219" s="663"/>
      <c r="AC219" s="663"/>
      <c r="AD219" s="663"/>
      <c r="AE219" s="663"/>
      <c r="AF219" s="663"/>
      <c r="AG219" s="663"/>
      <c r="AH219" s="663"/>
      <c r="AI219" s="664"/>
      <c r="AL219" s="665" t="str">
        <f t="shared" si="69"/>
        <v>Warrants - holders</v>
      </c>
      <c r="AM219" s="662">
        <f t="shared" ca="1" si="80"/>
        <v>0</v>
      </c>
      <c r="AN219" s="663"/>
      <c r="AU219" s="664"/>
      <c r="AX219" s="665" t="str">
        <f t="shared" si="70"/>
        <v>Warrants - holders</v>
      </c>
      <c r="AY219" s="662">
        <f t="shared" ca="1" si="81"/>
        <v>0</v>
      </c>
      <c r="BG219" s="664"/>
      <c r="BJ219" s="665" t="str">
        <f t="shared" si="71"/>
        <v>Warrants - holders</v>
      </c>
      <c r="BK219" s="662">
        <f t="shared" ca="1" si="82"/>
        <v>0</v>
      </c>
      <c r="BS219" s="664"/>
      <c r="BV219" s="665" t="str">
        <f t="shared" si="72"/>
        <v>Warrants - holders</v>
      </c>
      <c r="BW219" s="662">
        <f t="shared" ca="1" si="83"/>
        <v>0</v>
      </c>
      <c r="CE219" s="664"/>
      <c r="CH219" s="665" t="str">
        <f t="shared" si="73"/>
        <v>Warrants - holders</v>
      </c>
      <c r="CI219" s="662">
        <f t="shared" ca="1" si="84"/>
        <v>0</v>
      </c>
      <c r="CQ219" s="664"/>
      <c r="CT219" s="665" t="str">
        <f t="shared" si="74"/>
        <v>Warrants - holders</v>
      </c>
      <c r="CU219" s="662">
        <f t="shared" ca="1" si="85"/>
        <v>0</v>
      </c>
      <c r="DC219" s="664"/>
      <c r="DF219" s="665" t="str">
        <f t="shared" si="75"/>
        <v>Warrants - holders</v>
      </c>
      <c r="DG219" s="662">
        <f t="shared" ca="1" si="86"/>
        <v>0</v>
      </c>
      <c r="DO219" s="664"/>
    </row>
    <row r="220" spans="2:119" hidden="1" x14ac:dyDescent="0.25">
      <c r="B220" s="665" t="str">
        <f t="shared" si="76"/>
        <v>Warrants - holders</v>
      </c>
      <c r="C220" s="662">
        <f t="shared" ca="1" si="77"/>
        <v>0</v>
      </c>
      <c r="K220" s="664"/>
      <c r="N220" s="665" t="str">
        <f t="shared" si="67"/>
        <v>Warrants - holders</v>
      </c>
      <c r="O220" s="662">
        <f t="shared" ca="1" si="78"/>
        <v>0</v>
      </c>
      <c r="U220" s="663"/>
      <c r="W220" s="664"/>
      <c r="Z220" s="665" t="str">
        <f t="shared" si="68"/>
        <v>Warrants - holders</v>
      </c>
      <c r="AA220" s="662">
        <f t="shared" ca="1" si="79"/>
        <v>0</v>
      </c>
      <c r="AB220" s="663"/>
      <c r="AC220" s="663"/>
      <c r="AD220" s="663"/>
      <c r="AE220" s="663"/>
      <c r="AF220" s="663"/>
      <c r="AG220" s="663"/>
      <c r="AH220" s="663"/>
      <c r="AI220" s="664"/>
      <c r="AL220" s="665" t="str">
        <f t="shared" si="69"/>
        <v>Warrants - holders</v>
      </c>
      <c r="AM220" s="662">
        <f t="shared" ca="1" si="80"/>
        <v>0</v>
      </c>
      <c r="AN220" s="663"/>
      <c r="AU220" s="664"/>
      <c r="AX220" s="665" t="str">
        <f t="shared" si="70"/>
        <v>Warrants - holders</v>
      </c>
      <c r="AY220" s="662">
        <f t="shared" ca="1" si="81"/>
        <v>0</v>
      </c>
      <c r="BG220" s="664"/>
      <c r="BJ220" s="665" t="str">
        <f t="shared" si="71"/>
        <v>Warrants - holders</v>
      </c>
      <c r="BK220" s="662">
        <f t="shared" ca="1" si="82"/>
        <v>0</v>
      </c>
      <c r="BS220" s="664"/>
      <c r="BV220" s="665" t="str">
        <f t="shared" si="72"/>
        <v>Warrants - holders</v>
      </c>
      <c r="BW220" s="662">
        <f t="shared" ca="1" si="83"/>
        <v>0</v>
      </c>
      <c r="CE220" s="664"/>
      <c r="CH220" s="665" t="str">
        <f t="shared" si="73"/>
        <v>Warrants - holders</v>
      </c>
      <c r="CI220" s="662">
        <f t="shared" ca="1" si="84"/>
        <v>0</v>
      </c>
      <c r="CQ220" s="664"/>
      <c r="CT220" s="665" t="str">
        <f t="shared" si="74"/>
        <v>Warrants - holders</v>
      </c>
      <c r="CU220" s="662">
        <f t="shared" ca="1" si="85"/>
        <v>0</v>
      </c>
      <c r="DC220" s="664"/>
      <c r="DF220" s="665" t="str">
        <f t="shared" si="75"/>
        <v>Warrants - holders</v>
      </c>
      <c r="DG220" s="662">
        <f t="shared" ca="1" si="86"/>
        <v>0</v>
      </c>
      <c r="DO220" s="664"/>
    </row>
    <row r="221" spans="2:119" hidden="1" x14ac:dyDescent="0.25">
      <c r="B221" s="665" t="str">
        <f t="shared" si="76"/>
        <v>Common holders</v>
      </c>
      <c r="C221" s="662">
        <f t="shared" ca="1" si="77"/>
        <v>0</v>
      </c>
      <c r="K221" s="664"/>
      <c r="N221" s="665" t="str">
        <f t="shared" si="67"/>
        <v>Common holders</v>
      </c>
      <c r="O221" s="662">
        <f t="shared" ca="1" si="78"/>
        <v>0</v>
      </c>
      <c r="U221" s="663"/>
      <c r="W221" s="664"/>
      <c r="Z221" s="665" t="str">
        <f t="shared" si="68"/>
        <v>Common holders</v>
      </c>
      <c r="AA221" s="662">
        <f t="shared" ca="1" si="79"/>
        <v>0</v>
      </c>
      <c r="AB221" s="663"/>
      <c r="AC221" s="663"/>
      <c r="AD221" s="663"/>
      <c r="AE221" s="663"/>
      <c r="AF221" s="663"/>
      <c r="AG221" s="663"/>
      <c r="AH221" s="663"/>
      <c r="AI221" s="664"/>
      <c r="AL221" s="665" t="str">
        <f t="shared" si="69"/>
        <v>Common holders</v>
      </c>
      <c r="AM221" s="662">
        <f t="shared" ca="1" si="80"/>
        <v>0</v>
      </c>
      <c r="AN221" s="663"/>
      <c r="AU221" s="664"/>
      <c r="AX221" s="665" t="str">
        <f t="shared" si="70"/>
        <v>Common holders</v>
      </c>
      <c r="AY221" s="662">
        <f t="shared" ca="1" si="81"/>
        <v>0</v>
      </c>
      <c r="BG221" s="664"/>
      <c r="BJ221" s="665" t="str">
        <f t="shared" si="71"/>
        <v>Common holders</v>
      </c>
      <c r="BK221" s="662">
        <f t="shared" ca="1" si="82"/>
        <v>0</v>
      </c>
      <c r="BS221" s="664"/>
      <c r="BV221" s="665" t="str">
        <f t="shared" si="72"/>
        <v>Common holders</v>
      </c>
      <c r="BW221" s="662">
        <f t="shared" ca="1" si="83"/>
        <v>0</v>
      </c>
      <c r="CE221" s="664"/>
      <c r="CH221" s="665" t="str">
        <f t="shared" si="73"/>
        <v>Common holders</v>
      </c>
      <c r="CI221" s="662">
        <f t="shared" ca="1" si="84"/>
        <v>0</v>
      </c>
      <c r="CQ221" s="664"/>
      <c r="CT221" s="665" t="str">
        <f t="shared" si="74"/>
        <v>Common holders</v>
      </c>
      <c r="CU221" s="662">
        <f t="shared" ca="1" si="85"/>
        <v>0</v>
      </c>
      <c r="DC221" s="664"/>
      <c r="DF221" s="665" t="str">
        <f t="shared" si="75"/>
        <v>Common holders</v>
      </c>
      <c r="DG221" s="662">
        <f t="shared" ca="1" si="86"/>
        <v>0</v>
      </c>
      <c r="DO221" s="664"/>
    </row>
    <row r="222" spans="2:119" hidden="1" x14ac:dyDescent="0.25">
      <c r="B222" s="890" t="s">
        <v>111</v>
      </c>
      <c r="C222" s="891">
        <f t="shared" ca="1" si="77"/>
        <v>0</v>
      </c>
      <c r="D222" s="892"/>
      <c r="E222" s="892"/>
      <c r="F222" s="892"/>
      <c r="G222" s="892"/>
      <c r="H222" s="892"/>
      <c r="I222" s="892"/>
      <c r="J222" s="892"/>
      <c r="K222" s="893"/>
      <c r="N222" s="665" t="str">
        <f t="shared" si="67"/>
        <v>Options holders</v>
      </c>
      <c r="O222" s="891">
        <f t="shared" ca="1" si="78"/>
        <v>0</v>
      </c>
      <c r="P222" s="892"/>
      <c r="Q222" s="892"/>
      <c r="R222" s="892"/>
      <c r="S222" s="892"/>
      <c r="T222" s="892"/>
      <c r="U222" s="892"/>
      <c r="V222" s="892"/>
      <c r="W222" s="893"/>
      <c r="Z222" s="665" t="str">
        <f t="shared" si="68"/>
        <v>Options holders</v>
      </c>
      <c r="AA222" s="891">
        <f t="shared" ca="1" si="79"/>
        <v>0</v>
      </c>
      <c r="AB222" s="892"/>
      <c r="AC222" s="892"/>
      <c r="AD222" s="892"/>
      <c r="AE222" s="892"/>
      <c r="AF222" s="892"/>
      <c r="AG222" s="892"/>
      <c r="AH222" s="892"/>
      <c r="AI222" s="893"/>
      <c r="AL222" s="665" t="str">
        <f t="shared" si="69"/>
        <v>Options holders</v>
      </c>
      <c r="AM222" s="891">
        <f t="shared" ca="1" si="80"/>
        <v>0</v>
      </c>
      <c r="AN222" s="892"/>
      <c r="AO222" s="892"/>
      <c r="AP222" s="892"/>
      <c r="AQ222" s="892"/>
      <c r="AR222" s="892"/>
      <c r="AS222" s="892"/>
      <c r="AT222" s="892"/>
      <c r="AU222" s="893"/>
      <c r="AX222" s="665" t="str">
        <f t="shared" si="70"/>
        <v>Options holders</v>
      </c>
      <c r="AY222" s="891">
        <f t="shared" ca="1" si="81"/>
        <v>0</v>
      </c>
      <c r="AZ222" s="892"/>
      <c r="BA222" s="892"/>
      <c r="BB222" s="892"/>
      <c r="BC222" s="892"/>
      <c r="BD222" s="892"/>
      <c r="BE222" s="892"/>
      <c r="BF222" s="892"/>
      <c r="BG222" s="893"/>
      <c r="BJ222" s="665" t="str">
        <f t="shared" si="71"/>
        <v>Options holders</v>
      </c>
      <c r="BK222" s="891">
        <f t="shared" ca="1" si="82"/>
        <v>0</v>
      </c>
      <c r="BL222" s="892"/>
      <c r="BM222" s="892"/>
      <c r="BN222" s="892"/>
      <c r="BO222" s="892"/>
      <c r="BP222" s="892"/>
      <c r="BQ222" s="892"/>
      <c r="BR222" s="892"/>
      <c r="BS222" s="893"/>
      <c r="BV222" s="665" t="str">
        <f t="shared" si="72"/>
        <v>Options holders</v>
      </c>
      <c r="BW222" s="891">
        <f t="shared" ca="1" si="83"/>
        <v>0</v>
      </c>
      <c r="BX222" s="892"/>
      <c r="BY222" s="892"/>
      <c r="BZ222" s="892"/>
      <c r="CA222" s="892"/>
      <c r="CB222" s="892"/>
      <c r="CC222" s="892"/>
      <c r="CD222" s="892"/>
      <c r="CE222" s="893"/>
      <c r="CH222" s="665" t="str">
        <f t="shared" si="73"/>
        <v>Options holders</v>
      </c>
      <c r="CI222" s="891">
        <f t="shared" ca="1" si="84"/>
        <v>0</v>
      </c>
      <c r="CJ222" s="892"/>
      <c r="CK222" s="892"/>
      <c r="CL222" s="892"/>
      <c r="CM222" s="892"/>
      <c r="CN222" s="892"/>
      <c r="CO222" s="892"/>
      <c r="CP222" s="892"/>
      <c r="CQ222" s="893"/>
      <c r="CT222" s="665" t="str">
        <f t="shared" si="74"/>
        <v>Options holders</v>
      </c>
      <c r="CU222" s="891">
        <f t="shared" ca="1" si="85"/>
        <v>0</v>
      </c>
      <c r="CV222" s="892"/>
      <c r="CW222" s="892"/>
      <c r="CX222" s="892"/>
      <c r="CY222" s="892"/>
      <c r="CZ222" s="892"/>
      <c r="DA222" s="892"/>
      <c r="DB222" s="892"/>
      <c r="DC222" s="893"/>
      <c r="DF222" s="665" t="str">
        <f t="shared" si="75"/>
        <v>Options holders</v>
      </c>
      <c r="DG222" s="891">
        <f t="shared" ca="1" si="86"/>
        <v>0</v>
      </c>
      <c r="DH222" s="892"/>
      <c r="DI222" s="892"/>
      <c r="DJ222" s="892"/>
      <c r="DK222" s="892"/>
      <c r="DL222" s="892"/>
      <c r="DM222" s="892"/>
      <c r="DN222" s="892"/>
      <c r="DO222" s="893"/>
    </row>
    <row r="223" spans="2:119" hidden="1" x14ac:dyDescent="0.25">
      <c r="B223" s="668"/>
      <c r="C223" s="666"/>
      <c r="K223" s="664"/>
      <c r="N223" s="668"/>
      <c r="O223" s="666"/>
      <c r="U223" s="663"/>
      <c r="W223" s="664"/>
      <c r="Z223" s="668"/>
      <c r="AA223" s="666"/>
      <c r="AB223" s="663"/>
      <c r="AC223" s="663"/>
      <c r="AD223" s="663"/>
      <c r="AE223" s="663"/>
      <c r="AF223" s="663"/>
      <c r="AG223" s="663"/>
      <c r="AH223" s="663"/>
      <c r="AI223" s="664"/>
      <c r="AL223" s="668"/>
      <c r="AM223" s="666"/>
      <c r="AN223" s="663"/>
      <c r="AU223" s="664"/>
      <c r="AX223" s="668"/>
      <c r="AY223" s="666"/>
      <c r="BG223" s="664"/>
      <c r="BJ223" s="668"/>
      <c r="BK223" s="666"/>
      <c r="BS223" s="664"/>
      <c r="BV223" s="668"/>
      <c r="BW223" s="666"/>
      <c r="CE223" s="664"/>
      <c r="CH223" s="668"/>
      <c r="CI223" s="666"/>
      <c r="CQ223" s="664"/>
      <c r="CT223" s="668"/>
      <c r="CU223" s="666"/>
      <c r="DC223" s="664"/>
      <c r="DF223" s="668"/>
      <c r="DG223" s="666"/>
      <c r="DO223" s="664"/>
    </row>
    <row r="224" spans="2:119" hidden="1" x14ac:dyDescent="0.25">
      <c r="B224" s="668"/>
      <c r="C224" s="666"/>
      <c r="K224" s="664"/>
      <c r="N224" s="668"/>
      <c r="O224" s="666"/>
      <c r="U224" s="663"/>
      <c r="W224" s="664"/>
      <c r="Z224" s="668"/>
      <c r="AA224" s="666"/>
      <c r="AB224" s="663"/>
      <c r="AC224" s="663"/>
      <c r="AD224" s="663"/>
      <c r="AE224" s="663"/>
      <c r="AF224" s="663"/>
      <c r="AG224" s="663"/>
      <c r="AH224" s="663"/>
      <c r="AI224" s="664"/>
      <c r="AL224" s="668"/>
      <c r="AM224" s="666"/>
      <c r="AN224" s="663"/>
      <c r="AU224" s="664"/>
      <c r="AX224" s="668"/>
      <c r="AY224" s="666"/>
      <c r="BG224" s="664"/>
      <c r="BJ224" s="668"/>
      <c r="BK224" s="666"/>
      <c r="BS224" s="664"/>
      <c r="BV224" s="668"/>
      <c r="BW224" s="666"/>
      <c r="CE224" s="664"/>
      <c r="CH224" s="668"/>
      <c r="CI224" s="666"/>
      <c r="CQ224" s="664"/>
      <c r="CT224" s="668"/>
      <c r="CU224" s="666"/>
      <c r="DC224" s="664"/>
      <c r="DF224" s="668"/>
      <c r="DG224" s="666"/>
      <c r="DO224" s="664"/>
    </row>
    <row r="225" spans="2:119" hidden="1" x14ac:dyDescent="0.25">
      <c r="B225" s="668"/>
      <c r="C225" s="666"/>
      <c r="K225" s="664"/>
      <c r="N225" s="668"/>
      <c r="O225" s="666"/>
      <c r="U225" s="663"/>
      <c r="W225" s="664"/>
      <c r="Z225" s="668"/>
      <c r="AA225" s="666"/>
      <c r="AB225" s="663"/>
      <c r="AC225" s="663"/>
      <c r="AD225" s="663"/>
      <c r="AE225" s="663"/>
      <c r="AF225" s="663"/>
      <c r="AG225" s="663"/>
      <c r="AH225" s="663"/>
      <c r="AI225" s="664"/>
      <c r="AL225" s="668"/>
      <c r="AM225" s="666"/>
      <c r="AN225" s="663"/>
      <c r="AU225" s="664"/>
      <c r="AX225" s="668"/>
      <c r="AY225" s="666"/>
      <c r="BG225" s="664"/>
      <c r="BJ225" s="668"/>
      <c r="BK225" s="666"/>
      <c r="BS225" s="664"/>
      <c r="BV225" s="668"/>
      <c r="BW225" s="666"/>
      <c r="CE225" s="664"/>
      <c r="CH225" s="668"/>
      <c r="CI225" s="666"/>
      <c r="CQ225" s="664"/>
      <c r="CT225" s="668"/>
      <c r="CU225" s="666"/>
      <c r="DC225" s="664"/>
      <c r="DF225" s="668"/>
      <c r="DG225" s="666"/>
      <c r="DO225" s="664"/>
    </row>
    <row r="226" spans="2:119" hidden="1" x14ac:dyDescent="0.25">
      <c r="B226" s="894" t="str">
        <f>CONCATENATE(B202," Gross Return Analysis")</f>
        <v>HTGC Gross Return Analysis</v>
      </c>
      <c r="C226" s="881"/>
      <c r="K226" s="664"/>
      <c r="N226" s="894" t="str">
        <f>CONCATENATE(N202," Gross Return Analysis")</f>
        <v>HTGC Gross Return Analysis</v>
      </c>
      <c r="O226" s="881"/>
      <c r="U226" s="663"/>
      <c r="W226" s="664"/>
      <c r="Z226" s="894" t="str">
        <f>CONCATENATE(Z202," Gross Return Analysis")</f>
        <v>HTGC Gross Return Analysis</v>
      </c>
      <c r="AA226" s="881"/>
      <c r="AB226" s="663"/>
      <c r="AC226" s="663"/>
      <c r="AD226" s="663"/>
      <c r="AE226" s="663"/>
      <c r="AF226" s="663"/>
      <c r="AG226" s="663"/>
      <c r="AH226" s="663"/>
      <c r="AI226" s="664"/>
      <c r="AL226" s="894" t="str">
        <f>CONCATENATE(AL202," Gross Return Analysis")</f>
        <v>HTGC Gross Return Analysis</v>
      </c>
      <c r="AM226" s="881"/>
      <c r="AN226" s="663"/>
      <c r="AU226" s="664"/>
      <c r="AX226" s="894" t="str">
        <f>CONCATENATE(AX202," Gross Return Analysis")</f>
        <v>HTGC Gross Return Analysis</v>
      </c>
      <c r="AY226" s="881"/>
      <c r="BG226" s="664"/>
      <c r="BJ226" s="894" t="str">
        <f>CONCATENATE(BJ202," Gross Return Analysis")</f>
        <v>HTGC Gross Return Analysis</v>
      </c>
      <c r="BK226" s="881"/>
      <c r="BS226" s="664"/>
      <c r="BV226" s="894" t="str">
        <f>CONCATENATE(BV202," Gross Return Analysis")</f>
        <v>HTGC Gross Return Analysis</v>
      </c>
      <c r="BW226" s="881"/>
      <c r="CE226" s="664"/>
      <c r="CH226" s="894" t="str">
        <f>CONCATENATE(CH202," Gross Return Analysis")</f>
        <v>HTGC Gross Return Analysis</v>
      </c>
      <c r="CI226" s="881"/>
      <c r="CQ226" s="664"/>
      <c r="CT226" s="894" t="str">
        <f>CONCATENATE(CT202," Gross Return Analysis")</f>
        <v>HTGC Gross Return Analysis</v>
      </c>
      <c r="CU226" s="881"/>
      <c r="DC226" s="664"/>
      <c r="DF226" s="894" t="str">
        <f>CONCATENATE(DF202," Gross Return Analysis")</f>
        <v>HTGC Gross Return Analysis</v>
      </c>
      <c r="DG226" s="881"/>
      <c r="DO226" s="664"/>
    </row>
    <row r="227" spans="2:119" hidden="1" x14ac:dyDescent="0.25">
      <c r="B227" s="668" t="s">
        <v>114</v>
      </c>
      <c r="C227" s="666">
        <f ca="1">C202</f>
        <v>0</v>
      </c>
      <c r="K227" s="664"/>
      <c r="N227" s="668" t="s">
        <v>114</v>
      </c>
      <c r="O227" s="666">
        <f ca="1">O202</f>
        <v>0</v>
      </c>
      <c r="U227" s="663"/>
      <c r="W227" s="664"/>
      <c r="Z227" s="668" t="s">
        <v>114</v>
      </c>
      <c r="AA227" s="666">
        <f ca="1">AA202</f>
        <v>0</v>
      </c>
      <c r="AB227" s="663"/>
      <c r="AC227" s="663"/>
      <c r="AD227" s="663"/>
      <c r="AE227" s="663"/>
      <c r="AF227" s="663"/>
      <c r="AG227" s="663"/>
      <c r="AH227" s="663"/>
      <c r="AI227" s="664"/>
      <c r="AL227" s="668" t="s">
        <v>114</v>
      </c>
      <c r="AM227" s="666">
        <f ca="1">AM202</f>
        <v>0</v>
      </c>
      <c r="AN227" s="663"/>
      <c r="AU227" s="664"/>
      <c r="AX227" s="668" t="s">
        <v>114</v>
      </c>
      <c r="AY227" s="666">
        <f ca="1">AY202</f>
        <v>0</v>
      </c>
      <c r="BG227" s="664"/>
      <c r="BJ227" s="668" t="s">
        <v>114</v>
      </c>
      <c r="BK227" s="666">
        <f ca="1">BK202</f>
        <v>0</v>
      </c>
      <c r="BS227" s="664"/>
      <c r="BV227" s="668" t="s">
        <v>114</v>
      </c>
      <c r="BW227" s="666">
        <f ca="1">BW202</f>
        <v>0</v>
      </c>
      <c r="CE227" s="664"/>
      <c r="CH227" s="668" t="s">
        <v>114</v>
      </c>
      <c r="CI227" s="666">
        <f ca="1">CI202</f>
        <v>0</v>
      </c>
      <c r="CQ227" s="664"/>
      <c r="CT227" s="668" t="s">
        <v>114</v>
      </c>
      <c r="CU227" s="666">
        <f ca="1">CU202</f>
        <v>0</v>
      </c>
      <c r="DC227" s="664"/>
      <c r="DF227" s="668" t="s">
        <v>114</v>
      </c>
      <c r="DG227" s="666">
        <f ca="1">DG202</f>
        <v>0</v>
      </c>
      <c r="DO227" s="664"/>
    </row>
    <row r="228" spans="2:119" hidden="1" x14ac:dyDescent="0.25">
      <c r="B228" s="668" t="s">
        <v>115</v>
      </c>
      <c r="C228" s="895">
        <f ca="1">IF($P$29=0,0,C202/$P$29)</f>
        <v>0</v>
      </c>
      <c r="K228" s="664"/>
      <c r="N228" s="668" t="s">
        <v>115</v>
      </c>
      <c r="O228" s="895">
        <f ca="1">IF($P$29=0,0,O202/$P$29)</f>
        <v>0</v>
      </c>
      <c r="U228" s="663"/>
      <c r="W228" s="664"/>
      <c r="Z228" s="668" t="s">
        <v>115</v>
      </c>
      <c r="AA228" s="895">
        <f ca="1">IF($P$29=0,0,AA202/$P$29)</f>
        <v>0</v>
      </c>
      <c r="AB228" s="663"/>
      <c r="AC228" s="663"/>
      <c r="AD228" s="663"/>
      <c r="AE228" s="663"/>
      <c r="AF228" s="663"/>
      <c r="AG228" s="663"/>
      <c r="AH228" s="663"/>
      <c r="AI228" s="664"/>
      <c r="AL228" s="668" t="s">
        <v>115</v>
      </c>
      <c r="AM228" s="895">
        <f ca="1">IF($P$29=0,0,AM202/$P$29)</f>
        <v>0</v>
      </c>
      <c r="AN228" s="663"/>
      <c r="AU228" s="664"/>
      <c r="AX228" s="668" t="s">
        <v>115</v>
      </c>
      <c r="AY228" s="895">
        <f ca="1">IF($P$29=0,0,AY202/$P$29)</f>
        <v>0</v>
      </c>
      <c r="BG228" s="664"/>
      <c r="BJ228" s="668" t="s">
        <v>115</v>
      </c>
      <c r="BK228" s="895">
        <f ca="1">IF($P$29=0,0,BK202/$P$29)</f>
        <v>0</v>
      </c>
      <c r="BS228" s="664"/>
      <c r="BV228" s="668" t="s">
        <v>115</v>
      </c>
      <c r="BW228" s="895">
        <f ca="1">IF($P$29=0,0,BW202/$P$29)</f>
        <v>0</v>
      </c>
      <c r="CE228" s="664"/>
      <c r="CH228" s="668" t="s">
        <v>115</v>
      </c>
      <c r="CI228" s="895">
        <f ca="1">IF($P$29=0,0,CI202/$P$29)</f>
        <v>0</v>
      </c>
      <c r="CQ228" s="664"/>
      <c r="CT228" s="668" t="s">
        <v>115</v>
      </c>
      <c r="CU228" s="895">
        <f ca="1">IF($P$29=0,0,CU202/$P$29)</f>
        <v>0</v>
      </c>
      <c r="DC228" s="664"/>
      <c r="DF228" s="668" t="s">
        <v>115</v>
      </c>
      <c r="DG228" s="895">
        <f ca="1">IF($P$29=0,0,DG202/$P$29)</f>
        <v>0</v>
      </c>
      <c r="DO228" s="664"/>
    </row>
    <row r="229" spans="2:119" hidden="1" x14ac:dyDescent="0.25">
      <c r="B229" s="896">
        <f>$F$5</f>
        <v>39113</v>
      </c>
      <c r="C229" s="897">
        <f>-$F$29</f>
        <v>-1000000</v>
      </c>
      <c r="K229" s="664"/>
      <c r="N229" s="896">
        <f>$F$5</f>
        <v>39113</v>
      </c>
      <c r="O229" s="897">
        <f>-$F$29</f>
        <v>-1000000</v>
      </c>
      <c r="U229" s="663"/>
      <c r="W229" s="664"/>
      <c r="Z229" s="896">
        <f>$F$5</f>
        <v>39113</v>
      </c>
      <c r="AA229" s="897">
        <f>-$F$29</f>
        <v>-1000000</v>
      </c>
      <c r="AB229" s="663"/>
      <c r="AC229" s="663"/>
      <c r="AD229" s="663"/>
      <c r="AE229" s="663"/>
      <c r="AF229" s="663"/>
      <c r="AG229" s="663"/>
      <c r="AH229" s="663"/>
      <c r="AI229" s="664"/>
      <c r="AL229" s="896">
        <f>$F$5</f>
        <v>39113</v>
      </c>
      <c r="AM229" s="897">
        <f>-$F$29</f>
        <v>-1000000</v>
      </c>
      <c r="AN229" s="663"/>
      <c r="AU229" s="664"/>
      <c r="AX229" s="896">
        <f>$F$5</f>
        <v>39113</v>
      </c>
      <c r="AY229" s="897">
        <f>-$F$29</f>
        <v>-1000000</v>
      </c>
      <c r="BG229" s="664"/>
      <c r="BJ229" s="896">
        <f>$F$5</f>
        <v>39113</v>
      </c>
      <c r="BK229" s="897">
        <f>-$F$29</f>
        <v>-1000000</v>
      </c>
      <c r="BS229" s="664"/>
      <c r="BV229" s="896">
        <f>$F$5</f>
        <v>39113</v>
      </c>
      <c r="BW229" s="897">
        <f>-$F$29</f>
        <v>-1000000</v>
      </c>
      <c r="CE229" s="664"/>
      <c r="CH229" s="896">
        <f>$F$5</f>
        <v>39113</v>
      </c>
      <c r="CI229" s="897">
        <f>-$F$29</f>
        <v>-1000000</v>
      </c>
      <c r="CQ229" s="664"/>
      <c r="CT229" s="896">
        <f>$F$5</f>
        <v>39113</v>
      </c>
      <c r="CU229" s="897">
        <f>-$F$29</f>
        <v>-1000000</v>
      </c>
      <c r="DC229" s="664"/>
      <c r="DF229" s="896">
        <f>$F$5</f>
        <v>39113</v>
      </c>
      <c r="DG229" s="897">
        <f>-$F$29</f>
        <v>-1000000</v>
      </c>
      <c r="DO229" s="664"/>
    </row>
    <row r="230" spans="2:119" hidden="1" x14ac:dyDescent="0.25">
      <c r="B230" s="896">
        <f>$G$5</f>
        <v>39478</v>
      </c>
      <c r="C230" s="897">
        <f>-$G$29</f>
        <v>-2000000</v>
      </c>
      <c r="K230" s="664"/>
      <c r="N230" s="896">
        <f>$G$5</f>
        <v>39478</v>
      </c>
      <c r="O230" s="897">
        <f>-$G$29</f>
        <v>-2000000</v>
      </c>
      <c r="U230" s="663"/>
      <c r="W230" s="664"/>
      <c r="Z230" s="896">
        <f>$G$5</f>
        <v>39478</v>
      </c>
      <c r="AA230" s="897">
        <f>-$G$29</f>
        <v>-2000000</v>
      </c>
      <c r="AB230" s="663"/>
      <c r="AC230" s="663"/>
      <c r="AD230" s="663"/>
      <c r="AE230" s="663"/>
      <c r="AF230" s="663"/>
      <c r="AG230" s="663"/>
      <c r="AH230" s="663"/>
      <c r="AI230" s="664"/>
      <c r="AL230" s="896">
        <f>$G$5</f>
        <v>39478</v>
      </c>
      <c r="AM230" s="897">
        <f>-$G$29</f>
        <v>-2000000</v>
      </c>
      <c r="AN230" s="663"/>
      <c r="AU230" s="664"/>
      <c r="AX230" s="896">
        <f>$G$5</f>
        <v>39478</v>
      </c>
      <c r="AY230" s="897">
        <f>-$G$29</f>
        <v>-2000000</v>
      </c>
      <c r="BG230" s="664"/>
      <c r="BJ230" s="896">
        <f>$G$5</f>
        <v>39478</v>
      </c>
      <c r="BK230" s="897">
        <f>-$G$29</f>
        <v>-2000000</v>
      </c>
      <c r="BS230" s="664"/>
      <c r="BV230" s="896">
        <f>$G$5</f>
        <v>39478</v>
      </c>
      <c r="BW230" s="897">
        <f>-$G$29</f>
        <v>-2000000</v>
      </c>
      <c r="CE230" s="664"/>
      <c r="CH230" s="896">
        <f>$G$5</f>
        <v>39478</v>
      </c>
      <c r="CI230" s="897">
        <f>-$G$29</f>
        <v>-2000000</v>
      </c>
      <c r="CQ230" s="664"/>
      <c r="CT230" s="896">
        <f>$G$5</f>
        <v>39478</v>
      </c>
      <c r="CU230" s="897">
        <f>-$G$29</f>
        <v>-2000000</v>
      </c>
      <c r="DC230" s="664"/>
      <c r="DF230" s="896">
        <f>$G$5</f>
        <v>39478</v>
      </c>
      <c r="DG230" s="897">
        <f>-$G$29</f>
        <v>-2000000</v>
      </c>
      <c r="DO230" s="664"/>
    </row>
    <row r="231" spans="2:119" hidden="1" x14ac:dyDescent="0.25">
      <c r="B231" s="896">
        <f>$H$5</f>
        <v>39843</v>
      </c>
      <c r="C231" s="897">
        <f>-$H$29</f>
        <v>0</v>
      </c>
      <c r="K231" s="664"/>
      <c r="N231" s="896">
        <f>$H$5</f>
        <v>39843</v>
      </c>
      <c r="O231" s="897">
        <f>-$H$29</f>
        <v>0</v>
      </c>
      <c r="U231" s="663"/>
      <c r="W231" s="664"/>
      <c r="Z231" s="896">
        <f>$H$5</f>
        <v>39843</v>
      </c>
      <c r="AA231" s="897">
        <f>-$H$29</f>
        <v>0</v>
      </c>
      <c r="AB231" s="663"/>
      <c r="AC231" s="663"/>
      <c r="AD231" s="663"/>
      <c r="AE231" s="663"/>
      <c r="AF231" s="663"/>
      <c r="AG231" s="663"/>
      <c r="AH231" s="663"/>
      <c r="AI231" s="664"/>
      <c r="AL231" s="896">
        <f>$H$5</f>
        <v>39843</v>
      </c>
      <c r="AM231" s="897">
        <f>-$H$29</f>
        <v>0</v>
      </c>
      <c r="AN231" s="663"/>
      <c r="AU231" s="664"/>
      <c r="AX231" s="896">
        <f>$H$5</f>
        <v>39843</v>
      </c>
      <c r="AY231" s="897">
        <f>-$H$29</f>
        <v>0</v>
      </c>
      <c r="BG231" s="664"/>
      <c r="BJ231" s="896">
        <f>$H$5</f>
        <v>39843</v>
      </c>
      <c r="BK231" s="897">
        <f>-$H$29</f>
        <v>0</v>
      </c>
      <c r="BS231" s="664"/>
      <c r="BV231" s="896">
        <f>$H$5</f>
        <v>39843</v>
      </c>
      <c r="BW231" s="897">
        <f>-$H$29</f>
        <v>0</v>
      </c>
      <c r="CE231" s="664"/>
      <c r="CH231" s="896">
        <f>$H$5</f>
        <v>39843</v>
      </c>
      <c r="CI231" s="897">
        <f>-$H$29</f>
        <v>0</v>
      </c>
      <c r="CQ231" s="664"/>
      <c r="CT231" s="896">
        <f>$H$5</f>
        <v>39843</v>
      </c>
      <c r="CU231" s="897">
        <f>-$H$29</f>
        <v>0</v>
      </c>
      <c r="DC231" s="664"/>
      <c r="DF231" s="896">
        <f>$H$5</f>
        <v>39843</v>
      </c>
      <c r="DG231" s="897">
        <f>-$H$29</f>
        <v>0</v>
      </c>
      <c r="DO231" s="664"/>
    </row>
    <row r="232" spans="2:119" hidden="1" x14ac:dyDescent="0.25">
      <c r="B232" s="896">
        <f>$I$5</f>
        <v>39843</v>
      </c>
      <c r="C232" s="897">
        <f>-$I$29</f>
        <v>0</v>
      </c>
      <c r="K232" s="664"/>
      <c r="N232" s="896">
        <f>$I$5</f>
        <v>39843</v>
      </c>
      <c r="O232" s="897">
        <f>-$I$29</f>
        <v>0</v>
      </c>
      <c r="U232" s="663"/>
      <c r="W232" s="664"/>
      <c r="Z232" s="896">
        <f>$I$5</f>
        <v>39843</v>
      </c>
      <c r="AA232" s="897">
        <f>-$I$29</f>
        <v>0</v>
      </c>
      <c r="AB232" s="663"/>
      <c r="AC232" s="663"/>
      <c r="AD232" s="663"/>
      <c r="AE232" s="663"/>
      <c r="AF232" s="663"/>
      <c r="AG232" s="663"/>
      <c r="AH232" s="663"/>
      <c r="AI232" s="664"/>
      <c r="AL232" s="896">
        <f>$I$5</f>
        <v>39843</v>
      </c>
      <c r="AM232" s="897">
        <f>-$I$29</f>
        <v>0</v>
      </c>
      <c r="AN232" s="663"/>
      <c r="AU232" s="664"/>
      <c r="AX232" s="896">
        <f>$I$5</f>
        <v>39843</v>
      </c>
      <c r="AY232" s="897">
        <f>-$I$29</f>
        <v>0</v>
      </c>
      <c r="BG232" s="664"/>
      <c r="BJ232" s="896">
        <f>$I$5</f>
        <v>39843</v>
      </c>
      <c r="BK232" s="897">
        <f>-$I$29</f>
        <v>0</v>
      </c>
      <c r="BS232" s="664"/>
      <c r="BV232" s="896">
        <f>$I$5</f>
        <v>39843</v>
      </c>
      <c r="BW232" s="897">
        <f>-$I$29</f>
        <v>0</v>
      </c>
      <c r="CE232" s="664"/>
      <c r="CH232" s="896">
        <f>$I$5</f>
        <v>39843</v>
      </c>
      <c r="CI232" s="897">
        <f>-$I$29</f>
        <v>0</v>
      </c>
      <c r="CQ232" s="664"/>
      <c r="CT232" s="896">
        <f>$I$5</f>
        <v>39843</v>
      </c>
      <c r="CU232" s="897">
        <f>-$I$29</f>
        <v>0</v>
      </c>
      <c r="DC232" s="664"/>
      <c r="DF232" s="896">
        <f>$I$5</f>
        <v>39843</v>
      </c>
      <c r="DG232" s="897">
        <f>-$I$29</f>
        <v>0</v>
      </c>
      <c r="DO232" s="664"/>
    </row>
    <row r="233" spans="2:119" hidden="1" x14ac:dyDescent="0.25">
      <c r="B233" s="896">
        <f>$J$5</f>
        <v>39843</v>
      </c>
      <c r="C233" s="897">
        <f>-$J$29</f>
        <v>0</v>
      </c>
      <c r="K233" s="664"/>
      <c r="N233" s="896">
        <f>$J$5</f>
        <v>39843</v>
      </c>
      <c r="O233" s="897">
        <f>-$J$29</f>
        <v>0</v>
      </c>
      <c r="U233" s="663"/>
      <c r="W233" s="664"/>
      <c r="Z233" s="896">
        <f>$J$5</f>
        <v>39843</v>
      </c>
      <c r="AA233" s="897">
        <f>-$J$29</f>
        <v>0</v>
      </c>
      <c r="AB233" s="663"/>
      <c r="AC233" s="663"/>
      <c r="AD233" s="663"/>
      <c r="AE233" s="663"/>
      <c r="AF233" s="663"/>
      <c r="AG233" s="663"/>
      <c r="AH233" s="663"/>
      <c r="AI233" s="664"/>
      <c r="AL233" s="896">
        <f>$J$5</f>
        <v>39843</v>
      </c>
      <c r="AM233" s="897">
        <f>-$J$29</f>
        <v>0</v>
      </c>
      <c r="AN233" s="663"/>
      <c r="AU233" s="664"/>
      <c r="AX233" s="896">
        <f>$J$5</f>
        <v>39843</v>
      </c>
      <c r="AY233" s="897">
        <f>-$J$29</f>
        <v>0</v>
      </c>
      <c r="BG233" s="664"/>
      <c r="BJ233" s="896">
        <f>$J$5</f>
        <v>39843</v>
      </c>
      <c r="BK233" s="897">
        <f>-$J$29</f>
        <v>0</v>
      </c>
      <c r="BS233" s="664"/>
      <c r="BV233" s="896">
        <f>$J$5</f>
        <v>39843</v>
      </c>
      <c r="BW233" s="897">
        <f>-$J$29</f>
        <v>0</v>
      </c>
      <c r="CE233" s="664"/>
      <c r="CH233" s="896">
        <f>$J$5</f>
        <v>39843</v>
      </c>
      <c r="CI233" s="897">
        <f>-$J$29</f>
        <v>0</v>
      </c>
      <c r="CQ233" s="664"/>
      <c r="CT233" s="896">
        <f>$J$5</f>
        <v>39843</v>
      </c>
      <c r="CU233" s="897">
        <f>-$J$29</f>
        <v>0</v>
      </c>
      <c r="DC233" s="664"/>
      <c r="DF233" s="896">
        <f>$J$5</f>
        <v>39843</v>
      </c>
      <c r="DG233" s="897">
        <f>-$J$29</f>
        <v>0</v>
      </c>
      <c r="DO233" s="664"/>
    </row>
    <row r="234" spans="2:119" hidden="1" x14ac:dyDescent="0.25">
      <c r="B234" s="896">
        <f>$K$5</f>
        <v>39843</v>
      </c>
      <c r="C234" s="897">
        <f>-$K$29</f>
        <v>0</v>
      </c>
      <c r="K234" s="664"/>
      <c r="N234" s="896">
        <f>$K$5</f>
        <v>39843</v>
      </c>
      <c r="O234" s="897">
        <f>-$K$29</f>
        <v>0</v>
      </c>
      <c r="U234" s="663"/>
      <c r="W234" s="664"/>
      <c r="Z234" s="896">
        <f>$K$5</f>
        <v>39843</v>
      </c>
      <c r="AA234" s="897">
        <f>-$K$29</f>
        <v>0</v>
      </c>
      <c r="AB234" s="663"/>
      <c r="AC234" s="663"/>
      <c r="AD234" s="663"/>
      <c r="AE234" s="663"/>
      <c r="AF234" s="663"/>
      <c r="AG234" s="663"/>
      <c r="AH234" s="663"/>
      <c r="AI234" s="664"/>
      <c r="AL234" s="896">
        <f>$K$5</f>
        <v>39843</v>
      </c>
      <c r="AM234" s="897">
        <f>-$K$29</f>
        <v>0</v>
      </c>
      <c r="AN234" s="663"/>
      <c r="AU234" s="664"/>
      <c r="AX234" s="896">
        <f>$K$5</f>
        <v>39843</v>
      </c>
      <c r="AY234" s="897">
        <f>-$K$29</f>
        <v>0</v>
      </c>
      <c r="BG234" s="664"/>
      <c r="BJ234" s="896">
        <f>$K$5</f>
        <v>39843</v>
      </c>
      <c r="BK234" s="897">
        <f>-$K$29</f>
        <v>0</v>
      </c>
      <c r="BS234" s="664"/>
      <c r="BV234" s="896">
        <f>$K$5</f>
        <v>39843</v>
      </c>
      <c r="BW234" s="897">
        <f>-$K$29</f>
        <v>0</v>
      </c>
      <c r="CE234" s="664"/>
      <c r="CH234" s="896">
        <f>$K$5</f>
        <v>39843</v>
      </c>
      <c r="CI234" s="897">
        <f>-$K$29</f>
        <v>0</v>
      </c>
      <c r="CQ234" s="664"/>
      <c r="CT234" s="896">
        <f>$K$5</f>
        <v>39843</v>
      </c>
      <c r="CU234" s="897">
        <f>-$K$29</f>
        <v>0</v>
      </c>
      <c r="DC234" s="664"/>
      <c r="DF234" s="896">
        <f>$K$5</f>
        <v>39843</v>
      </c>
      <c r="DG234" s="897">
        <f>-$K$29</f>
        <v>0</v>
      </c>
      <c r="DO234" s="664"/>
    </row>
    <row r="235" spans="2:119" hidden="1" x14ac:dyDescent="0.25">
      <c r="B235" s="896">
        <f>$L$5</f>
        <v>39843</v>
      </c>
      <c r="C235" s="897">
        <f>-$L$29</f>
        <v>0</v>
      </c>
      <c r="K235" s="664"/>
      <c r="N235" s="896">
        <f>$L$5</f>
        <v>39843</v>
      </c>
      <c r="O235" s="897">
        <f>-$L$29</f>
        <v>0</v>
      </c>
      <c r="U235" s="663"/>
      <c r="W235" s="664"/>
      <c r="Z235" s="896">
        <f>$L$5</f>
        <v>39843</v>
      </c>
      <c r="AA235" s="897">
        <f>-$L$29</f>
        <v>0</v>
      </c>
      <c r="AB235" s="663"/>
      <c r="AC235" s="663"/>
      <c r="AD235" s="663"/>
      <c r="AE235" s="663"/>
      <c r="AF235" s="663"/>
      <c r="AG235" s="663"/>
      <c r="AH235" s="663"/>
      <c r="AI235" s="664"/>
      <c r="AL235" s="896">
        <f>$L$5</f>
        <v>39843</v>
      </c>
      <c r="AM235" s="897">
        <f>-$L$29</f>
        <v>0</v>
      </c>
      <c r="AN235" s="663"/>
      <c r="AU235" s="664"/>
      <c r="AX235" s="896">
        <f>$L$5</f>
        <v>39843</v>
      </c>
      <c r="AY235" s="897">
        <f>-$L$29</f>
        <v>0</v>
      </c>
      <c r="BG235" s="664"/>
      <c r="BJ235" s="896">
        <f>$L$5</f>
        <v>39843</v>
      </c>
      <c r="BK235" s="897">
        <f>-$L$29</f>
        <v>0</v>
      </c>
      <c r="BS235" s="664"/>
      <c r="BV235" s="896">
        <f>$L$5</f>
        <v>39843</v>
      </c>
      <c r="BW235" s="897">
        <f>-$L$29</f>
        <v>0</v>
      </c>
      <c r="CE235" s="664"/>
      <c r="CH235" s="896">
        <f>$L$5</f>
        <v>39843</v>
      </c>
      <c r="CI235" s="897">
        <f>-$L$29</f>
        <v>0</v>
      </c>
      <c r="CQ235" s="664"/>
      <c r="CT235" s="896">
        <f>$L$5</f>
        <v>39843</v>
      </c>
      <c r="CU235" s="897">
        <f>-$L$29</f>
        <v>0</v>
      </c>
      <c r="DC235" s="664"/>
      <c r="DF235" s="896">
        <f>$L$5</f>
        <v>39843</v>
      </c>
      <c r="DG235" s="897">
        <f>-$L$29</f>
        <v>0</v>
      </c>
      <c r="DO235" s="664"/>
    </row>
    <row r="236" spans="2:119" hidden="1" x14ac:dyDescent="0.25">
      <c r="B236" s="896">
        <f>$M$5</f>
        <v>39843</v>
      </c>
      <c r="C236" s="897">
        <f>-$M$29</f>
        <v>0</v>
      </c>
      <c r="K236" s="664"/>
      <c r="N236" s="896">
        <f>$M$5</f>
        <v>39843</v>
      </c>
      <c r="O236" s="897">
        <f>-$M$29</f>
        <v>0</v>
      </c>
      <c r="U236" s="663"/>
      <c r="W236" s="664"/>
      <c r="Z236" s="896">
        <f>$M$5</f>
        <v>39843</v>
      </c>
      <c r="AA236" s="897">
        <f>-$M$29</f>
        <v>0</v>
      </c>
      <c r="AB236" s="663"/>
      <c r="AC236" s="663"/>
      <c r="AD236" s="663"/>
      <c r="AE236" s="663"/>
      <c r="AF236" s="663"/>
      <c r="AG236" s="663"/>
      <c r="AH236" s="663"/>
      <c r="AI236" s="664"/>
      <c r="AL236" s="896">
        <f>$M$5</f>
        <v>39843</v>
      </c>
      <c r="AM236" s="897">
        <f>-$M$29</f>
        <v>0</v>
      </c>
      <c r="AN236" s="663"/>
      <c r="AU236" s="664"/>
      <c r="AX236" s="896">
        <f>$M$5</f>
        <v>39843</v>
      </c>
      <c r="AY236" s="897">
        <f>-$M$29</f>
        <v>0</v>
      </c>
      <c r="BG236" s="664"/>
      <c r="BJ236" s="896">
        <f>$M$5</f>
        <v>39843</v>
      </c>
      <c r="BK236" s="897">
        <f>-$M$29</f>
        <v>0</v>
      </c>
      <c r="BS236" s="664"/>
      <c r="BV236" s="896">
        <f>$M$5</f>
        <v>39843</v>
      </c>
      <c r="BW236" s="897">
        <f>-$M$29</f>
        <v>0</v>
      </c>
      <c r="CE236" s="664"/>
      <c r="CH236" s="896">
        <f>$M$5</f>
        <v>39843</v>
      </c>
      <c r="CI236" s="897">
        <f>-$M$29</f>
        <v>0</v>
      </c>
      <c r="CQ236" s="664"/>
      <c r="CT236" s="896">
        <f>$M$5</f>
        <v>39843</v>
      </c>
      <c r="CU236" s="897">
        <f>-$M$29</f>
        <v>0</v>
      </c>
      <c r="DC236" s="664"/>
      <c r="DF236" s="896">
        <f>$M$5</f>
        <v>39843</v>
      </c>
      <c r="DG236" s="897">
        <f>-$M$29</f>
        <v>0</v>
      </c>
      <c r="DO236" s="664"/>
    </row>
    <row r="237" spans="2:119" hidden="1" x14ac:dyDescent="0.25">
      <c r="B237" s="896">
        <f>$N$5</f>
        <v>39843</v>
      </c>
      <c r="C237" s="897">
        <f>-$N$29</f>
        <v>0</v>
      </c>
      <c r="K237" s="664"/>
      <c r="N237" s="896">
        <f>$N$5</f>
        <v>39843</v>
      </c>
      <c r="O237" s="897">
        <f>-$N$29</f>
        <v>0</v>
      </c>
      <c r="U237" s="663"/>
      <c r="W237" s="664"/>
      <c r="Z237" s="896">
        <f>$N$5</f>
        <v>39843</v>
      </c>
      <c r="AA237" s="897">
        <f>-$N$29</f>
        <v>0</v>
      </c>
      <c r="AB237" s="663"/>
      <c r="AC237" s="663"/>
      <c r="AD237" s="663"/>
      <c r="AE237" s="663"/>
      <c r="AF237" s="663"/>
      <c r="AG237" s="663"/>
      <c r="AH237" s="663"/>
      <c r="AI237" s="664"/>
      <c r="AL237" s="896">
        <f>$N$5</f>
        <v>39843</v>
      </c>
      <c r="AM237" s="897">
        <f>-$N$29</f>
        <v>0</v>
      </c>
      <c r="AN237" s="663"/>
      <c r="AU237" s="664"/>
      <c r="AX237" s="896">
        <f>$N$5</f>
        <v>39843</v>
      </c>
      <c r="AY237" s="897">
        <f>-$N$29</f>
        <v>0</v>
      </c>
      <c r="BG237" s="664"/>
      <c r="BJ237" s="896">
        <f>$N$5</f>
        <v>39843</v>
      </c>
      <c r="BK237" s="897">
        <f>-$N$29</f>
        <v>0</v>
      </c>
      <c r="BS237" s="664"/>
      <c r="BV237" s="896">
        <f>$N$5</f>
        <v>39843</v>
      </c>
      <c r="BW237" s="897">
        <f>-$N$29</f>
        <v>0</v>
      </c>
      <c r="CE237" s="664"/>
      <c r="CH237" s="896">
        <f>$N$5</f>
        <v>39843</v>
      </c>
      <c r="CI237" s="897">
        <f>-$N$29</f>
        <v>0</v>
      </c>
      <c r="CQ237" s="664"/>
      <c r="CT237" s="896">
        <f>$N$5</f>
        <v>39843</v>
      </c>
      <c r="CU237" s="897">
        <f>-$N$29</f>
        <v>0</v>
      </c>
      <c r="DC237" s="664"/>
      <c r="DF237" s="896">
        <f>$N$5</f>
        <v>39843</v>
      </c>
      <c r="DG237" s="897">
        <f>-$N$29</f>
        <v>0</v>
      </c>
      <c r="DO237" s="664"/>
    </row>
    <row r="238" spans="2:119" hidden="1" x14ac:dyDescent="0.25">
      <c r="B238" s="896">
        <f>$O$5</f>
        <v>39843</v>
      </c>
      <c r="C238" s="897">
        <f>-$O$29</f>
        <v>0</v>
      </c>
      <c r="K238" s="664"/>
      <c r="N238" s="896">
        <f>$O$5</f>
        <v>39843</v>
      </c>
      <c r="O238" s="897">
        <f>-$O$29</f>
        <v>0</v>
      </c>
      <c r="U238" s="663"/>
      <c r="W238" s="664"/>
      <c r="Z238" s="896">
        <f>$O$5</f>
        <v>39843</v>
      </c>
      <c r="AA238" s="897">
        <f>-$O$29</f>
        <v>0</v>
      </c>
      <c r="AB238" s="663"/>
      <c r="AC238" s="663"/>
      <c r="AD238" s="663"/>
      <c r="AE238" s="663"/>
      <c r="AF238" s="663"/>
      <c r="AG238" s="663"/>
      <c r="AH238" s="663"/>
      <c r="AI238" s="664"/>
      <c r="AL238" s="896">
        <f>$O$5</f>
        <v>39843</v>
      </c>
      <c r="AM238" s="897">
        <f>-$O$29</f>
        <v>0</v>
      </c>
      <c r="AN238" s="663"/>
      <c r="AU238" s="664"/>
      <c r="AX238" s="896">
        <f>$O$5</f>
        <v>39843</v>
      </c>
      <c r="AY238" s="897">
        <f>-$O$29</f>
        <v>0</v>
      </c>
      <c r="BG238" s="664"/>
      <c r="BJ238" s="896">
        <f>$O$5</f>
        <v>39843</v>
      </c>
      <c r="BK238" s="897">
        <f>-$O$29</f>
        <v>0</v>
      </c>
      <c r="BS238" s="664"/>
      <c r="BV238" s="896">
        <f>$O$5</f>
        <v>39843</v>
      </c>
      <c r="BW238" s="897">
        <f>-$O$29</f>
        <v>0</v>
      </c>
      <c r="CE238" s="664"/>
      <c r="CH238" s="896">
        <f>$O$5</f>
        <v>39843</v>
      </c>
      <c r="CI238" s="897">
        <f>-$O$29</f>
        <v>0</v>
      </c>
      <c r="CQ238" s="664"/>
      <c r="CT238" s="896">
        <f>$O$5</f>
        <v>39843</v>
      </c>
      <c r="CU238" s="897">
        <f>-$O$29</f>
        <v>0</v>
      </c>
      <c r="DC238" s="664"/>
      <c r="DF238" s="896">
        <f>$O$5</f>
        <v>39843</v>
      </c>
      <c r="DG238" s="897">
        <f>-$O$29</f>
        <v>0</v>
      </c>
      <c r="DO238" s="664"/>
    </row>
    <row r="239" spans="2:119" hidden="1" x14ac:dyDescent="0.25">
      <c r="B239" s="896">
        <f>$C$55</f>
        <v>40999</v>
      </c>
      <c r="C239" s="897">
        <f ca="1">C227</f>
        <v>0</v>
      </c>
      <c r="K239" s="664"/>
      <c r="N239" s="896">
        <f>$C$55</f>
        <v>40999</v>
      </c>
      <c r="O239" s="897">
        <f ca="1">O227</f>
        <v>0</v>
      </c>
      <c r="U239" s="663"/>
      <c r="W239" s="664"/>
      <c r="Z239" s="896">
        <f>$C$55</f>
        <v>40999</v>
      </c>
      <c r="AA239" s="897">
        <f ca="1">AA227</f>
        <v>0</v>
      </c>
      <c r="AB239" s="663"/>
      <c r="AC239" s="663"/>
      <c r="AD239" s="663"/>
      <c r="AE239" s="663"/>
      <c r="AF239" s="663"/>
      <c r="AG239" s="663"/>
      <c r="AH239" s="663"/>
      <c r="AI239" s="664"/>
      <c r="AL239" s="896">
        <f>$C$55</f>
        <v>40999</v>
      </c>
      <c r="AM239" s="897">
        <f ca="1">AM227</f>
        <v>0</v>
      </c>
      <c r="AN239" s="663"/>
      <c r="AU239" s="664"/>
      <c r="AX239" s="896">
        <f>$C$55</f>
        <v>40999</v>
      </c>
      <c r="AY239" s="897">
        <f ca="1">AY227</f>
        <v>0</v>
      </c>
      <c r="BG239" s="664"/>
      <c r="BJ239" s="896">
        <f>$C$55</f>
        <v>40999</v>
      </c>
      <c r="BK239" s="897">
        <f ca="1">BK227</f>
        <v>0</v>
      </c>
      <c r="BS239" s="664"/>
      <c r="BV239" s="896">
        <f>$C$55</f>
        <v>40999</v>
      </c>
      <c r="BW239" s="897">
        <f ca="1">BW227</f>
        <v>0</v>
      </c>
      <c r="CE239" s="664"/>
      <c r="CH239" s="896">
        <f>$C$55</f>
        <v>40999</v>
      </c>
      <c r="CI239" s="897">
        <f ca="1">CI227</f>
        <v>0</v>
      </c>
      <c r="CQ239" s="664"/>
      <c r="CT239" s="896">
        <f>$C$55</f>
        <v>40999</v>
      </c>
      <c r="CU239" s="897">
        <f ca="1">CU227</f>
        <v>0</v>
      </c>
      <c r="DC239" s="664"/>
      <c r="DF239" s="896">
        <f>$C$55</f>
        <v>40999</v>
      </c>
      <c r="DG239" s="897">
        <f ca="1">DG227</f>
        <v>0</v>
      </c>
      <c r="DO239" s="664"/>
    </row>
    <row r="240" spans="2:119" hidden="1" x14ac:dyDescent="0.25">
      <c r="B240" s="898">
        <f>IF(C229&lt;&gt;0,ROW(C229),IF(C230&lt;&gt;0,ROW(C230),IF(C231&lt;&gt;0,ROW(C231),IF(C232&lt;&gt;0,ROW(C232),IF(C233&lt;&gt;0,ROW(C233),IF(C234&lt;&gt;0,ROW(C234),IF(C235&lt;&gt;0,ROW(C235),IF(C236&lt;&gt;0,ROW(C236),IF(C237&lt;&gt;0,ROW(C237),IF(C238&lt;&gt;0,ROW(C238)))))))))))</f>
        <v>229</v>
      </c>
      <c r="C240" s="882" t="e">
        <f ca="1">IF(ISERROR(XIRR(INDIRECT(B242):C239,INDIRECT(B241):B239,-20%)),XIRR(INDIRECT(B242):C239,INDIRECT(B241):B239,20%),"N/A")</f>
        <v>#NUM!</v>
      </c>
      <c r="K240" s="664"/>
      <c r="N240" s="898">
        <f>IF(O229&lt;&gt;0,ROW(O229),IF(O230&lt;&gt;0,ROW(O230),IF(O231&lt;&gt;0,ROW(O231),IF(O232&lt;&gt;0,ROW(O232),IF(O233&lt;&gt;0,ROW(O233),IF(O234&lt;&gt;0,ROW(O234),IF(O235&lt;&gt;0,ROW(O235),IF(O236&lt;&gt;0,ROW(O236),IF(O237&lt;&gt;0,ROW(O237),IF(O238&lt;&gt;0,ROW(O238)))))))))))</f>
        <v>229</v>
      </c>
      <c r="O240" s="882" t="e">
        <f ca="1">IF(ISERROR(XIRR(INDIRECT(N242):O239,INDIRECT(N241):N239,-20%)),XIRR(INDIRECT(N242):O239,INDIRECT(N241):N239,20%),"N/A")</f>
        <v>#NUM!</v>
      </c>
      <c r="U240" s="663"/>
      <c r="W240" s="664"/>
      <c r="Z240" s="898">
        <f>IF(AA229&lt;&gt;0,ROW(AA229),IF(AA230&lt;&gt;0,ROW(AA230),IF(AA231&lt;&gt;0,ROW(AA231),IF(AA232&lt;&gt;0,ROW(AA232),IF(AA233&lt;&gt;0,ROW(AA233),IF(AA234&lt;&gt;0,ROW(AA234),IF(AA235&lt;&gt;0,ROW(AA235),IF(AA236&lt;&gt;0,ROW(AA236),IF(AA237&lt;&gt;0,ROW(AA237),IF(AA238&lt;&gt;0,ROW(AA238)))))))))))</f>
        <v>229</v>
      </c>
      <c r="AA240" s="882" t="e">
        <f ca="1">IF(ISERROR(XIRR(INDIRECT(Z242):AA239,INDIRECT(Z241):Z239,-20%)),XIRR(INDIRECT(Z242):AA239,INDIRECT(Z241):Z239,20%),"N/A")</f>
        <v>#NUM!</v>
      </c>
      <c r="AB240" s="663"/>
      <c r="AC240" s="663"/>
      <c r="AD240" s="663"/>
      <c r="AE240" s="663"/>
      <c r="AF240" s="663"/>
      <c r="AG240" s="663"/>
      <c r="AH240" s="663"/>
      <c r="AI240" s="664"/>
      <c r="AL240" s="898">
        <f>IF(AM229&lt;&gt;0,ROW(AM229),IF(AM230&lt;&gt;0,ROW(AM230),IF(AM231&lt;&gt;0,ROW(AM231),IF(AM232&lt;&gt;0,ROW(AM232),IF(AM233&lt;&gt;0,ROW(AM233),IF(AM234&lt;&gt;0,ROW(AM234),IF(AM235&lt;&gt;0,ROW(AM235),IF(AM236&lt;&gt;0,ROW(AM236),IF(AM237&lt;&gt;0,ROW(AM237),IF(AM238&lt;&gt;0,ROW(AM238)))))))))))</f>
        <v>229</v>
      </c>
      <c r="AM240" s="882" t="e">
        <f ca="1">IF(ISERROR(XIRR(INDIRECT(AL242):AM239,INDIRECT(AL241):AL239,-20%)),XIRR(INDIRECT(AL242):AM239,INDIRECT(AL241):AL239,20%),"N/A")</f>
        <v>#NUM!</v>
      </c>
      <c r="AN240" s="663"/>
      <c r="AU240" s="664"/>
      <c r="AX240" s="898">
        <f>IF(AY229&lt;&gt;0,ROW(AY229),IF(AY230&lt;&gt;0,ROW(AY230),IF(AY231&lt;&gt;0,ROW(AY231),IF(AY232&lt;&gt;0,ROW(AY232),IF(AY233&lt;&gt;0,ROW(AY233),IF(AY234&lt;&gt;0,ROW(AY234),IF(AY235&lt;&gt;0,ROW(AY235),IF(AY236&lt;&gt;0,ROW(AY236),IF(AY237&lt;&gt;0,ROW(AY237),IF(AY238&lt;&gt;0,ROW(AY238)))))))))))</f>
        <v>229</v>
      </c>
      <c r="AY240" s="882" t="e">
        <f ca="1">IF(ISERROR(XIRR(INDIRECT(AX242):AY239,INDIRECT(AX241):AX239,-20%)),XIRR(INDIRECT(AX242):AY239,INDIRECT(AX241):AX239,20%),"N/A")</f>
        <v>#NUM!</v>
      </c>
      <c r="BG240" s="664"/>
      <c r="BJ240" s="898">
        <f>IF(BK229&lt;&gt;0,ROW(BK229),IF(BK230&lt;&gt;0,ROW(BK230),IF(BK231&lt;&gt;0,ROW(BK231),IF(BK232&lt;&gt;0,ROW(BK232),IF(BK233&lt;&gt;0,ROW(BK233),IF(BK234&lt;&gt;0,ROW(BK234),IF(BK235&lt;&gt;0,ROW(BK235),IF(BK236&lt;&gt;0,ROW(BK236),IF(BK237&lt;&gt;0,ROW(BK237),IF(BK238&lt;&gt;0,ROW(BK238)))))))))))</f>
        <v>229</v>
      </c>
      <c r="BK240" s="882" t="e">
        <f ca="1">IF(ISERROR(XIRR(INDIRECT(BJ242):BK239,INDIRECT(BJ241):BJ239,-20%)),XIRR(INDIRECT(BJ242):BK239,INDIRECT(BJ241):BJ239,20%),"N/A")</f>
        <v>#NUM!</v>
      </c>
      <c r="BS240" s="664"/>
      <c r="BV240" s="898">
        <f>IF(BW229&lt;&gt;0,ROW(BW229),IF(BW230&lt;&gt;0,ROW(BW230),IF(BW231&lt;&gt;0,ROW(BW231),IF(BW232&lt;&gt;0,ROW(BW232),IF(BW233&lt;&gt;0,ROW(BW233),IF(BW234&lt;&gt;0,ROW(BW234),IF(BW235&lt;&gt;0,ROW(BW235),IF(BW236&lt;&gt;0,ROW(BW236),IF(BW237&lt;&gt;0,ROW(BW237),IF(BW238&lt;&gt;0,ROW(BW238)))))))))))</f>
        <v>229</v>
      </c>
      <c r="BW240" s="882" t="e">
        <f ca="1">IF(ISERROR(XIRR(INDIRECT(BV242):BW239,INDIRECT(BV241):BV239,-20%)),XIRR(INDIRECT(BV242):BW239,INDIRECT(BV241):BV239,20%),"N/A")</f>
        <v>#NUM!</v>
      </c>
      <c r="CE240" s="664"/>
      <c r="CH240" s="898">
        <f>IF(CI229&lt;&gt;0,ROW(CI229),IF(CI230&lt;&gt;0,ROW(CI230),IF(CI231&lt;&gt;0,ROW(CI231),IF(CI232&lt;&gt;0,ROW(CI232),IF(CI233&lt;&gt;0,ROW(CI233),IF(CI234&lt;&gt;0,ROW(CI234),IF(CI235&lt;&gt;0,ROW(CI235),IF(CI236&lt;&gt;0,ROW(CI236),IF(CI237&lt;&gt;0,ROW(CI237),IF(CI238&lt;&gt;0,ROW(CI238)))))))))))</f>
        <v>229</v>
      </c>
      <c r="CI240" s="882" t="e">
        <f ca="1">IF(ISERROR(XIRR(INDIRECT(CH242):CI239,INDIRECT(CH241):CH239,-20%)),XIRR(INDIRECT(CH242):CI239,INDIRECT(CH241):CH239,20%),"N/A")</f>
        <v>#NUM!</v>
      </c>
      <c r="CQ240" s="664"/>
      <c r="CT240" s="898">
        <f>IF(CU229&lt;&gt;0,ROW(CU229),IF(CU230&lt;&gt;0,ROW(CU230),IF(CU231&lt;&gt;0,ROW(CU231),IF(CU232&lt;&gt;0,ROW(CU232),IF(CU233&lt;&gt;0,ROW(CU233),IF(CU234&lt;&gt;0,ROW(CU234),IF(CU235&lt;&gt;0,ROW(CU235),IF(CU236&lt;&gt;0,ROW(CU236),IF(CU237&lt;&gt;0,ROW(CU237),IF(CU238&lt;&gt;0,ROW(CU238)))))))))))</f>
        <v>229</v>
      </c>
      <c r="CU240" s="882" t="e">
        <f ca="1">IF(ISERROR(XIRR(INDIRECT(CT242):CU239,INDIRECT(CT241):CT239,-20%)),XIRR(INDIRECT(CT242):CU239,INDIRECT(CT241):CT239,20%),"N/A")</f>
        <v>#NUM!</v>
      </c>
      <c r="DC240" s="664"/>
      <c r="DF240" s="898">
        <f>IF(DG229&lt;&gt;0,ROW(DG229),IF(DG230&lt;&gt;0,ROW(DG230),IF(DG231&lt;&gt;0,ROW(DG231),IF(DG232&lt;&gt;0,ROW(DG232),IF(DG233&lt;&gt;0,ROW(DG233),IF(DG234&lt;&gt;0,ROW(DG234),IF(DG235&lt;&gt;0,ROW(DG235),IF(DG236&lt;&gt;0,ROW(DG236),IF(DG237&lt;&gt;0,ROW(DG237),IF(DG238&lt;&gt;0,ROW(DG238)))))))))))</f>
        <v>229</v>
      </c>
      <c r="DG240" s="882" t="e">
        <f ca="1">IF(ISERROR(XIRR(INDIRECT(DF242):DG239,INDIRECT(DF241):DF239,-20%)),XIRR(INDIRECT(DF242):DG239,INDIRECT(DF241):DF239,20%),"N/A")</f>
        <v>#NUM!</v>
      </c>
      <c r="DO240" s="664"/>
    </row>
    <row r="241" spans="2:119" hidden="1" x14ac:dyDescent="0.25">
      <c r="B241" s="899" t="str">
        <f>CONCATENATE(CHAR(64+COLUMN(B240)),B240)</f>
        <v>B229</v>
      </c>
      <c r="C241" s="897"/>
      <c r="K241" s="664"/>
      <c r="N241" s="899" t="str">
        <f>CONCATENATE(CHAR(64+COLUMN(N240)),N240)</f>
        <v>N229</v>
      </c>
      <c r="O241" s="897"/>
      <c r="U241" s="663"/>
      <c r="W241" s="664"/>
      <c r="Z241" s="899" t="str">
        <f>CONCATENATE(IF(COLUMN(Z240)&lt;=26,CHAR(96+COLUMN(Z240)),(CHAR(96+(ROUNDDOWN((COLUMN(Z240)-1)/26,0)))&amp;CHAR(96+IF(MOD(COLUMN(Z240),26)=0,26,MOD(COLUMN(Z240),26))))),Z240)</f>
        <v>z229</v>
      </c>
      <c r="AA241" s="897"/>
      <c r="AB241" s="663"/>
      <c r="AC241" s="663"/>
      <c r="AD241" s="663"/>
      <c r="AE241" s="663"/>
      <c r="AF241" s="663"/>
      <c r="AG241" s="663"/>
      <c r="AH241" s="663"/>
      <c r="AI241" s="664"/>
      <c r="AL241" s="899" t="str">
        <f>CONCATENATE(IF(COLUMN(AL240)&lt;=26,CHAR(96+COLUMN(AL240)),(CHAR(96+(ROUNDDOWN((COLUMN(AL240)-1)/26,0)))&amp;CHAR(96+IF(MOD(COLUMN(AL240),26)=0,26,MOD(COLUMN(AL240),26))))),AL240)</f>
        <v>al229</v>
      </c>
      <c r="AM241" s="897"/>
      <c r="AN241" s="663"/>
      <c r="AU241" s="664"/>
      <c r="AX241" s="899" t="str">
        <f>CONCATENATE(IF(COLUMN(AX240)&lt;=26,CHAR(96+COLUMN(AX240)),(CHAR(96+(ROUNDDOWN((COLUMN(AX240)-1)/26,0)))&amp;CHAR(96+IF(MOD(COLUMN(AX240),26)=0,26,MOD(COLUMN(AX240),26))))),AX240)</f>
        <v>ax229</v>
      </c>
      <c r="AY241" s="897"/>
      <c r="BG241" s="664"/>
      <c r="BJ241" s="899" t="str">
        <f>CONCATENATE(IF(COLUMN(BJ240)&lt;=26,CHAR(96+COLUMN(BJ240)),(CHAR(96+(ROUNDDOWN((COLUMN(BJ240)-1)/26,0)))&amp;CHAR(96+IF(MOD(COLUMN(BJ240),26)=0,26,MOD(COLUMN(BJ240),26))))),BJ240)</f>
        <v>bj229</v>
      </c>
      <c r="BK241" s="897"/>
      <c r="BS241" s="664"/>
      <c r="BV241" s="899" t="str">
        <f>CONCATENATE(IF(COLUMN(BV240)&lt;=26,CHAR(96+COLUMN(BV240)),(CHAR(96+(ROUNDDOWN((COLUMN(BV240)-1)/26,0)))&amp;CHAR(96+IF(MOD(COLUMN(BV240),26)=0,26,MOD(COLUMN(BV240),26))))),BV240)</f>
        <v>bv229</v>
      </c>
      <c r="BW241" s="897"/>
      <c r="CE241" s="664"/>
      <c r="CH241" s="899" t="str">
        <f>CONCATENATE(IF(COLUMN(CH240)&lt;=26,CHAR(96+COLUMN(CH240)),(CHAR(96+(ROUNDDOWN((COLUMN(CH240)-1)/26,0)))&amp;CHAR(96+IF(MOD(COLUMN(CH240),26)=0,26,MOD(COLUMN(CH240),26))))),CH240)</f>
        <v>ch229</v>
      </c>
      <c r="CI241" s="897"/>
      <c r="CQ241" s="664"/>
      <c r="CT241" s="899" t="str">
        <f>CONCATENATE(IF(COLUMN(CT240)&lt;=26,CHAR(96+COLUMN(CT240)),(CHAR(96+(ROUNDDOWN((COLUMN(CT240)-1)/26,0)))&amp;CHAR(96+IF(MOD(COLUMN(CT240),26)=0,26,MOD(COLUMN(CT240),26))))),CT240)</f>
        <v>ct229</v>
      </c>
      <c r="CU241" s="897"/>
      <c r="DC241" s="664"/>
      <c r="DF241" s="899" t="str">
        <f>CONCATENATE(IF(COLUMN(DF240)&lt;=26,CHAR(96+COLUMN(DF240)),(CHAR(96+(ROUNDDOWN((COLUMN(DF240)-1)/26,0)))&amp;CHAR(96+IF(MOD(COLUMN(DF240),26)=0,26,MOD(COLUMN(DF240),26))))),DF240)</f>
        <v>df229</v>
      </c>
      <c r="DG241" s="897"/>
      <c r="DO241" s="664"/>
    </row>
    <row r="242" spans="2:119" hidden="1" x14ac:dyDescent="0.25">
      <c r="B242" s="899" t="str">
        <f>CONCATENATE(CHAR(64+COLUMN(C240)),B240)</f>
        <v>C229</v>
      </c>
      <c r="C242" s="897"/>
      <c r="K242" s="664"/>
      <c r="N242" s="899" t="str">
        <f>CONCATENATE(CHAR(64+COLUMN(O240)),N240)</f>
        <v>O229</v>
      </c>
      <c r="O242" s="897"/>
      <c r="U242" s="663"/>
      <c r="W242" s="664"/>
      <c r="Z242" s="899" t="str">
        <f>CONCATENATE(IF(COLUMN(AA240)&lt;=26,CHAR(96+COLUMN(AA240)),(CHAR(96+(ROUNDDOWN((COLUMN(AA240)-1)/26,0)))&amp;CHAR(96+IF(MOD(COLUMN(AA240),26)=0,26,MOD(COLUMN(AA240),26))))),Z240)</f>
        <v>aa229</v>
      </c>
      <c r="AA242" s="897"/>
      <c r="AB242" s="663"/>
      <c r="AC242" s="663"/>
      <c r="AD242" s="663"/>
      <c r="AE242" s="663"/>
      <c r="AF242" s="663"/>
      <c r="AG242" s="663"/>
      <c r="AH242" s="663"/>
      <c r="AI242" s="664"/>
      <c r="AL242" s="899" t="str">
        <f>CONCATENATE(IF(COLUMN(AM240)&lt;=26,CHAR(96+COLUMN(AM240)),(CHAR(96+(ROUNDDOWN((COLUMN(AM240)-1)/26,0)))&amp;CHAR(96+IF(MOD(COLUMN(AM240),26)=0,26,MOD(COLUMN(AM240),26))))),AL240)</f>
        <v>am229</v>
      </c>
      <c r="AM242" s="897"/>
      <c r="AN242" s="663"/>
      <c r="AU242" s="664"/>
      <c r="AX242" s="899" t="str">
        <f>CONCATENATE(IF(COLUMN(AY240)&lt;=26,CHAR(96+COLUMN(AY240)),(CHAR(96+(ROUNDDOWN((COLUMN(AY240)-1)/26,0)))&amp;CHAR(96+IF(MOD(COLUMN(AY240),26)=0,26,MOD(COLUMN(AY240),26))))),AX240)</f>
        <v>ay229</v>
      </c>
      <c r="AY242" s="897"/>
      <c r="BG242" s="664"/>
      <c r="BJ242" s="899" t="str">
        <f>CONCATENATE(IF(COLUMN(BK240)&lt;=26,CHAR(96+COLUMN(BK240)),(CHAR(96+(ROUNDDOWN((COLUMN(BK240)-1)/26,0)))&amp;CHAR(96+IF(MOD(COLUMN(BK240),26)=0,26,MOD(COLUMN(BK240),26))))),BJ240)</f>
        <v>bk229</v>
      </c>
      <c r="BK242" s="897"/>
      <c r="BS242" s="664"/>
      <c r="BV242" s="899" t="str">
        <f>CONCATENATE(IF(COLUMN(BW240)&lt;=26,CHAR(96+COLUMN(BW240)),(CHAR(96+(ROUNDDOWN((COLUMN(BW240)-1)/26,0)))&amp;CHAR(96+IF(MOD(COLUMN(BW240),26)=0,26,MOD(COLUMN(BW240),26))))),BV240)</f>
        <v>bw229</v>
      </c>
      <c r="BW242" s="897"/>
      <c r="CE242" s="664"/>
      <c r="CH242" s="899" t="str">
        <f>CONCATENATE(IF(COLUMN(CI240)&lt;=26,CHAR(96+COLUMN(CI240)),(CHAR(96+(ROUNDDOWN((COLUMN(CI240)-1)/26,0)))&amp;CHAR(96+IF(MOD(COLUMN(CI240),26)=0,26,MOD(COLUMN(CI240),26))))),CH240)</f>
        <v>ci229</v>
      </c>
      <c r="CI242" s="897"/>
      <c r="CQ242" s="664"/>
      <c r="CT242" s="899" t="str">
        <f>CONCATENATE(IF(COLUMN(CU240)&lt;=26,CHAR(96+COLUMN(CU240)),(CHAR(96+(ROUNDDOWN((COLUMN(CU240)-1)/26,0)))&amp;CHAR(96+IF(MOD(COLUMN(CU240),26)=0,26,MOD(COLUMN(CU240),26))))),CT240)</f>
        <v>cu229</v>
      </c>
      <c r="CU242" s="897"/>
      <c r="DC242" s="664"/>
      <c r="DF242" s="899" t="str">
        <f>CONCATENATE(IF(COLUMN(DG240)&lt;=26,CHAR(96+COLUMN(DG240)),(CHAR(96+(ROUNDDOWN((COLUMN(DG240)-1)/26,0)))&amp;CHAR(96+IF(MOD(COLUMN(DG240),26)=0,26,MOD(COLUMN(DG240),26))))),DF240)</f>
        <v>dg229</v>
      </c>
      <c r="DG242" s="897"/>
      <c r="DO242" s="664"/>
    </row>
    <row r="243" spans="2:119" hidden="1" x14ac:dyDescent="0.25">
      <c r="B243" s="896"/>
      <c r="C243" s="897"/>
      <c r="K243" s="664"/>
      <c r="N243" s="896"/>
      <c r="O243" s="897"/>
      <c r="U243" s="663"/>
      <c r="W243" s="664"/>
      <c r="Z243" s="896"/>
      <c r="AA243" s="897"/>
      <c r="AB243" s="663"/>
      <c r="AC243" s="663"/>
      <c r="AD243" s="663"/>
      <c r="AE243" s="663"/>
      <c r="AF243" s="663"/>
      <c r="AG243" s="663"/>
      <c r="AH243" s="663"/>
      <c r="AI243" s="664"/>
      <c r="AL243" s="896"/>
      <c r="AM243" s="897"/>
      <c r="AN243" s="663"/>
      <c r="AU243" s="664"/>
      <c r="AX243" s="896"/>
      <c r="AY243" s="897"/>
      <c r="BG243" s="664"/>
      <c r="BJ243" s="896"/>
      <c r="BK243" s="897"/>
      <c r="BS243" s="664"/>
      <c r="BV243" s="896"/>
      <c r="BW243" s="897"/>
      <c r="CE243" s="664"/>
      <c r="CH243" s="896"/>
      <c r="CI243" s="897"/>
      <c r="CQ243" s="664"/>
      <c r="CT243" s="896"/>
      <c r="CU243" s="897"/>
      <c r="DC243" s="664"/>
      <c r="DF243" s="896"/>
      <c r="DG243" s="897"/>
      <c r="DO243" s="664"/>
    </row>
    <row r="244" spans="2:119" hidden="1" x14ac:dyDescent="0.25">
      <c r="B244" s="896">
        <f>B229</f>
        <v>39113</v>
      </c>
      <c r="C244" s="897">
        <f>C229</f>
        <v>-1000000</v>
      </c>
      <c r="K244" s="664"/>
      <c r="N244" s="896">
        <f>N229</f>
        <v>39113</v>
      </c>
      <c r="O244" s="897">
        <f>O229</f>
        <v>-1000000</v>
      </c>
      <c r="U244" s="663"/>
      <c r="W244" s="664"/>
      <c r="Z244" s="896">
        <f>Z229</f>
        <v>39113</v>
      </c>
      <c r="AA244" s="897">
        <f>AA229</f>
        <v>-1000000</v>
      </c>
      <c r="AB244" s="663"/>
      <c r="AC244" s="663"/>
      <c r="AD244" s="663"/>
      <c r="AE244" s="663"/>
      <c r="AF244" s="663"/>
      <c r="AG244" s="663"/>
      <c r="AH244" s="663"/>
      <c r="AI244" s="664"/>
      <c r="AL244" s="896">
        <f>AL229</f>
        <v>39113</v>
      </c>
      <c r="AM244" s="897">
        <f>AM229</f>
        <v>-1000000</v>
      </c>
      <c r="AN244" s="663"/>
      <c r="AU244" s="664"/>
      <c r="AX244" s="896">
        <f>AX229</f>
        <v>39113</v>
      </c>
      <c r="AY244" s="897">
        <f>AY229</f>
        <v>-1000000</v>
      </c>
      <c r="BG244" s="664"/>
      <c r="BJ244" s="896">
        <f>BJ229</f>
        <v>39113</v>
      </c>
      <c r="BK244" s="897">
        <f>BK229</f>
        <v>-1000000</v>
      </c>
      <c r="BS244" s="664"/>
      <c r="BV244" s="896">
        <f>BV229</f>
        <v>39113</v>
      </c>
      <c r="BW244" s="897">
        <f>BW229</f>
        <v>-1000000</v>
      </c>
      <c r="CE244" s="664"/>
      <c r="CH244" s="896">
        <f>CH229</f>
        <v>39113</v>
      </c>
      <c r="CI244" s="897">
        <f>CI229</f>
        <v>-1000000</v>
      </c>
      <c r="CQ244" s="664"/>
      <c r="CT244" s="896">
        <f>CT229</f>
        <v>39113</v>
      </c>
      <c r="CU244" s="897">
        <f>CU229</f>
        <v>-1000000</v>
      </c>
      <c r="DC244" s="664"/>
      <c r="DF244" s="896">
        <f>DF229</f>
        <v>39113</v>
      </c>
      <c r="DG244" s="897">
        <f>DG229</f>
        <v>-1000000</v>
      </c>
      <c r="DO244" s="664"/>
    </row>
    <row r="245" spans="2:119" hidden="1" x14ac:dyDescent="0.25">
      <c r="B245" s="896">
        <f t="shared" ref="B245:C253" si="87">B230</f>
        <v>39478</v>
      </c>
      <c r="C245" s="897">
        <f t="shared" si="87"/>
        <v>-2000000</v>
      </c>
      <c r="K245" s="664"/>
      <c r="N245" s="896">
        <f t="shared" ref="N245:O245" si="88">N230</f>
        <v>39478</v>
      </c>
      <c r="O245" s="897">
        <f t="shared" si="88"/>
        <v>-2000000</v>
      </c>
      <c r="U245" s="663"/>
      <c r="W245" s="664"/>
      <c r="Z245" s="896">
        <f t="shared" ref="Z245:AA245" si="89">Z230</f>
        <v>39478</v>
      </c>
      <c r="AA245" s="897">
        <f t="shared" si="89"/>
        <v>-2000000</v>
      </c>
      <c r="AB245" s="663"/>
      <c r="AC245" s="663"/>
      <c r="AD245" s="663"/>
      <c r="AE245" s="663"/>
      <c r="AF245" s="663"/>
      <c r="AG245" s="663"/>
      <c r="AH245" s="663"/>
      <c r="AI245" s="664"/>
      <c r="AL245" s="896">
        <f t="shared" ref="AL245:AM245" si="90">AL230</f>
        <v>39478</v>
      </c>
      <c r="AM245" s="897">
        <f t="shared" si="90"/>
        <v>-2000000</v>
      </c>
      <c r="AN245" s="663"/>
      <c r="AU245" s="664"/>
      <c r="AX245" s="896">
        <f t="shared" ref="AX245:AY245" si="91">AX230</f>
        <v>39478</v>
      </c>
      <c r="AY245" s="897">
        <f t="shared" si="91"/>
        <v>-2000000</v>
      </c>
      <c r="BG245" s="664"/>
      <c r="BJ245" s="896">
        <f t="shared" ref="BJ245:BK245" si="92">BJ230</f>
        <v>39478</v>
      </c>
      <c r="BK245" s="897">
        <f t="shared" si="92"/>
        <v>-2000000</v>
      </c>
      <c r="BS245" s="664"/>
      <c r="BV245" s="896">
        <f t="shared" ref="BV245:BW245" si="93">BV230</f>
        <v>39478</v>
      </c>
      <c r="BW245" s="897">
        <f t="shared" si="93"/>
        <v>-2000000</v>
      </c>
      <c r="CE245" s="664"/>
      <c r="CH245" s="896">
        <f t="shared" ref="CH245:CI245" si="94">CH230</f>
        <v>39478</v>
      </c>
      <c r="CI245" s="897">
        <f t="shared" si="94"/>
        <v>-2000000</v>
      </c>
      <c r="CQ245" s="664"/>
      <c r="CT245" s="896">
        <f t="shared" ref="CT245:CU245" si="95">CT230</f>
        <v>39478</v>
      </c>
      <c r="CU245" s="897">
        <f t="shared" si="95"/>
        <v>-2000000</v>
      </c>
      <c r="DC245" s="664"/>
      <c r="DF245" s="896">
        <f t="shared" ref="DF245:DG245" si="96">DF230</f>
        <v>39478</v>
      </c>
      <c r="DG245" s="897">
        <f t="shared" si="96"/>
        <v>-2000000</v>
      </c>
      <c r="DO245" s="664"/>
    </row>
    <row r="246" spans="2:119" hidden="1" x14ac:dyDescent="0.25">
      <c r="B246" s="896">
        <f t="shared" si="87"/>
        <v>39843</v>
      </c>
      <c r="C246" s="897">
        <f t="shared" si="87"/>
        <v>0</v>
      </c>
      <c r="K246" s="664"/>
      <c r="N246" s="896">
        <f t="shared" ref="N246:O246" si="97">N231</f>
        <v>39843</v>
      </c>
      <c r="O246" s="897">
        <f t="shared" si="97"/>
        <v>0</v>
      </c>
      <c r="U246" s="663"/>
      <c r="W246" s="664"/>
      <c r="Z246" s="896">
        <f t="shared" ref="Z246:AA246" si="98">Z231</f>
        <v>39843</v>
      </c>
      <c r="AA246" s="897">
        <f t="shared" si="98"/>
        <v>0</v>
      </c>
      <c r="AB246" s="663"/>
      <c r="AC246" s="663"/>
      <c r="AD246" s="663"/>
      <c r="AE246" s="663"/>
      <c r="AF246" s="663"/>
      <c r="AG246" s="663"/>
      <c r="AH246" s="663"/>
      <c r="AI246" s="664"/>
      <c r="AL246" s="896">
        <f t="shared" ref="AL246:AM246" si="99">AL231</f>
        <v>39843</v>
      </c>
      <c r="AM246" s="897">
        <f t="shared" si="99"/>
        <v>0</v>
      </c>
      <c r="AN246" s="663"/>
      <c r="AU246" s="664"/>
      <c r="AX246" s="896">
        <f t="shared" ref="AX246:AY246" si="100">AX231</f>
        <v>39843</v>
      </c>
      <c r="AY246" s="897">
        <f t="shared" si="100"/>
        <v>0</v>
      </c>
      <c r="BG246" s="664"/>
      <c r="BJ246" s="896">
        <f t="shared" ref="BJ246:BK246" si="101">BJ231</f>
        <v>39843</v>
      </c>
      <c r="BK246" s="897">
        <f t="shared" si="101"/>
        <v>0</v>
      </c>
      <c r="BS246" s="664"/>
      <c r="BV246" s="896">
        <f t="shared" ref="BV246:BW246" si="102">BV231</f>
        <v>39843</v>
      </c>
      <c r="BW246" s="897">
        <f t="shared" si="102"/>
        <v>0</v>
      </c>
      <c r="CE246" s="664"/>
      <c r="CH246" s="896">
        <f t="shared" ref="CH246:CI246" si="103">CH231</f>
        <v>39843</v>
      </c>
      <c r="CI246" s="897">
        <f t="shared" si="103"/>
        <v>0</v>
      </c>
      <c r="CQ246" s="664"/>
      <c r="CT246" s="896">
        <f t="shared" ref="CT246:CU246" si="104">CT231</f>
        <v>39843</v>
      </c>
      <c r="CU246" s="897">
        <f t="shared" si="104"/>
        <v>0</v>
      </c>
      <c r="DC246" s="664"/>
      <c r="DF246" s="896">
        <f t="shared" ref="DF246:DG246" si="105">DF231</f>
        <v>39843</v>
      </c>
      <c r="DG246" s="897">
        <f t="shared" si="105"/>
        <v>0</v>
      </c>
      <c r="DO246" s="664"/>
    </row>
    <row r="247" spans="2:119" hidden="1" x14ac:dyDescent="0.25">
      <c r="B247" s="896">
        <f t="shared" si="87"/>
        <v>39843</v>
      </c>
      <c r="C247" s="897">
        <f t="shared" si="87"/>
        <v>0</v>
      </c>
      <c r="K247" s="664"/>
      <c r="N247" s="896">
        <f t="shared" ref="N247:O247" si="106">N232</f>
        <v>39843</v>
      </c>
      <c r="O247" s="897">
        <f t="shared" si="106"/>
        <v>0</v>
      </c>
      <c r="U247" s="663"/>
      <c r="W247" s="664"/>
      <c r="Z247" s="896">
        <f t="shared" ref="Z247:AA247" si="107">Z232</f>
        <v>39843</v>
      </c>
      <c r="AA247" s="897">
        <f t="shared" si="107"/>
        <v>0</v>
      </c>
      <c r="AB247" s="663"/>
      <c r="AC247" s="663"/>
      <c r="AD247" s="663"/>
      <c r="AE247" s="663"/>
      <c r="AF247" s="663"/>
      <c r="AG247" s="663"/>
      <c r="AH247" s="663"/>
      <c r="AI247" s="664"/>
      <c r="AL247" s="896">
        <f t="shared" ref="AL247:AM247" si="108">AL232</f>
        <v>39843</v>
      </c>
      <c r="AM247" s="897">
        <f t="shared" si="108"/>
        <v>0</v>
      </c>
      <c r="AN247" s="663"/>
      <c r="AU247" s="664"/>
      <c r="AX247" s="896">
        <f t="shared" ref="AX247:AY247" si="109">AX232</f>
        <v>39843</v>
      </c>
      <c r="AY247" s="897">
        <f t="shared" si="109"/>
        <v>0</v>
      </c>
      <c r="BG247" s="664"/>
      <c r="BJ247" s="896">
        <f t="shared" ref="BJ247:BK247" si="110">BJ232</f>
        <v>39843</v>
      </c>
      <c r="BK247" s="897">
        <f t="shared" si="110"/>
        <v>0</v>
      </c>
      <c r="BS247" s="664"/>
      <c r="BV247" s="896">
        <f t="shared" ref="BV247:BW247" si="111">BV232</f>
        <v>39843</v>
      </c>
      <c r="BW247" s="897">
        <f t="shared" si="111"/>
        <v>0</v>
      </c>
      <c r="CE247" s="664"/>
      <c r="CH247" s="896">
        <f t="shared" ref="CH247:CI247" si="112">CH232</f>
        <v>39843</v>
      </c>
      <c r="CI247" s="897">
        <f t="shared" si="112"/>
        <v>0</v>
      </c>
      <c r="CQ247" s="664"/>
      <c r="CT247" s="896">
        <f t="shared" ref="CT247:CU247" si="113">CT232</f>
        <v>39843</v>
      </c>
      <c r="CU247" s="897">
        <f t="shared" si="113"/>
        <v>0</v>
      </c>
      <c r="DC247" s="664"/>
      <c r="DF247" s="896">
        <f t="shared" ref="DF247:DG247" si="114">DF232</f>
        <v>39843</v>
      </c>
      <c r="DG247" s="897">
        <f t="shared" si="114"/>
        <v>0</v>
      </c>
      <c r="DO247" s="664"/>
    </row>
    <row r="248" spans="2:119" hidden="1" x14ac:dyDescent="0.25">
      <c r="B248" s="896">
        <f t="shared" si="87"/>
        <v>39843</v>
      </c>
      <c r="C248" s="897">
        <f t="shared" si="87"/>
        <v>0</v>
      </c>
      <c r="K248" s="664"/>
      <c r="N248" s="896">
        <f t="shared" ref="N248:O248" si="115">N233</f>
        <v>39843</v>
      </c>
      <c r="O248" s="897">
        <f t="shared" si="115"/>
        <v>0</v>
      </c>
      <c r="U248" s="663"/>
      <c r="W248" s="664"/>
      <c r="Z248" s="896">
        <f t="shared" ref="Z248:AA248" si="116">Z233</f>
        <v>39843</v>
      </c>
      <c r="AA248" s="897">
        <f t="shared" si="116"/>
        <v>0</v>
      </c>
      <c r="AB248" s="663"/>
      <c r="AC248" s="663"/>
      <c r="AD248" s="663"/>
      <c r="AE248" s="663"/>
      <c r="AF248" s="663"/>
      <c r="AG248" s="663"/>
      <c r="AH248" s="663"/>
      <c r="AI248" s="664"/>
      <c r="AL248" s="896">
        <f t="shared" ref="AL248:AM248" si="117">AL233</f>
        <v>39843</v>
      </c>
      <c r="AM248" s="897">
        <f t="shared" si="117"/>
        <v>0</v>
      </c>
      <c r="AN248" s="663"/>
      <c r="AU248" s="664"/>
      <c r="AX248" s="896">
        <f t="shared" ref="AX248:AY248" si="118">AX233</f>
        <v>39843</v>
      </c>
      <c r="AY248" s="897">
        <f t="shared" si="118"/>
        <v>0</v>
      </c>
      <c r="BG248" s="664"/>
      <c r="BJ248" s="896">
        <f t="shared" ref="BJ248:BK248" si="119">BJ233</f>
        <v>39843</v>
      </c>
      <c r="BK248" s="897">
        <f t="shared" si="119"/>
        <v>0</v>
      </c>
      <c r="BS248" s="664"/>
      <c r="BV248" s="896">
        <f t="shared" ref="BV248:BW248" si="120">BV233</f>
        <v>39843</v>
      </c>
      <c r="BW248" s="897">
        <f t="shared" si="120"/>
        <v>0</v>
      </c>
      <c r="CE248" s="664"/>
      <c r="CH248" s="896">
        <f t="shared" ref="CH248:CI248" si="121">CH233</f>
        <v>39843</v>
      </c>
      <c r="CI248" s="897">
        <f t="shared" si="121"/>
        <v>0</v>
      </c>
      <c r="CQ248" s="664"/>
      <c r="CT248" s="896">
        <f t="shared" ref="CT248:CU248" si="122">CT233</f>
        <v>39843</v>
      </c>
      <c r="CU248" s="897">
        <f t="shared" si="122"/>
        <v>0</v>
      </c>
      <c r="DC248" s="664"/>
      <c r="DF248" s="896">
        <f t="shared" ref="DF248:DG248" si="123">DF233</f>
        <v>39843</v>
      </c>
      <c r="DG248" s="897">
        <f t="shared" si="123"/>
        <v>0</v>
      </c>
      <c r="DO248" s="664"/>
    </row>
    <row r="249" spans="2:119" hidden="1" x14ac:dyDescent="0.25">
      <c r="B249" s="896">
        <f t="shared" si="87"/>
        <v>39843</v>
      </c>
      <c r="C249" s="897">
        <f t="shared" si="87"/>
        <v>0</v>
      </c>
      <c r="K249" s="664"/>
      <c r="N249" s="896">
        <f t="shared" ref="N249:O249" si="124">N234</f>
        <v>39843</v>
      </c>
      <c r="O249" s="897">
        <f t="shared" si="124"/>
        <v>0</v>
      </c>
      <c r="U249" s="663"/>
      <c r="W249" s="664"/>
      <c r="Z249" s="896">
        <f t="shared" ref="Z249:AA249" si="125">Z234</f>
        <v>39843</v>
      </c>
      <c r="AA249" s="897">
        <f t="shared" si="125"/>
        <v>0</v>
      </c>
      <c r="AB249" s="663"/>
      <c r="AC249" s="663"/>
      <c r="AD249" s="663"/>
      <c r="AE249" s="663"/>
      <c r="AF249" s="663"/>
      <c r="AG249" s="663"/>
      <c r="AH249" s="663"/>
      <c r="AI249" s="664"/>
      <c r="AL249" s="896">
        <f t="shared" ref="AL249:AM249" si="126">AL234</f>
        <v>39843</v>
      </c>
      <c r="AM249" s="897">
        <f t="shared" si="126"/>
        <v>0</v>
      </c>
      <c r="AN249" s="663"/>
      <c r="AU249" s="664"/>
      <c r="AX249" s="896">
        <f t="shared" ref="AX249:AY249" si="127">AX234</f>
        <v>39843</v>
      </c>
      <c r="AY249" s="897">
        <f t="shared" si="127"/>
        <v>0</v>
      </c>
      <c r="BG249" s="664"/>
      <c r="BJ249" s="896">
        <f t="shared" ref="BJ249:BK249" si="128">BJ234</f>
        <v>39843</v>
      </c>
      <c r="BK249" s="897">
        <f t="shared" si="128"/>
        <v>0</v>
      </c>
      <c r="BS249" s="664"/>
      <c r="BV249" s="896">
        <f t="shared" ref="BV249:BW249" si="129">BV234</f>
        <v>39843</v>
      </c>
      <c r="BW249" s="897">
        <f t="shared" si="129"/>
        <v>0</v>
      </c>
      <c r="CE249" s="664"/>
      <c r="CH249" s="896">
        <f t="shared" ref="CH249:CI249" si="130">CH234</f>
        <v>39843</v>
      </c>
      <c r="CI249" s="897">
        <f t="shared" si="130"/>
        <v>0</v>
      </c>
      <c r="CQ249" s="664"/>
      <c r="CT249" s="896">
        <f t="shared" ref="CT249:CU249" si="131">CT234</f>
        <v>39843</v>
      </c>
      <c r="CU249" s="897">
        <f t="shared" si="131"/>
        <v>0</v>
      </c>
      <c r="DC249" s="664"/>
      <c r="DF249" s="896">
        <f t="shared" ref="DF249:DG249" si="132">DF234</f>
        <v>39843</v>
      </c>
      <c r="DG249" s="897">
        <f t="shared" si="132"/>
        <v>0</v>
      </c>
      <c r="DO249" s="664"/>
    </row>
    <row r="250" spans="2:119" hidden="1" x14ac:dyDescent="0.25">
      <c r="B250" s="896">
        <f t="shared" si="87"/>
        <v>39843</v>
      </c>
      <c r="C250" s="897">
        <f t="shared" si="87"/>
        <v>0</v>
      </c>
      <c r="K250" s="664"/>
      <c r="N250" s="896">
        <f t="shared" ref="N250:O250" si="133">N235</f>
        <v>39843</v>
      </c>
      <c r="O250" s="897">
        <f t="shared" si="133"/>
        <v>0</v>
      </c>
      <c r="U250" s="663"/>
      <c r="W250" s="664"/>
      <c r="Z250" s="896">
        <f t="shared" ref="Z250:AA250" si="134">Z235</f>
        <v>39843</v>
      </c>
      <c r="AA250" s="897">
        <f t="shared" si="134"/>
        <v>0</v>
      </c>
      <c r="AB250" s="663"/>
      <c r="AC250" s="663"/>
      <c r="AD250" s="663"/>
      <c r="AE250" s="663"/>
      <c r="AF250" s="663"/>
      <c r="AG250" s="663"/>
      <c r="AH250" s="663"/>
      <c r="AI250" s="664"/>
      <c r="AL250" s="896">
        <f t="shared" ref="AL250:AM250" si="135">AL235</f>
        <v>39843</v>
      </c>
      <c r="AM250" s="897">
        <f t="shared" si="135"/>
        <v>0</v>
      </c>
      <c r="AN250" s="663"/>
      <c r="AU250" s="664"/>
      <c r="AX250" s="896">
        <f t="shared" ref="AX250:AY250" si="136">AX235</f>
        <v>39843</v>
      </c>
      <c r="AY250" s="897">
        <f t="shared" si="136"/>
        <v>0</v>
      </c>
      <c r="BG250" s="664"/>
      <c r="BJ250" s="896">
        <f t="shared" ref="BJ250:BK250" si="137">BJ235</f>
        <v>39843</v>
      </c>
      <c r="BK250" s="897">
        <f t="shared" si="137"/>
        <v>0</v>
      </c>
      <c r="BS250" s="664"/>
      <c r="BV250" s="896">
        <f t="shared" ref="BV250:BW250" si="138">BV235</f>
        <v>39843</v>
      </c>
      <c r="BW250" s="897">
        <f t="shared" si="138"/>
        <v>0</v>
      </c>
      <c r="CE250" s="664"/>
      <c r="CH250" s="896">
        <f t="shared" ref="CH250:CI250" si="139">CH235</f>
        <v>39843</v>
      </c>
      <c r="CI250" s="897">
        <f t="shared" si="139"/>
        <v>0</v>
      </c>
      <c r="CQ250" s="664"/>
      <c r="CT250" s="896">
        <f t="shared" ref="CT250:CU250" si="140">CT235</f>
        <v>39843</v>
      </c>
      <c r="CU250" s="897">
        <f t="shared" si="140"/>
        <v>0</v>
      </c>
      <c r="DC250" s="664"/>
      <c r="DF250" s="896">
        <f t="shared" ref="DF250:DG250" si="141">DF235</f>
        <v>39843</v>
      </c>
      <c r="DG250" s="897">
        <f t="shared" si="141"/>
        <v>0</v>
      </c>
      <c r="DO250" s="664"/>
    </row>
    <row r="251" spans="2:119" hidden="1" x14ac:dyDescent="0.25">
      <c r="B251" s="896">
        <f t="shared" si="87"/>
        <v>39843</v>
      </c>
      <c r="C251" s="897">
        <f t="shared" si="87"/>
        <v>0</v>
      </c>
      <c r="K251" s="664"/>
      <c r="N251" s="896">
        <f t="shared" ref="N251:O251" si="142">N236</f>
        <v>39843</v>
      </c>
      <c r="O251" s="897">
        <f t="shared" si="142"/>
        <v>0</v>
      </c>
      <c r="U251" s="663"/>
      <c r="W251" s="664"/>
      <c r="Z251" s="896">
        <f t="shared" ref="Z251:AA251" si="143">Z236</f>
        <v>39843</v>
      </c>
      <c r="AA251" s="897">
        <f t="shared" si="143"/>
        <v>0</v>
      </c>
      <c r="AB251" s="663"/>
      <c r="AC251" s="663"/>
      <c r="AD251" s="663"/>
      <c r="AE251" s="663"/>
      <c r="AF251" s="663"/>
      <c r="AG251" s="663"/>
      <c r="AH251" s="663"/>
      <c r="AI251" s="664"/>
      <c r="AL251" s="896">
        <f t="shared" ref="AL251:AM251" si="144">AL236</f>
        <v>39843</v>
      </c>
      <c r="AM251" s="897">
        <f t="shared" si="144"/>
        <v>0</v>
      </c>
      <c r="AN251" s="663"/>
      <c r="AU251" s="664"/>
      <c r="AX251" s="896">
        <f t="shared" ref="AX251:AY251" si="145">AX236</f>
        <v>39843</v>
      </c>
      <c r="AY251" s="897">
        <f t="shared" si="145"/>
        <v>0</v>
      </c>
      <c r="BG251" s="664"/>
      <c r="BJ251" s="896">
        <f t="shared" ref="BJ251:BK251" si="146">BJ236</f>
        <v>39843</v>
      </c>
      <c r="BK251" s="897">
        <f t="shared" si="146"/>
        <v>0</v>
      </c>
      <c r="BS251" s="664"/>
      <c r="BV251" s="896">
        <f t="shared" ref="BV251:BW251" si="147">BV236</f>
        <v>39843</v>
      </c>
      <c r="BW251" s="897">
        <f t="shared" si="147"/>
        <v>0</v>
      </c>
      <c r="CE251" s="664"/>
      <c r="CH251" s="896">
        <f t="shared" ref="CH251:CI251" si="148">CH236</f>
        <v>39843</v>
      </c>
      <c r="CI251" s="897">
        <f t="shared" si="148"/>
        <v>0</v>
      </c>
      <c r="CQ251" s="664"/>
      <c r="CT251" s="896">
        <f t="shared" ref="CT251:CU251" si="149">CT236</f>
        <v>39843</v>
      </c>
      <c r="CU251" s="897">
        <f t="shared" si="149"/>
        <v>0</v>
      </c>
      <c r="DC251" s="664"/>
      <c r="DF251" s="896">
        <f t="shared" ref="DF251:DG251" si="150">DF236</f>
        <v>39843</v>
      </c>
      <c r="DG251" s="897">
        <f t="shared" si="150"/>
        <v>0</v>
      </c>
      <c r="DO251" s="664"/>
    </row>
    <row r="252" spans="2:119" hidden="1" x14ac:dyDescent="0.25">
      <c r="B252" s="896">
        <f t="shared" si="87"/>
        <v>39843</v>
      </c>
      <c r="C252" s="897">
        <f t="shared" si="87"/>
        <v>0</v>
      </c>
      <c r="K252" s="664"/>
      <c r="N252" s="896">
        <f t="shared" ref="N252:O252" si="151">N237</f>
        <v>39843</v>
      </c>
      <c r="O252" s="897">
        <f t="shared" si="151"/>
        <v>0</v>
      </c>
      <c r="U252" s="663"/>
      <c r="W252" s="664"/>
      <c r="Z252" s="896">
        <f t="shared" ref="Z252:AA252" si="152">Z237</f>
        <v>39843</v>
      </c>
      <c r="AA252" s="897">
        <f t="shared" si="152"/>
        <v>0</v>
      </c>
      <c r="AB252" s="663"/>
      <c r="AC252" s="663"/>
      <c r="AD252" s="663"/>
      <c r="AE252" s="663"/>
      <c r="AF252" s="663"/>
      <c r="AG252" s="663"/>
      <c r="AH252" s="663"/>
      <c r="AI252" s="664"/>
      <c r="AL252" s="896">
        <f t="shared" ref="AL252:AM252" si="153">AL237</f>
        <v>39843</v>
      </c>
      <c r="AM252" s="897">
        <f t="shared" si="153"/>
        <v>0</v>
      </c>
      <c r="AN252" s="663"/>
      <c r="AU252" s="664"/>
      <c r="AX252" s="896">
        <f t="shared" ref="AX252:AY252" si="154">AX237</f>
        <v>39843</v>
      </c>
      <c r="AY252" s="897">
        <f t="shared" si="154"/>
        <v>0</v>
      </c>
      <c r="BG252" s="664"/>
      <c r="BJ252" s="896">
        <f t="shared" ref="BJ252:BK252" si="155">BJ237</f>
        <v>39843</v>
      </c>
      <c r="BK252" s="897">
        <f t="shared" si="155"/>
        <v>0</v>
      </c>
      <c r="BS252" s="664"/>
      <c r="BV252" s="896">
        <f t="shared" ref="BV252:BW252" si="156">BV237</f>
        <v>39843</v>
      </c>
      <c r="BW252" s="897">
        <f t="shared" si="156"/>
        <v>0</v>
      </c>
      <c r="CE252" s="664"/>
      <c r="CH252" s="896">
        <f t="shared" ref="CH252:CI252" si="157">CH237</f>
        <v>39843</v>
      </c>
      <c r="CI252" s="897">
        <f t="shared" si="157"/>
        <v>0</v>
      </c>
      <c r="CQ252" s="664"/>
      <c r="CT252" s="896">
        <f t="shared" ref="CT252:CU252" si="158">CT237</f>
        <v>39843</v>
      </c>
      <c r="CU252" s="897">
        <f t="shared" si="158"/>
        <v>0</v>
      </c>
      <c r="DC252" s="664"/>
      <c r="DF252" s="896">
        <f t="shared" ref="DF252:DG252" si="159">DF237</f>
        <v>39843</v>
      </c>
      <c r="DG252" s="897">
        <f t="shared" si="159"/>
        <v>0</v>
      </c>
      <c r="DO252" s="664"/>
    </row>
    <row r="253" spans="2:119" hidden="1" x14ac:dyDescent="0.25">
      <c r="B253" s="896">
        <f t="shared" si="87"/>
        <v>39843</v>
      </c>
      <c r="C253" s="897">
        <f t="shared" si="87"/>
        <v>0</v>
      </c>
      <c r="K253" s="664"/>
      <c r="N253" s="896">
        <f t="shared" ref="N253:O253" si="160">N238</f>
        <v>39843</v>
      </c>
      <c r="O253" s="897">
        <f t="shared" si="160"/>
        <v>0</v>
      </c>
      <c r="U253" s="663"/>
      <c r="W253" s="664"/>
      <c r="Z253" s="896">
        <f t="shared" ref="Z253:AA253" si="161">Z238</f>
        <v>39843</v>
      </c>
      <c r="AA253" s="897">
        <f t="shared" si="161"/>
        <v>0</v>
      </c>
      <c r="AB253" s="663"/>
      <c r="AC253" s="663"/>
      <c r="AD253" s="663"/>
      <c r="AE253" s="663"/>
      <c r="AF253" s="663"/>
      <c r="AG253" s="663"/>
      <c r="AH253" s="663"/>
      <c r="AI253" s="664"/>
      <c r="AL253" s="896">
        <f t="shared" ref="AL253:AM253" si="162">AL238</f>
        <v>39843</v>
      </c>
      <c r="AM253" s="897">
        <f t="shared" si="162"/>
        <v>0</v>
      </c>
      <c r="AN253" s="663"/>
      <c r="AU253" s="664"/>
      <c r="AX253" s="896">
        <f t="shared" ref="AX253:AY253" si="163">AX238</f>
        <v>39843</v>
      </c>
      <c r="AY253" s="897">
        <f t="shared" si="163"/>
        <v>0</v>
      </c>
      <c r="BG253" s="664"/>
      <c r="BJ253" s="896">
        <f t="shared" ref="BJ253:BK253" si="164">BJ238</f>
        <v>39843</v>
      </c>
      <c r="BK253" s="897">
        <f t="shared" si="164"/>
        <v>0</v>
      </c>
      <c r="BS253" s="664"/>
      <c r="BV253" s="896">
        <f t="shared" ref="BV253:BW253" si="165">BV238</f>
        <v>39843</v>
      </c>
      <c r="BW253" s="897">
        <f t="shared" si="165"/>
        <v>0</v>
      </c>
      <c r="CE253" s="664"/>
      <c r="CH253" s="896">
        <f t="shared" ref="CH253:CI253" si="166">CH238</f>
        <v>39843</v>
      </c>
      <c r="CI253" s="897">
        <f t="shared" si="166"/>
        <v>0</v>
      </c>
      <c r="CQ253" s="664"/>
      <c r="CT253" s="896">
        <f t="shared" ref="CT253:CU253" si="167">CT238</f>
        <v>39843</v>
      </c>
      <c r="CU253" s="897">
        <f t="shared" si="167"/>
        <v>0</v>
      </c>
      <c r="DC253" s="664"/>
      <c r="DF253" s="896">
        <f t="shared" ref="DF253:DG253" si="168">DF238</f>
        <v>39843</v>
      </c>
      <c r="DG253" s="897">
        <f t="shared" si="168"/>
        <v>0</v>
      </c>
      <c r="DO253" s="664"/>
    </row>
    <row r="254" spans="2:119" hidden="1" x14ac:dyDescent="0.25">
      <c r="B254" s="896">
        <f>B239+$C$56</f>
        <v>41179</v>
      </c>
      <c r="C254" s="897">
        <f ca="1">C239</f>
        <v>0</v>
      </c>
      <c r="K254" s="664"/>
      <c r="N254" s="896">
        <f>N239+$C$56</f>
        <v>41179</v>
      </c>
      <c r="O254" s="897">
        <f ca="1">O239</f>
        <v>0</v>
      </c>
      <c r="U254" s="663"/>
      <c r="W254" s="664"/>
      <c r="Z254" s="896">
        <f>Z239+$C$56</f>
        <v>41179</v>
      </c>
      <c r="AA254" s="897">
        <f ca="1">AA239</f>
        <v>0</v>
      </c>
      <c r="AB254" s="663"/>
      <c r="AC254" s="663"/>
      <c r="AD254" s="663"/>
      <c r="AE254" s="663"/>
      <c r="AF254" s="663"/>
      <c r="AG254" s="663"/>
      <c r="AH254" s="663"/>
      <c r="AI254" s="664"/>
      <c r="AL254" s="896">
        <f>AL239+$C$56</f>
        <v>41179</v>
      </c>
      <c r="AM254" s="897">
        <f ca="1">AM239</f>
        <v>0</v>
      </c>
      <c r="AN254" s="663"/>
      <c r="AU254" s="664"/>
      <c r="AX254" s="896">
        <f>AX239+$C$56</f>
        <v>41179</v>
      </c>
      <c r="AY254" s="897">
        <f ca="1">AY239</f>
        <v>0</v>
      </c>
      <c r="BG254" s="664"/>
      <c r="BJ254" s="896">
        <f>BJ239+$C$56</f>
        <v>41179</v>
      </c>
      <c r="BK254" s="897">
        <f ca="1">BK239</f>
        <v>0</v>
      </c>
      <c r="BS254" s="664"/>
      <c r="BV254" s="896">
        <f>BV239+$C$56</f>
        <v>41179</v>
      </c>
      <c r="BW254" s="897">
        <f ca="1">BW239</f>
        <v>0</v>
      </c>
      <c r="CE254" s="664"/>
      <c r="CH254" s="896">
        <f>CH239+$C$56</f>
        <v>41179</v>
      </c>
      <c r="CI254" s="897">
        <f ca="1">CI239</f>
        <v>0</v>
      </c>
      <c r="CQ254" s="664"/>
      <c r="CT254" s="896">
        <f>CT239+$C$56</f>
        <v>41179</v>
      </c>
      <c r="CU254" s="897">
        <f ca="1">CU239</f>
        <v>0</v>
      </c>
      <c r="DC254" s="664"/>
      <c r="DF254" s="896">
        <f>DF239+$C$56</f>
        <v>41179</v>
      </c>
      <c r="DG254" s="897">
        <f ca="1">DG239</f>
        <v>0</v>
      </c>
      <c r="DO254" s="664"/>
    </row>
    <row r="255" spans="2:119" hidden="1" x14ac:dyDescent="0.25">
      <c r="B255" s="898">
        <f>IF(C244&lt;&gt;0,ROW(C244),IF(C245&lt;&gt;0,ROW(C245),IF(C246&lt;&gt;0,ROW(C246),IF(C247&lt;&gt;0,ROW(C247),IF(C248&lt;&gt;0,ROW(C248),IF(C249&lt;&gt;0,ROW(C249),IF(C250&lt;&gt;0,ROW(C250),IF(C251&lt;&gt;0,ROW(C251),IF(C252&lt;&gt;0,ROW(C252),IF(C253&lt;&gt;0,ROW(C253)))))))))))</f>
        <v>244</v>
      </c>
      <c r="C255" s="882" t="e">
        <f ca="1">IF(ISERROR(XIRR(INDIRECT(B257):C254,INDIRECT(B256):B254,-20%)),XIRR(INDIRECT(B257):C254,INDIRECT(B256):B254,20%),"N/A")</f>
        <v>#NUM!</v>
      </c>
      <c r="K255" s="664"/>
      <c r="N255" s="898">
        <f>IF(O244&lt;&gt;0,ROW(O244),IF(O245&lt;&gt;0,ROW(O245),IF(O246&lt;&gt;0,ROW(O246),IF(O247&lt;&gt;0,ROW(O247),IF(O248&lt;&gt;0,ROW(O248),IF(O249&lt;&gt;0,ROW(O249),IF(O250&lt;&gt;0,ROW(O250),IF(O251&lt;&gt;0,ROW(O251),IF(O252&lt;&gt;0,ROW(O252),IF(O253&lt;&gt;0,ROW(O253)))))))))))</f>
        <v>244</v>
      </c>
      <c r="O255" s="882" t="e">
        <f ca="1">IF(ISERROR(XIRR(INDIRECT(N257):O254,INDIRECT(N256):N254,-20%)),XIRR(INDIRECT(N257):O254,INDIRECT(N256):N254,20%),"N/A")</f>
        <v>#NUM!</v>
      </c>
      <c r="U255" s="663"/>
      <c r="W255" s="664"/>
      <c r="Z255" s="898">
        <f>IF(AA244&lt;&gt;0,ROW(AA244),IF(AA245&lt;&gt;0,ROW(AA245),IF(AA246&lt;&gt;0,ROW(AA246),IF(AA247&lt;&gt;0,ROW(AA247),IF(AA248&lt;&gt;0,ROW(AA248),IF(AA249&lt;&gt;0,ROW(AA249),IF(AA250&lt;&gt;0,ROW(AA250),IF(AA251&lt;&gt;0,ROW(AA251),IF(AA252&lt;&gt;0,ROW(AA252),IF(AA253&lt;&gt;0,ROW(AA253)))))))))))</f>
        <v>244</v>
      </c>
      <c r="AA255" s="882" t="e">
        <f ca="1">IF(ISERROR(XIRR(INDIRECT(Z257):AA254,INDIRECT(Z256):Z254,-20%)),XIRR(INDIRECT(Z257):AA254,INDIRECT(Z256):Z254,20%),"N/A")</f>
        <v>#NUM!</v>
      </c>
      <c r="AB255" s="663"/>
      <c r="AC255" s="663"/>
      <c r="AD255" s="663"/>
      <c r="AE255" s="663"/>
      <c r="AF255" s="663"/>
      <c r="AG255" s="663"/>
      <c r="AH255" s="663"/>
      <c r="AI255" s="664"/>
      <c r="AL255" s="898">
        <f>IF(AM244&lt;&gt;0,ROW(AM244),IF(AM245&lt;&gt;0,ROW(AM245),IF(AM246&lt;&gt;0,ROW(AM246),IF(AM247&lt;&gt;0,ROW(AM247),IF(AM248&lt;&gt;0,ROW(AM248),IF(AM249&lt;&gt;0,ROW(AM249),IF(AM250&lt;&gt;0,ROW(AM250),IF(AM251&lt;&gt;0,ROW(AM251),IF(AM252&lt;&gt;0,ROW(AM252),IF(AM253&lt;&gt;0,ROW(AM253)))))))))))</f>
        <v>244</v>
      </c>
      <c r="AM255" s="882" t="e">
        <f ca="1">IF(ISERROR(XIRR(INDIRECT(AL257):AM254,INDIRECT(AL256):AL254,-20%)),XIRR(INDIRECT(AL257):AM254,INDIRECT(AL256):AL254,20%),"N/A")</f>
        <v>#NUM!</v>
      </c>
      <c r="AN255" s="663"/>
      <c r="AU255" s="664"/>
      <c r="AX255" s="898">
        <f>IF(AY244&lt;&gt;0,ROW(AY244),IF(AY245&lt;&gt;0,ROW(AY245),IF(AY246&lt;&gt;0,ROW(AY246),IF(AY247&lt;&gt;0,ROW(AY247),IF(AY248&lt;&gt;0,ROW(AY248),IF(AY249&lt;&gt;0,ROW(AY249),IF(AY250&lt;&gt;0,ROW(AY250),IF(AY251&lt;&gt;0,ROW(AY251),IF(AY252&lt;&gt;0,ROW(AY252),IF(AY253&lt;&gt;0,ROW(AY253)))))))))))</f>
        <v>244</v>
      </c>
      <c r="AY255" s="882" t="e">
        <f ca="1">IF(ISERROR(XIRR(INDIRECT(AX257):AY254,INDIRECT(AX256):AX254,-20%)),XIRR(INDIRECT(AX257):AY254,INDIRECT(AX256):AX254,20%),"N/A")</f>
        <v>#NUM!</v>
      </c>
      <c r="BG255" s="664"/>
      <c r="BJ255" s="898">
        <f>IF(BK244&lt;&gt;0,ROW(BK244),IF(BK245&lt;&gt;0,ROW(BK245),IF(BK246&lt;&gt;0,ROW(BK246),IF(BK247&lt;&gt;0,ROW(BK247),IF(BK248&lt;&gt;0,ROW(BK248),IF(BK249&lt;&gt;0,ROW(BK249),IF(BK250&lt;&gt;0,ROW(BK250),IF(BK251&lt;&gt;0,ROW(BK251),IF(BK252&lt;&gt;0,ROW(BK252),IF(BK253&lt;&gt;0,ROW(BK253)))))))))))</f>
        <v>244</v>
      </c>
      <c r="BK255" s="882" t="e">
        <f ca="1">IF(ISERROR(XIRR(INDIRECT(BJ257):BK254,INDIRECT(BJ256):BJ254,-20%)),XIRR(INDIRECT(BJ257):BK254,INDIRECT(BJ256):BJ254,20%),"N/A")</f>
        <v>#NUM!</v>
      </c>
      <c r="BS255" s="664"/>
      <c r="BV255" s="898">
        <f>IF(BW244&lt;&gt;0,ROW(BW244),IF(BW245&lt;&gt;0,ROW(BW245),IF(BW246&lt;&gt;0,ROW(BW246),IF(BW247&lt;&gt;0,ROW(BW247),IF(BW248&lt;&gt;0,ROW(BW248),IF(BW249&lt;&gt;0,ROW(BW249),IF(BW250&lt;&gt;0,ROW(BW250),IF(BW251&lt;&gt;0,ROW(BW251),IF(BW252&lt;&gt;0,ROW(BW252),IF(BW253&lt;&gt;0,ROW(BW253)))))))))))</f>
        <v>244</v>
      </c>
      <c r="BW255" s="882" t="e">
        <f ca="1">IF(ISERROR(XIRR(INDIRECT(BV257):BW254,INDIRECT(BV256):BV254,-20%)),XIRR(INDIRECT(BV257):BW254,INDIRECT(BV256):BV254,20%),"N/A")</f>
        <v>#NUM!</v>
      </c>
      <c r="CE255" s="664"/>
      <c r="CH255" s="898">
        <f>IF(CI244&lt;&gt;0,ROW(CI244),IF(CI245&lt;&gt;0,ROW(CI245),IF(CI246&lt;&gt;0,ROW(CI246),IF(CI247&lt;&gt;0,ROW(CI247),IF(CI248&lt;&gt;0,ROW(CI248),IF(CI249&lt;&gt;0,ROW(CI249),IF(CI250&lt;&gt;0,ROW(CI250),IF(CI251&lt;&gt;0,ROW(CI251),IF(CI252&lt;&gt;0,ROW(CI252),IF(CI253&lt;&gt;0,ROW(CI253)))))))))))</f>
        <v>244</v>
      </c>
      <c r="CI255" s="882" t="e">
        <f ca="1">IF(ISERROR(XIRR(INDIRECT(CH257):CI254,INDIRECT(CH256):CH254,-20%)),XIRR(INDIRECT(CH257):CI254,INDIRECT(CH256):CH254,20%),"N/A")</f>
        <v>#NUM!</v>
      </c>
      <c r="CQ255" s="664"/>
      <c r="CT255" s="898">
        <f>IF(CU244&lt;&gt;0,ROW(CU244),IF(CU245&lt;&gt;0,ROW(CU245),IF(CU246&lt;&gt;0,ROW(CU246),IF(CU247&lt;&gt;0,ROW(CU247),IF(CU248&lt;&gt;0,ROW(CU248),IF(CU249&lt;&gt;0,ROW(CU249),IF(CU250&lt;&gt;0,ROW(CU250),IF(CU251&lt;&gt;0,ROW(CU251),IF(CU252&lt;&gt;0,ROW(CU252),IF(CU253&lt;&gt;0,ROW(CU253)))))))))))</f>
        <v>244</v>
      </c>
      <c r="CU255" s="882" t="e">
        <f ca="1">IF(ISERROR(XIRR(INDIRECT(CT257):CU254,INDIRECT(CT256):CT254,-20%)),XIRR(INDIRECT(CT257):CU254,INDIRECT(CT256):CT254,20%),"N/A")</f>
        <v>#NUM!</v>
      </c>
      <c r="DC255" s="664"/>
      <c r="DF255" s="898">
        <f>IF(DG244&lt;&gt;0,ROW(DG244),IF(DG245&lt;&gt;0,ROW(DG245),IF(DG246&lt;&gt;0,ROW(DG246),IF(DG247&lt;&gt;0,ROW(DG247),IF(DG248&lt;&gt;0,ROW(DG248),IF(DG249&lt;&gt;0,ROW(DG249),IF(DG250&lt;&gt;0,ROW(DG250),IF(DG251&lt;&gt;0,ROW(DG251),IF(DG252&lt;&gt;0,ROW(DG252),IF(DG253&lt;&gt;0,ROW(DG253)))))))))))</f>
        <v>244</v>
      </c>
      <c r="DG255" s="882" t="e">
        <f ca="1">IF(ISERROR(XIRR(INDIRECT(DF257):DG254,INDIRECT(DF256):DF254,-20%)),XIRR(INDIRECT(DF257):DG254,INDIRECT(DF256):DF254,20%),"N/A")</f>
        <v>#NUM!</v>
      </c>
      <c r="DO255" s="664"/>
    </row>
    <row r="256" spans="2:119" hidden="1" x14ac:dyDescent="0.25">
      <c r="B256" s="899" t="str">
        <f>CONCATENATE(CHAR(64+COLUMN(B255)),B255)</f>
        <v>B244</v>
      </c>
      <c r="C256" s="897"/>
      <c r="K256" s="664"/>
      <c r="N256" s="899" t="str">
        <f>CONCATENATE(CHAR(64+COLUMN(N255)),N255)</f>
        <v>N244</v>
      </c>
      <c r="O256" s="897"/>
      <c r="U256" s="663"/>
      <c r="W256" s="664"/>
      <c r="Z256" s="899" t="str">
        <f>CONCATENATE(IF(COLUMN(Z255)&lt;=26,CHAR(96+COLUMN(Z255)),(CHAR(96+(ROUNDDOWN((COLUMN(Z255)-1)/26,0)))&amp;CHAR(96+IF(MOD(COLUMN(Z255),26)=0,26,MOD(COLUMN(Z255),26))))),Z255)</f>
        <v>z244</v>
      </c>
      <c r="AA256" s="897"/>
      <c r="AB256" s="663"/>
      <c r="AC256" s="663"/>
      <c r="AD256" s="663"/>
      <c r="AE256" s="663"/>
      <c r="AF256" s="663"/>
      <c r="AG256" s="663"/>
      <c r="AH256" s="663"/>
      <c r="AI256" s="664"/>
      <c r="AL256" s="899" t="str">
        <f>CONCATENATE(IF(COLUMN(AL255)&lt;=26,CHAR(96+COLUMN(AL255)),(CHAR(96+(ROUNDDOWN((COLUMN(AL255)-1)/26,0)))&amp;CHAR(96+IF(MOD(COLUMN(AL255),26)=0,26,MOD(COLUMN(AL255),26))))),AL255)</f>
        <v>al244</v>
      </c>
      <c r="AM256" s="897"/>
      <c r="AN256" s="663"/>
      <c r="AU256" s="664"/>
      <c r="AX256" s="899" t="str">
        <f>CONCATENATE(IF(COLUMN(AX255)&lt;=26,CHAR(96+COLUMN(AX255)),(CHAR(96+(ROUNDDOWN((COLUMN(AX255)-1)/26,0)))&amp;CHAR(96+IF(MOD(COLUMN(AX255),26)=0,26,MOD(COLUMN(AX255),26))))),AX255)</f>
        <v>ax244</v>
      </c>
      <c r="AY256" s="897"/>
      <c r="BG256" s="664"/>
      <c r="BJ256" s="899" t="str">
        <f>CONCATENATE(IF(COLUMN(BJ255)&lt;=26,CHAR(96+COLUMN(BJ255)),(CHAR(96+(ROUNDDOWN((COLUMN(BJ255)-1)/26,0)))&amp;CHAR(96+IF(MOD(COLUMN(BJ255),26)=0,26,MOD(COLUMN(BJ255),26))))),BJ255)</f>
        <v>bj244</v>
      </c>
      <c r="BK256" s="897"/>
      <c r="BS256" s="664"/>
      <c r="BV256" s="899" t="str">
        <f>CONCATENATE(IF(COLUMN(BV255)&lt;=26,CHAR(96+COLUMN(BV255)),(CHAR(96+(ROUNDDOWN((COLUMN(BV255)-1)/26,0)))&amp;CHAR(96+IF(MOD(COLUMN(BV255),26)=0,26,MOD(COLUMN(BV255),26))))),BV255)</f>
        <v>bv244</v>
      </c>
      <c r="BW256" s="897"/>
      <c r="CE256" s="664"/>
      <c r="CH256" s="899" t="str">
        <f>CONCATENATE(IF(COLUMN(CH255)&lt;=26,CHAR(96+COLUMN(CH255)),(CHAR(96+(ROUNDDOWN((COLUMN(CH255)-1)/26,0)))&amp;CHAR(96+IF(MOD(COLUMN(CH255),26)=0,26,MOD(COLUMN(CH255),26))))),CH255)</f>
        <v>ch244</v>
      </c>
      <c r="CI256" s="897"/>
      <c r="CQ256" s="664"/>
      <c r="CT256" s="899" t="str">
        <f>CONCATENATE(IF(COLUMN(CT255)&lt;=26,CHAR(96+COLUMN(CT255)),(CHAR(96+(ROUNDDOWN((COLUMN(CT255)-1)/26,0)))&amp;CHAR(96+IF(MOD(COLUMN(CT255),26)=0,26,MOD(COLUMN(CT255),26))))),CT255)</f>
        <v>ct244</v>
      </c>
      <c r="CU256" s="897"/>
      <c r="DC256" s="664"/>
      <c r="DF256" s="899" t="str">
        <f>CONCATENATE(IF(COLUMN(DF255)&lt;=26,CHAR(96+COLUMN(DF255)),(CHAR(96+(ROUNDDOWN((COLUMN(DF255)-1)/26,0)))&amp;CHAR(96+IF(MOD(COLUMN(DF255),26)=0,26,MOD(COLUMN(DF255),26))))),DF255)</f>
        <v>df244</v>
      </c>
      <c r="DG256" s="897"/>
      <c r="DO256" s="664"/>
    </row>
    <row r="257" spans="2:119" hidden="1" x14ac:dyDescent="0.25">
      <c r="B257" s="899" t="str">
        <f>CONCATENATE(CHAR(64+COLUMN(C255)),B255)</f>
        <v>C244</v>
      </c>
      <c r="C257" s="897"/>
      <c r="K257" s="664"/>
      <c r="N257" s="899" t="str">
        <f>CONCATENATE(CHAR(64+COLUMN(O255)),N255)</f>
        <v>O244</v>
      </c>
      <c r="O257" s="897"/>
      <c r="U257" s="663"/>
      <c r="W257" s="664"/>
      <c r="Z257" s="899" t="str">
        <f>CONCATENATE(IF(COLUMN(AA255)&lt;=26,CHAR(96+COLUMN(AA255)),(CHAR(96+(ROUNDDOWN((COLUMN(AA255)-1)/26,0)))&amp;CHAR(96+IF(MOD(COLUMN(AA255),26)=0,26,MOD(COLUMN(AA255),26))))),Z255)</f>
        <v>aa244</v>
      </c>
      <c r="AA257" s="897"/>
      <c r="AB257" s="663"/>
      <c r="AC257" s="663"/>
      <c r="AD257" s="663"/>
      <c r="AE257" s="663"/>
      <c r="AF257" s="663"/>
      <c r="AG257" s="663"/>
      <c r="AH257" s="663"/>
      <c r="AI257" s="664"/>
      <c r="AL257" s="899" t="str">
        <f>CONCATENATE(IF(COLUMN(AM255)&lt;=26,CHAR(96+COLUMN(AM255)),(CHAR(96+(ROUNDDOWN((COLUMN(AM255)-1)/26,0)))&amp;CHAR(96+IF(MOD(COLUMN(AM255),26)=0,26,MOD(COLUMN(AM255),26))))),AL255)</f>
        <v>am244</v>
      </c>
      <c r="AM257" s="897"/>
      <c r="AN257" s="663"/>
      <c r="AU257" s="664"/>
      <c r="AX257" s="899" t="str">
        <f>CONCATENATE(IF(COLUMN(AY255)&lt;=26,CHAR(96+COLUMN(AY255)),(CHAR(96+(ROUNDDOWN((COLUMN(AY255)-1)/26,0)))&amp;CHAR(96+IF(MOD(COLUMN(AY255),26)=0,26,MOD(COLUMN(AY255),26))))),AX255)</f>
        <v>ay244</v>
      </c>
      <c r="AY257" s="897"/>
      <c r="BG257" s="664"/>
      <c r="BJ257" s="899" t="str">
        <f>CONCATENATE(IF(COLUMN(BK255)&lt;=26,CHAR(96+COLUMN(BK255)),(CHAR(96+(ROUNDDOWN((COLUMN(BK255)-1)/26,0)))&amp;CHAR(96+IF(MOD(COLUMN(BK255),26)=0,26,MOD(COLUMN(BK255),26))))),BJ255)</f>
        <v>bk244</v>
      </c>
      <c r="BK257" s="897"/>
      <c r="BS257" s="664"/>
      <c r="BV257" s="899" t="str">
        <f>CONCATENATE(IF(COLUMN(BW255)&lt;=26,CHAR(96+COLUMN(BW255)),(CHAR(96+(ROUNDDOWN((COLUMN(BW255)-1)/26,0)))&amp;CHAR(96+IF(MOD(COLUMN(BW255),26)=0,26,MOD(COLUMN(BW255),26))))),BV255)</f>
        <v>bw244</v>
      </c>
      <c r="BW257" s="897"/>
      <c r="CE257" s="664"/>
      <c r="CH257" s="899" t="str">
        <f>CONCATENATE(IF(COLUMN(CI255)&lt;=26,CHAR(96+COLUMN(CI255)),(CHAR(96+(ROUNDDOWN((COLUMN(CI255)-1)/26,0)))&amp;CHAR(96+IF(MOD(COLUMN(CI255),26)=0,26,MOD(COLUMN(CI255),26))))),CH255)</f>
        <v>ci244</v>
      </c>
      <c r="CI257" s="897"/>
      <c r="CQ257" s="664"/>
      <c r="CT257" s="899" t="str">
        <f>CONCATENATE(IF(COLUMN(CU255)&lt;=26,CHAR(96+COLUMN(CU255)),(CHAR(96+(ROUNDDOWN((COLUMN(CU255)-1)/26,0)))&amp;CHAR(96+IF(MOD(COLUMN(CU255),26)=0,26,MOD(COLUMN(CU255),26))))),CT255)</f>
        <v>cu244</v>
      </c>
      <c r="CU257" s="897"/>
      <c r="DC257" s="664"/>
      <c r="DF257" s="899" t="str">
        <f>CONCATENATE(IF(COLUMN(DG255)&lt;=26,CHAR(96+COLUMN(DG255)),(CHAR(96+(ROUNDDOWN((COLUMN(DG255)-1)/26,0)))&amp;CHAR(96+IF(MOD(COLUMN(DG255),26)=0,26,MOD(COLUMN(DG255),26))))),DF255)</f>
        <v>dg244</v>
      </c>
      <c r="DG257" s="897"/>
      <c r="DO257" s="664"/>
    </row>
    <row r="258" spans="2:119" hidden="1" x14ac:dyDescent="0.25">
      <c r="B258" s="899"/>
      <c r="C258" s="897"/>
      <c r="K258" s="664"/>
      <c r="N258" s="899"/>
      <c r="O258" s="897"/>
      <c r="U258" s="663"/>
      <c r="W258" s="664"/>
      <c r="Z258" s="899"/>
      <c r="AA258" s="897"/>
      <c r="AB258" s="663"/>
      <c r="AC258" s="663"/>
      <c r="AD258" s="663"/>
      <c r="AE258" s="663"/>
      <c r="AF258" s="663"/>
      <c r="AG258" s="663"/>
      <c r="AH258" s="663"/>
      <c r="AI258" s="664"/>
      <c r="AL258" s="899"/>
      <c r="AM258" s="897"/>
      <c r="AN258" s="663"/>
      <c r="AU258" s="664"/>
      <c r="AX258" s="899"/>
      <c r="AY258" s="897"/>
      <c r="BG258" s="664"/>
      <c r="BJ258" s="899"/>
      <c r="BK258" s="897"/>
      <c r="BS258" s="664"/>
      <c r="BV258" s="899"/>
      <c r="BW258" s="897"/>
      <c r="CE258" s="664"/>
      <c r="CH258" s="899"/>
      <c r="CI258" s="897"/>
      <c r="CQ258" s="664"/>
      <c r="CT258" s="899"/>
      <c r="CU258" s="897"/>
      <c r="DC258" s="664"/>
      <c r="DF258" s="899"/>
      <c r="DG258" s="897"/>
      <c r="DO258" s="664"/>
    </row>
    <row r="259" spans="2:119" hidden="1" x14ac:dyDescent="0.25">
      <c r="B259" s="900">
        <f>B244</f>
        <v>39113</v>
      </c>
      <c r="C259" s="897">
        <f>C244</f>
        <v>-1000000</v>
      </c>
      <c r="K259" s="664"/>
      <c r="N259" s="900">
        <f>N244</f>
        <v>39113</v>
      </c>
      <c r="O259" s="897">
        <f>O244</f>
        <v>-1000000</v>
      </c>
      <c r="U259" s="663"/>
      <c r="W259" s="664"/>
      <c r="Z259" s="900">
        <f>Z244</f>
        <v>39113</v>
      </c>
      <c r="AA259" s="897">
        <f>AA244</f>
        <v>-1000000</v>
      </c>
      <c r="AB259" s="663"/>
      <c r="AC259" s="663"/>
      <c r="AD259" s="663"/>
      <c r="AE259" s="663"/>
      <c r="AF259" s="663"/>
      <c r="AG259" s="663"/>
      <c r="AH259" s="663"/>
      <c r="AI259" s="664"/>
      <c r="AL259" s="900">
        <f>AL244</f>
        <v>39113</v>
      </c>
      <c r="AM259" s="897">
        <f>AM244</f>
        <v>-1000000</v>
      </c>
      <c r="AN259" s="663"/>
      <c r="AU259" s="664"/>
      <c r="AX259" s="900">
        <f>AX244</f>
        <v>39113</v>
      </c>
      <c r="AY259" s="897">
        <f>AY244</f>
        <v>-1000000</v>
      </c>
      <c r="BG259" s="664"/>
      <c r="BJ259" s="900">
        <f>BJ244</f>
        <v>39113</v>
      </c>
      <c r="BK259" s="897">
        <f>BK244</f>
        <v>-1000000</v>
      </c>
      <c r="BS259" s="664"/>
      <c r="BV259" s="900">
        <f>BV244</f>
        <v>39113</v>
      </c>
      <c r="BW259" s="897">
        <f>BW244</f>
        <v>-1000000</v>
      </c>
      <c r="CE259" s="664"/>
      <c r="CH259" s="900">
        <f>CH244</f>
        <v>39113</v>
      </c>
      <c r="CI259" s="897">
        <f>CI244</f>
        <v>-1000000</v>
      </c>
      <c r="CQ259" s="664"/>
      <c r="CT259" s="900">
        <f>CT244</f>
        <v>39113</v>
      </c>
      <c r="CU259" s="897">
        <f>CU244</f>
        <v>-1000000</v>
      </c>
      <c r="DC259" s="664"/>
      <c r="DF259" s="900">
        <f>DF244</f>
        <v>39113</v>
      </c>
      <c r="DG259" s="897">
        <f>DG244</f>
        <v>-1000000</v>
      </c>
      <c r="DO259" s="664"/>
    </row>
    <row r="260" spans="2:119" hidden="1" x14ac:dyDescent="0.25">
      <c r="B260" s="900">
        <f t="shared" ref="B260:C268" si="169">B245</f>
        <v>39478</v>
      </c>
      <c r="C260" s="897">
        <f t="shared" si="169"/>
        <v>-2000000</v>
      </c>
      <c r="K260" s="664"/>
      <c r="N260" s="900">
        <f t="shared" ref="N260:O260" si="170">N245</f>
        <v>39478</v>
      </c>
      <c r="O260" s="897">
        <f t="shared" si="170"/>
        <v>-2000000</v>
      </c>
      <c r="U260" s="663"/>
      <c r="W260" s="664"/>
      <c r="Z260" s="900">
        <f t="shared" ref="Z260:AA260" si="171">Z245</f>
        <v>39478</v>
      </c>
      <c r="AA260" s="897">
        <f t="shared" si="171"/>
        <v>-2000000</v>
      </c>
      <c r="AB260" s="663"/>
      <c r="AC260" s="663"/>
      <c r="AD260" s="663"/>
      <c r="AE260" s="663"/>
      <c r="AF260" s="663"/>
      <c r="AG260" s="663"/>
      <c r="AH260" s="663"/>
      <c r="AI260" s="664"/>
      <c r="AL260" s="900">
        <f t="shared" ref="AL260:AM260" si="172">AL245</f>
        <v>39478</v>
      </c>
      <c r="AM260" s="897">
        <f t="shared" si="172"/>
        <v>-2000000</v>
      </c>
      <c r="AN260" s="663"/>
      <c r="AU260" s="664"/>
      <c r="AX260" s="900">
        <f t="shared" ref="AX260:AY260" si="173">AX245</f>
        <v>39478</v>
      </c>
      <c r="AY260" s="897">
        <f t="shared" si="173"/>
        <v>-2000000</v>
      </c>
      <c r="BG260" s="664"/>
      <c r="BJ260" s="900">
        <f t="shared" ref="BJ260:BK260" si="174">BJ245</f>
        <v>39478</v>
      </c>
      <c r="BK260" s="897">
        <f t="shared" si="174"/>
        <v>-2000000</v>
      </c>
      <c r="BS260" s="664"/>
      <c r="BV260" s="900">
        <f t="shared" ref="BV260:BW260" si="175">BV245</f>
        <v>39478</v>
      </c>
      <c r="BW260" s="897">
        <f t="shared" si="175"/>
        <v>-2000000</v>
      </c>
      <c r="CE260" s="664"/>
      <c r="CH260" s="900">
        <f t="shared" ref="CH260:CI260" si="176">CH245</f>
        <v>39478</v>
      </c>
      <c r="CI260" s="897">
        <f t="shared" si="176"/>
        <v>-2000000</v>
      </c>
      <c r="CQ260" s="664"/>
      <c r="CT260" s="900">
        <f t="shared" ref="CT260:CU260" si="177">CT245</f>
        <v>39478</v>
      </c>
      <c r="CU260" s="897">
        <f t="shared" si="177"/>
        <v>-2000000</v>
      </c>
      <c r="DC260" s="664"/>
      <c r="DF260" s="900">
        <f t="shared" ref="DF260:DG260" si="178">DF245</f>
        <v>39478</v>
      </c>
      <c r="DG260" s="897">
        <f t="shared" si="178"/>
        <v>-2000000</v>
      </c>
      <c r="DO260" s="664"/>
    </row>
    <row r="261" spans="2:119" hidden="1" x14ac:dyDescent="0.25">
      <c r="B261" s="900">
        <f t="shared" si="169"/>
        <v>39843</v>
      </c>
      <c r="C261" s="897">
        <f t="shared" si="169"/>
        <v>0</v>
      </c>
      <c r="K261" s="664"/>
      <c r="N261" s="900">
        <f t="shared" ref="N261:O261" si="179">N246</f>
        <v>39843</v>
      </c>
      <c r="O261" s="897">
        <f t="shared" si="179"/>
        <v>0</v>
      </c>
      <c r="U261" s="663"/>
      <c r="W261" s="664"/>
      <c r="Z261" s="900">
        <f t="shared" ref="Z261:AA261" si="180">Z246</f>
        <v>39843</v>
      </c>
      <c r="AA261" s="897">
        <f t="shared" si="180"/>
        <v>0</v>
      </c>
      <c r="AB261" s="663"/>
      <c r="AC261" s="663"/>
      <c r="AD261" s="663"/>
      <c r="AE261" s="663"/>
      <c r="AF261" s="663"/>
      <c r="AG261" s="663"/>
      <c r="AH261" s="663"/>
      <c r="AI261" s="664"/>
      <c r="AL261" s="900">
        <f t="shared" ref="AL261:AM261" si="181">AL246</f>
        <v>39843</v>
      </c>
      <c r="AM261" s="897">
        <f t="shared" si="181"/>
        <v>0</v>
      </c>
      <c r="AN261" s="663"/>
      <c r="AU261" s="664"/>
      <c r="AX261" s="900">
        <f t="shared" ref="AX261:AY261" si="182">AX246</f>
        <v>39843</v>
      </c>
      <c r="AY261" s="897">
        <f t="shared" si="182"/>
        <v>0</v>
      </c>
      <c r="BG261" s="664"/>
      <c r="BJ261" s="900">
        <f t="shared" ref="BJ261:BK261" si="183">BJ246</f>
        <v>39843</v>
      </c>
      <c r="BK261" s="897">
        <f t="shared" si="183"/>
        <v>0</v>
      </c>
      <c r="BS261" s="664"/>
      <c r="BV261" s="900">
        <f t="shared" ref="BV261:BW261" si="184">BV246</f>
        <v>39843</v>
      </c>
      <c r="BW261" s="897">
        <f t="shared" si="184"/>
        <v>0</v>
      </c>
      <c r="CE261" s="664"/>
      <c r="CH261" s="900">
        <f t="shared" ref="CH261:CI261" si="185">CH246</f>
        <v>39843</v>
      </c>
      <c r="CI261" s="897">
        <f t="shared" si="185"/>
        <v>0</v>
      </c>
      <c r="CQ261" s="664"/>
      <c r="CT261" s="900">
        <f t="shared" ref="CT261:CU261" si="186">CT246</f>
        <v>39843</v>
      </c>
      <c r="CU261" s="897">
        <f t="shared" si="186"/>
        <v>0</v>
      </c>
      <c r="DC261" s="664"/>
      <c r="DF261" s="900">
        <f t="shared" ref="DF261:DG261" si="187">DF246</f>
        <v>39843</v>
      </c>
      <c r="DG261" s="897">
        <f t="shared" si="187"/>
        <v>0</v>
      </c>
      <c r="DO261" s="664"/>
    </row>
    <row r="262" spans="2:119" hidden="1" x14ac:dyDescent="0.25">
      <c r="B262" s="900">
        <f t="shared" si="169"/>
        <v>39843</v>
      </c>
      <c r="C262" s="897">
        <f t="shared" si="169"/>
        <v>0</v>
      </c>
      <c r="K262" s="664"/>
      <c r="N262" s="900">
        <f t="shared" ref="N262:O262" si="188">N247</f>
        <v>39843</v>
      </c>
      <c r="O262" s="897">
        <f t="shared" si="188"/>
        <v>0</v>
      </c>
      <c r="U262" s="663"/>
      <c r="W262" s="664"/>
      <c r="Z262" s="900">
        <f t="shared" ref="Z262:AA262" si="189">Z247</f>
        <v>39843</v>
      </c>
      <c r="AA262" s="897">
        <f t="shared" si="189"/>
        <v>0</v>
      </c>
      <c r="AB262" s="663"/>
      <c r="AC262" s="663"/>
      <c r="AD262" s="663"/>
      <c r="AE262" s="663"/>
      <c r="AF262" s="663"/>
      <c r="AG262" s="663"/>
      <c r="AH262" s="663"/>
      <c r="AI262" s="664"/>
      <c r="AL262" s="900">
        <f t="shared" ref="AL262:AM262" si="190">AL247</f>
        <v>39843</v>
      </c>
      <c r="AM262" s="897">
        <f t="shared" si="190"/>
        <v>0</v>
      </c>
      <c r="AN262" s="663"/>
      <c r="AU262" s="664"/>
      <c r="AX262" s="900">
        <f t="shared" ref="AX262:AY262" si="191">AX247</f>
        <v>39843</v>
      </c>
      <c r="AY262" s="897">
        <f t="shared" si="191"/>
        <v>0</v>
      </c>
      <c r="BG262" s="664"/>
      <c r="BJ262" s="900">
        <f t="shared" ref="BJ262:BK262" si="192">BJ247</f>
        <v>39843</v>
      </c>
      <c r="BK262" s="897">
        <f t="shared" si="192"/>
        <v>0</v>
      </c>
      <c r="BS262" s="664"/>
      <c r="BV262" s="900">
        <f t="shared" ref="BV262:BW262" si="193">BV247</f>
        <v>39843</v>
      </c>
      <c r="BW262" s="897">
        <f t="shared" si="193"/>
        <v>0</v>
      </c>
      <c r="CE262" s="664"/>
      <c r="CH262" s="900">
        <f t="shared" ref="CH262:CI262" si="194">CH247</f>
        <v>39843</v>
      </c>
      <c r="CI262" s="897">
        <f t="shared" si="194"/>
        <v>0</v>
      </c>
      <c r="CQ262" s="664"/>
      <c r="CT262" s="900">
        <f t="shared" ref="CT262:CU262" si="195">CT247</f>
        <v>39843</v>
      </c>
      <c r="CU262" s="897">
        <f t="shared" si="195"/>
        <v>0</v>
      </c>
      <c r="DC262" s="664"/>
      <c r="DF262" s="900">
        <f t="shared" ref="DF262:DG262" si="196">DF247</f>
        <v>39843</v>
      </c>
      <c r="DG262" s="897">
        <f t="shared" si="196"/>
        <v>0</v>
      </c>
      <c r="DO262" s="664"/>
    </row>
    <row r="263" spans="2:119" hidden="1" x14ac:dyDescent="0.25">
      <c r="B263" s="900">
        <f t="shared" si="169"/>
        <v>39843</v>
      </c>
      <c r="C263" s="897">
        <f t="shared" si="169"/>
        <v>0</v>
      </c>
      <c r="K263" s="664"/>
      <c r="N263" s="900">
        <f t="shared" ref="N263:O263" si="197">N248</f>
        <v>39843</v>
      </c>
      <c r="O263" s="897">
        <f t="shared" si="197"/>
        <v>0</v>
      </c>
      <c r="U263" s="663"/>
      <c r="W263" s="664"/>
      <c r="Z263" s="900">
        <f t="shared" ref="Z263:AA263" si="198">Z248</f>
        <v>39843</v>
      </c>
      <c r="AA263" s="897">
        <f t="shared" si="198"/>
        <v>0</v>
      </c>
      <c r="AB263" s="663"/>
      <c r="AC263" s="663"/>
      <c r="AD263" s="663"/>
      <c r="AE263" s="663"/>
      <c r="AF263" s="663"/>
      <c r="AG263" s="663"/>
      <c r="AH263" s="663"/>
      <c r="AI263" s="664"/>
      <c r="AL263" s="900">
        <f t="shared" ref="AL263:AM263" si="199">AL248</f>
        <v>39843</v>
      </c>
      <c r="AM263" s="897">
        <f t="shared" si="199"/>
        <v>0</v>
      </c>
      <c r="AN263" s="663"/>
      <c r="AU263" s="664"/>
      <c r="AX263" s="900">
        <f t="shared" ref="AX263:AY263" si="200">AX248</f>
        <v>39843</v>
      </c>
      <c r="AY263" s="897">
        <f t="shared" si="200"/>
        <v>0</v>
      </c>
      <c r="BG263" s="664"/>
      <c r="BJ263" s="900">
        <f t="shared" ref="BJ263:BK263" si="201">BJ248</f>
        <v>39843</v>
      </c>
      <c r="BK263" s="897">
        <f t="shared" si="201"/>
        <v>0</v>
      </c>
      <c r="BS263" s="664"/>
      <c r="BV263" s="900">
        <f t="shared" ref="BV263:BW263" si="202">BV248</f>
        <v>39843</v>
      </c>
      <c r="BW263" s="897">
        <f t="shared" si="202"/>
        <v>0</v>
      </c>
      <c r="CE263" s="664"/>
      <c r="CH263" s="900">
        <f t="shared" ref="CH263:CI263" si="203">CH248</f>
        <v>39843</v>
      </c>
      <c r="CI263" s="897">
        <f t="shared" si="203"/>
        <v>0</v>
      </c>
      <c r="CQ263" s="664"/>
      <c r="CT263" s="900">
        <f t="shared" ref="CT263:CU263" si="204">CT248</f>
        <v>39843</v>
      </c>
      <c r="CU263" s="897">
        <f t="shared" si="204"/>
        <v>0</v>
      </c>
      <c r="DC263" s="664"/>
      <c r="DF263" s="900">
        <f t="shared" ref="DF263:DG263" si="205">DF248</f>
        <v>39843</v>
      </c>
      <c r="DG263" s="897">
        <f t="shared" si="205"/>
        <v>0</v>
      </c>
      <c r="DO263" s="664"/>
    </row>
    <row r="264" spans="2:119" hidden="1" x14ac:dyDescent="0.25">
      <c r="B264" s="900">
        <f t="shared" si="169"/>
        <v>39843</v>
      </c>
      <c r="C264" s="897">
        <f t="shared" si="169"/>
        <v>0</v>
      </c>
      <c r="K264" s="664"/>
      <c r="N264" s="900">
        <f t="shared" ref="N264:O264" si="206">N249</f>
        <v>39843</v>
      </c>
      <c r="O264" s="897">
        <f t="shared" si="206"/>
        <v>0</v>
      </c>
      <c r="U264" s="663"/>
      <c r="W264" s="664"/>
      <c r="Z264" s="900">
        <f t="shared" ref="Z264:AA264" si="207">Z249</f>
        <v>39843</v>
      </c>
      <c r="AA264" s="897">
        <f t="shared" si="207"/>
        <v>0</v>
      </c>
      <c r="AB264" s="663"/>
      <c r="AC264" s="663"/>
      <c r="AD264" s="663"/>
      <c r="AE264" s="663"/>
      <c r="AF264" s="663"/>
      <c r="AG264" s="663"/>
      <c r="AH264" s="663"/>
      <c r="AI264" s="664"/>
      <c r="AL264" s="900">
        <f t="shared" ref="AL264:AM264" si="208">AL249</f>
        <v>39843</v>
      </c>
      <c r="AM264" s="897">
        <f t="shared" si="208"/>
        <v>0</v>
      </c>
      <c r="AN264" s="663"/>
      <c r="AU264" s="664"/>
      <c r="AX264" s="900">
        <f t="shared" ref="AX264:AY264" si="209">AX249</f>
        <v>39843</v>
      </c>
      <c r="AY264" s="897">
        <f t="shared" si="209"/>
        <v>0</v>
      </c>
      <c r="BG264" s="664"/>
      <c r="BJ264" s="900">
        <f t="shared" ref="BJ264:BK264" si="210">BJ249</f>
        <v>39843</v>
      </c>
      <c r="BK264" s="897">
        <f t="shared" si="210"/>
        <v>0</v>
      </c>
      <c r="BS264" s="664"/>
      <c r="BV264" s="900">
        <f t="shared" ref="BV264:BW264" si="211">BV249</f>
        <v>39843</v>
      </c>
      <c r="BW264" s="897">
        <f t="shared" si="211"/>
        <v>0</v>
      </c>
      <c r="CE264" s="664"/>
      <c r="CH264" s="900">
        <f t="shared" ref="CH264:CI264" si="212">CH249</f>
        <v>39843</v>
      </c>
      <c r="CI264" s="897">
        <f t="shared" si="212"/>
        <v>0</v>
      </c>
      <c r="CQ264" s="664"/>
      <c r="CT264" s="900">
        <f t="shared" ref="CT264:CU264" si="213">CT249</f>
        <v>39843</v>
      </c>
      <c r="CU264" s="897">
        <f t="shared" si="213"/>
        <v>0</v>
      </c>
      <c r="DC264" s="664"/>
      <c r="DF264" s="900">
        <f t="shared" ref="DF264:DG264" si="214">DF249</f>
        <v>39843</v>
      </c>
      <c r="DG264" s="897">
        <f t="shared" si="214"/>
        <v>0</v>
      </c>
      <c r="DO264" s="664"/>
    </row>
    <row r="265" spans="2:119" hidden="1" x14ac:dyDescent="0.25">
      <c r="B265" s="900">
        <f t="shared" si="169"/>
        <v>39843</v>
      </c>
      <c r="C265" s="897">
        <f t="shared" si="169"/>
        <v>0</v>
      </c>
      <c r="K265" s="664"/>
      <c r="N265" s="900">
        <f t="shared" ref="N265:O265" si="215">N250</f>
        <v>39843</v>
      </c>
      <c r="O265" s="897">
        <f t="shared" si="215"/>
        <v>0</v>
      </c>
      <c r="U265" s="663"/>
      <c r="W265" s="664"/>
      <c r="Z265" s="900">
        <f t="shared" ref="Z265:AA265" si="216">Z250</f>
        <v>39843</v>
      </c>
      <c r="AA265" s="897">
        <f t="shared" si="216"/>
        <v>0</v>
      </c>
      <c r="AB265" s="663"/>
      <c r="AC265" s="663"/>
      <c r="AD265" s="663"/>
      <c r="AE265" s="663"/>
      <c r="AF265" s="663"/>
      <c r="AG265" s="663"/>
      <c r="AH265" s="663"/>
      <c r="AI265" s="664"/>
      <c r="AL265" s="900">
        <f t="shared" ref="AL265:AM265" si="217">AL250</f>
        <v>39843</v>
      </c>
      <c r="AM265" s="897">
        <f t="shared" si="217"/>
        <v>0</v>
      </c>
      <c r="AN265" s="663"/>
      <c r="AU265" s="664"/>
      <c r="AX265" s="900">
        <f t="shared" ref="AX265:AY265" si="218">AX250</f>
        <v>39843</v>
      </c>
      <c r="AY265" s="897">
        <f t="shared" si="218"/>
        <v>0</v>
      </c>
      <c r="BG265" s="664"/>
      <c r="BJ265" s="900">
        <f t="shared" ref="BJ265:BK265" si="219">BJ250</f>
        <v>39843</v>
      </c>
      <c r="BK265" s="897">
        <f t="shared" si="219"/>
        <v>0</v>
      </c>
      <c r="BS265" s="664"/>
      <c r="BV265" s="900">
        <f t="shared" ref="BV265:BW265" si="220">BV250</f>
        <v>39843</v>
      </c>
      <c r="BW265" s="897">
        <f t="shared" si="220"/>
        <v>0</v>
      </c>
      <c r="CE265" s="664"/>
      <c r="CH265" s="900">
        <f t="shared" ref="CH265:CI265" si="221">CH250</f>
        <v>39843</v>
      </c>
      <c r="CI265" s="897">
        <f t="shared" si="221"/>
        <v>0</v>
      </c>
      <c r="CQ265" s="664"/>
      <c r="CT265" s="900">
        <f t="shared" ref="CT265:CU265" si="222">CT250</f>
        <v>39843</v>
      </c>
      <c r="CU265" s="897">
        <f t="shared" si="222"/>
        <v>0</v>
      </c>
      <c r="DC265" s="664"/>
      <c r="DF265" s="900">
        <f t="shared" ref="DF265:DG265" si="223">DF250</f>
        <v>39843</v>
      </c>
      <c r="DG265" s="897">
        <f t="shared" si="223"/>
        <v>0</v>
      </c>
      <c r="DO265" s="664"/>
    </row>
    <row r="266" spans="2:119" hidden="1" x14ac:dyDescent="0.25">
      <c r="B266" s="900">
        <f t="shared" si="169"/>
        <v>39843</v>
      </c>
      <c r="C266" s="897">
        <f t="shared" si="169"/>
        <v>0</v>
      </c>
      <c r="K266" s="664"/>
      <c r="N266" s="900">
        <f t="shared" ref="N266:O266" si="224">N251</f>
        <v>39843</v>
      </c>
      <c r="O266" s="897">
        <f t="shared" si="224"/>
        <v>0</v>
      </c>
      <c r="U266" s="663"/>
      <c r="W266" s="664"/>
      <c r="Z266" s="900">
        <f t="shared" ref="Z266:AA266" si="225">Z251</f>
        <v>39843</v>
      </c>
      <c r="AA266" s="897">
        <f t="shared" si="225"/>
        <v>0</v>
      </c>
      <c r="AB266" s="663"/>
      <c r="AC266" s="663"/>
      <c r="AD266" s="663"/>
      <c r="AE266" s="663"/>
      <c r="AF266" s="663"/>
      <c r="AG266" s="663"/>
      <c r="AH266" s="663"/>
      <c r="AI266" s="664"/>
      <c r="AL266" s="900">
        <f t="shared" ref="AL266:AM266" si="226">AL251</f>
        <v>39843</v>
      </c>
      <c r="AM266" s="897">
        <f t="shared" si="226"/>
        <v>0</v>
      </c>
      <c r="AN266" s="663"/>
      <c r="AU266" s="664"/>
      <c r="AX266" s="900">
        <f t="shared" ref="AX266:AY266" si="227">AX251</f>
        <v>39843</v>
      </c>
      <c r="AY266" s="897">
        <f t="shared" si="227"/>
        <v>0</v>
      </c>
      <c r="BG266" s="664"/>
      <c r="BJ266" s="900">
        <f t="shared" ref="BJ266:BK266" si="228">BJ251</f>
        <v>39843</v>
      </c>
      <c r="BK266" s="897">
        <f t="shared" si="228"/>
        <v>0</v>
      </c>
      <c r="BS266" s="664"/>
      <c r="BV266" s="900">
        <f t="shared" ref="BV266:BW266" si="229">BV251</f>
        <v>39843</v>
      </c>
      <c r="BW266" s="897">
        <f t="shared" si="229"/>
        <v>0</v>
      </c>
      <c r="CE266" s="664"/>
      <c r="CH266" s="900">
        <f t="shared" ref="CH266:CI266" si="230">CH251</f>
        <v>39843</v>
      </c>
      <c r="CI266" s="897">
        <f t="shared" si="230"/>
        <v>0</v>
      </c>
      <c r="CQ266" s="664"/>
      <c r="CT266" s="900">
        <f t="shared" ref="CT266:CU266" si="231">CT251</f>
        <v>39843</v>
      </c>
      <c r="CU266" s="897">
        <f t="shared" si="231"/>
        <v>0</v>
      </c>
      <c r="DC266" s="664"/>
      <c r="DF266" s="900">
        <f t="shared" ref="DF266:DG266" si="232">DF251</f>
        <v>39843</v>
      </c>
      <c r="DG266" s="897">
        <f t="shared" si="232"/>
        <v>0</v>
      </c>
      <c r="DO266" s="664"/>
    </row>
    <row r="267" spans="2:119" hidden="1" x14ac:dyDescent="0.25">
      <c r="B267" s="900">
        <f t="shared" si="169"/>
        <v>39843</v>
      </c>
      <c r="C267" s="897">
        <f t="shared" si="169"/>
        <v>0</v>
      </c>
      <c r="K267" s="664"/>
      <c r="N267" s="900">
        <f t="shared" ref="N267:O267" si="233">N252</f>
        <v>39843</v>
      </c>
      <c r="O267" s="897">
        <f t="shared" si="233"/>
        <v>0</v>
      </c>
      <c r="U267" s="663"/>
      <c r="W267" s="664"/>
      <c r="Z267" s="900">
        <f t="shared" ref="Z267:AA267" si="234">Z252</f>
        <v>39843</v>
      </c>
      <c r="AA267" s="897">
        <f t="shared" si="234"/>
        <v>0</v>
      </c>
      <c r="AB267" s="663"/>
      <c r="AC267" s="663"/>
      <c r="AD267" s="663"/>
      <c r="AE267" s="663"/>
      <c r="AF267" s="663"/>
      <c r="AG267" s="663"/>
      <c r="AH267" s="663"/>
      <c r="AI267" s="664"/>
      <c r="AL267" s="900">
        <f t="shared" ref="AL267:AM267" si="235">AL252</f>
        <v>39843</v>
      </c>
      <c r="AM267" s="897">
        <f t="shared" si="235"/>
        <v>0</v>
      </c>
      <c r="AN267" s="663"/>
      <c r="AU267" s="664"/>
      <c r="AX267" s="900">
        <f t="shared" ref="AX267:AY267" si="236">AX252</f>
        <v>39843</v>
      </c>
      <c r="AY267" s="897">
        <f t="shared" si="236"/>
        <v>0</v>
      </c>
      <c r="BG267" s="664"/>
      <c r="BJ267" s="900">
        <f t="shared" ref="BJ267:BK267" si="237">BJ252</f>
        <v>39843</v>
      </c>
      <c r="BK267" s="897">
        <f t="shared" si="237"/>
        <v>0</v>
      </c>
      <c r="BS267" s="664"/>
      <c r="BV267" s="900">
        <f t="shared" ref="BV267:BW267" si="238">BV252</f>
        <v>39843</v>
      </c>
      <c r="BW267" s="897">
        <f t="shared" si="238"/>
        <v>0</v>
      </c>
      <c r="CE267" s="664"/>
      <c r="CH267" s="900">
        <f t="shared" ref="CH267:CI267" si="239">CH252</f>
        <v>39843</v>
      </c>
      <c r="CI267" s="897">
        <f t="shared" si="239"/>
        <v>0</v>
      </c>
      <c r="CQ267" s="664"/>
      <c r="CT267" s="900">
        <f t="shared" ref="CT267:CU267" si="240">CT252</f>
        <v>39843</v>
      </c>
      <c r="CU267" s="897">
        <f t="shared" si="240"/>
        <v>0</v>
      </c>
      <c r="DC267" s="664"/>
      <c r="DF267" s="900">
        <f t="shared" ref="DF267:DG267" si="241">DF252</f>
        <v>39843</v>
      </c>
      <c r="DG267" s="897">
        <f t="shared" si="241"/>
        <v>0</v>
      </c>
      <c r="DO267" s="664"/>
    </row>
    <row r="268" spans="2:119" hidden="1" x14ac:dyDescent="0.25">
      <c r="B268" s="900">
        <f t="shared" si="169"/>
        <v>39843</v>
      </c>
      <c r="C268" s="897">
        <f t="shared" si="169"/>
        <v>0</v>
      </c>
      <c r="K268" s="664"/>
      <c r="N268" s="900">
        <f t="shared" ref="N268:O268" si="242">N253</f>
        <v>39843</v>
      </c>
      <c r="O268" s="897">
        <f t="shared" si="242"/>
        <v>0</v>
      </c>
      <c r="U268" s="663"/>
      <c r="W268" s="664"/>
      <c r="Z268" s="900">
        <f t="shared" ref="Z268:AA268" si="243">Z253</f>
        <v>39843</v>
      </c>
      <c r="AA268" s="897">
        <f t="shared" si="243"/>
        <v>0</v>
      </c>
      <c r="AB268" s="663"/>
      <c r="AC268" s="663"/>
      <c r="AD268" s="663"/>
      <c r="AE268" s="663"/>
      <c r="AF268" s="663"/>
      <c r="AG268" s="663"/>
      <c r="AH268" s="663"/>
      <c r="AI268" s="664"/>
      <c r="AL268" s="900">
        <f t="shared" ref="AL268:AM268" si="244">AL253</f>
        <v>39843</v>
      </c>
      <c r="AM268" s="897">
        <f t="shared" si="244"/>
        <v>0</v>
      </c>
      <c r="AN268" s="663"/>
      <c r="AU268" s="664"/>
      <c r="AX268" s="900">
        <f t="shared" ref="AX268:AY268" si="245">AX253</f>
        <v>39843</v>
      </c>
      <c r="AY268" s="897">
        <f t="shared" si="245"/>
        <v>0</v>
      </c>
      <c r="BG268" s="664"/>
      <c r="BJ268" s="900">
        <f t="shared" ref="BJ268:BK268" si="246">BJ253</f>
        <v>39843</v>
      </c>
      <c r="BK268" s="897">
        <f t="shared" si="246"/>
        <v>0</v>
      </c>
      <c r="BS268" s="664"/>
      <c r="BV268" s="900">
        <f t="shared" ref="BV268:BW268" si="247">BV253</f>
        <v>39843</v>
      </c>
      <c r="BW268" s="897">
        <f t="shared" si="247"/>
        <v>0</v>
      </c>
      <c r="CE268" s="664"/>
      <c r="CH268" s="900">
        <f t="shared" ref="CH268:CI268" si="248">CH253</f>
        <v>39843</v>
      </c>
      <c r="CI268" s="897">
        <f t="shared" si="248"/>
        <v>0</v>
      </c>
      <c r="CQ268" s="664"/>
      <c r="CT268" s="900">
        <f t="shared" ref="CT268:CU268" si="249">CT253</f>
        <v>39843</v>
      </c>
      <c r="CU268" s="897">
        <f t="shared" si="249"/>
        <v>0</v>
      </c>
      <c r="DC268" s="664"/>
      <c r="DF268" s="900">
        <f t="shared" ref="DF268:DG268" si="250">DF253</f>
        <v>39843</v>
      </c>
      <c r="DG268" s="897">
        <f t="shared" si="250"/>
        <v>0</v>
      </c>
      <c r="DO268" s="664"/>
    </row>
    <row r="269" spans="2:119" hidden="1" x14ac:dyDescent="0.25">
      <c r="B269" s="896">
        <f>B254+$C$56</f>
        <v>41359</v>
      </c>
      <c r="C269" s="897">
        <f ca="1">C254</f>
        <v>0</v>
      </c>
      <c r="K269" s="664"/>
      <c r="N269" s="896">
        <f>N254+$C$56</f>
        <v>41359</v>
      </c>
      <c r="O269" s="897">
        <f ca="1">O254</f>
        <v>0</v>
      </c>
      <c r="U269" s="663"/>
      <c r="W269" s="664"/>
      <c r="Z269" s="896">
        <f>Z254+$C$56</f>
        <v>41359</v>
      </c>
      <c r="AA269" s="897">
        <f ca="1">AA254</f>
        <v>0</v>
      </c>
      <c r="AB269" s="663"/>
      <c r="AC269" s="663"/>
      <c r="AD269" s="663"/>
      <c r="AE269" s="663"/>
      <c r="AF269" s="663"/>
      <c r="AG269" s="663"/>
      <c r="AH269" s="663"/>
      <c r="AI269" s="664"/>
      <c r="AL269" s="896">
        <f>AL254+$C$56</f>
        <v>41359</v>
      </c>
      <c r="AM269" s="897">
        <f ca="1">AM254</f>
        <v>0</v>
      </c>
      <c r="AN269" s="663"/>
      <c r="AU269" s="664"/>
      <c r="AX269" s="896">
        <f>AX254+$C$56</f>
        <v>41359</v>
      </c>
      <c r="AY269" s="897">
        <f ca="1">AY254</f>
        <v>0</v>
      </c>
      <c r="BG269" s="664"/>
      <c r="BJ269" s="896">
        <f>BJ254+$C$56</f>
        <v>41359</v>
      </c>
      <c r="BK269" s="897">
        <f ca="1">BK254</f>
        <v>0</v>
      </c>
      <c r="BS269" s="664"/>
      <c r="BV269" s="896">
        <f>BV254+$C$56</f>
        <v>41359</v>
      </c>
      <c r="BW269" s="897">
        <f ca="1">BW254</f>
        <v>0</v>
      </c>
      <c r="CE269" s="664"/>
      <c r="CH269" s="896">
        <f>CH254+$C$56</f>
        <v>41359</v>
      </c>
      <c r="CI269" s="897">
        <f ca="1">CI254</f>
        <v>0</v>
      </c>
      <c r="CQ269" s="664"/>
      <c r="CT269" s="896">
        <f>CT254+$C$56</f>
        <v>41359</v>
      </c>
      <c r="CU269" s="897">
        <f ca="1">CU254</f>
        <v>0</v>
      </c>
      <c r="DC269" s="664"/>
      <c r="DF269" s="896">
        <f>DF254+$C$56</f>
        <v>41359</v>
      </c>
      <c r="DG269" s="897">
        <f ca="1">DG254</f>
        <v>0</v>
      </c>
      <c r="DO269" s="664"/>
    </row>
    <row r="270" spans="2:119" hidden="1" x14ac:dyDescent="0.25">
      <c r="B270" s="898">
        <f>IF(C259&lt;&gt;0,ROW(C259),IF(C260&lt;&gt;0,ROW(C260),IF(C261&lt;&gt;0,ROW(C261),IF(C262&lt;&gt;0,ROW(C262),IF(C263&lt;&gt;0,ROW(C263),IF(C264&lt;&gt;0,ROW(C264),IF(C265&lt;&gt;0,ROW(C265),IF(C266&lt;&gt;0,ROW(C266),IF(C267&lt;&gt;0,ROW(C267),IF(C268&lt;&gt;0,ROW(C268)))))))))))</f>
        <v>259</v>
      </c>
      <c r="C270" s="882" t="e">
        <f ca="1">IF(ISERROR(XIRR(INDIRECT(B272):C269,INDIRECT(B271):B269,-20%)),XIRR(INDIRECT(B272):C269,INDIRECT(B271):B269,20%),"N/A")</f>
        <v>#NUM!</v>
      </c>
      <c r="K270" s="664"/>
      <c r="N270" s="898">
        <f>IF(O259&lt;&gt;0,ROW(O259),IF(O260&lt;&gt;0,ROW(O260),IF(O261&lt;&gt;0,ROW(O261),IF(O262&lt;&gt;0,ROW(O262),IF(O263&lt;&gt;0,ROW(O263),IF(O264&lt;&gt;0,ROW(O264),IF(O265&lt;&gt;0,ROW(O265),IF(O266&lt;&gt;0,ROW(O266),IF(O267&lt;&gt;0,ROW(O267),IF(O268&lt;&gt;0,ROW(O268)))))))))))</f>
        <v>259</v>
      </c>
      <c r="O270" s="882" t="e">
        <f ca="1">IF(ISERROR(XIRR(INDIRECT(N272):O269,INDIRECT(N271):N269,-20%)),XIRR(INDIRECT(N272):O269,INDIRECT(N271):N269,20%),"N/A")</f>
        <v>#NUM!</v>
      </c>
      <c r="U270" s="663"/>
      <c r="W270" s="664"/>
      <c r="Z270" s="898">
        <f>IF(AA259&lt;&gt;0,ROW(AA259),IF(AA260&lt;&gt;0,ROW(AA260),IF(AA261&lt;&gt;0,ROW(AA261),IF(AA262&lt;&gt;0,ROW(AA262),IF(AA263&lt;&gt;0,ROW(AA263),IF(AA264&lt;&gt;0,ROW(AA264),IF(AA265&lt;&gt;0,ROW(AA265),IF(AA266&lt;&gt;0,ROW(AA266),IF(AA267&lt;&gt;0,ROW(AA267),IF(AA268&lt;&gt;0,ROW(AA268)))))))))))</f>
        <v>259</v>
      </c>
      <c r="AA270" s="882" t="e">
        <f ca="1">IF(ISERROR(XIRR(INDIRECT(Z272):AA269,INDIRECT(Z271):Z269,-20%)),XIRR(INDIRECT(Z272):AA269,INDIRECT(Z271):Z269,20%),"N/A")</f>
        <v>#NUM!</v>
      </c>
      <c r="AB270" s="663"/>
      <c r="AC270" s="663"/>
      <c r="AD270" s="663"/>
      <c r="AE270" s="663"/>
      <c r="AF270" s="663"/>
      <c r="AG270" s="663"/>
      <c r="AH270" s="663"/>
      <c r="AI270" s="664"/>
      <c r="AL270" s="898">
        <f>IF(AM259&lt;&gt;0,ROW(AM259),IF(AM260&lt;&gt;0,ROW(AM260),IF(AM261&lt;&gt;0,ROW(AM261),IF(AM262&lt;&gt;0,ROW(AM262),IF(AM263&lt;&gt;0,ROW(AM263),IF(AM264&lt;&gt;0,ROW(AM264),IF(AM265&lt;&gt;0,ROW(AM265),IF(AM266&lt;&gt;0,ROW(AM266),IF(AM267&lt;&gt;0,ROW(AM267),IF(AM268&lt;&gt;0,ROW(AM268)))))))))))</f>
        <v>259</v>
      </c>
      <c r="AM270" s="882" t="e">
        <f ca="1">IF(ISERROR(XIRR(INDIRECT(AL272):AM269,INDIRECT(AL271):AL269,-20%)),XIRR(INDIRECT(AL272):AM269,INDIRECT(AL271):AL269,20%),"N/A")</f>
        <v>#NUM!</v>
      </c>
      <c r="AN270" s="663"/>
      <c r="AU270" s="664"/>
      <c r="AX270" s="898">
        <f>IF(AY259&lt;&gt;0,ROW(AY259),IF(AY260&lt;&gt;0,ROW(AY260),IF(AY261&lt;&gt;0,ROW(AY261),IF(AY262&lt;&gt;0,ROW(AY262),IF(AY263&lt;&gt;0,ROW(AY263),IF(AY264&lt;&gt;0,ROW(AY264),IF(AY265&lt;&gt;0,ROW(AY265),IF(AY266&lt;&gt;0,ROW(AY266),IF(AY267&lt;&gt;0,ROW(AY267),IF(AY268&lt;&gt;0,ROW(AY268)))))))))))</f>
        <v>259</v>
      </c>
      <c r="AY270" s="882" t="e">
        <f ca="1">IF(ISERROR(XIRR(INDIRECT(AX272):AY269,INDIRECT(AX271):AX269,-20%)),XIRR(INDIRECT(AX272):AY269,INDIRECT(AX271):AX269,20%),"N/A")</f>
        <v>#NUM!</v>
      </c>
      <c r="BG270" s="664"/>
      <c r="BJ270" s="898">
        <f>IF(BK259&lt;&gt;0,ROW(BK259),IF(BK260&lt;&gt;0,ROW(BK260),IF(BK261&lt;&gt;0,ROW(BK261),IF(BK262&lt;&gt;0,ROW(BK262),IF(BK263&lt;&gt;0,ROW(BK263),IF(BK264&lt;&gt;0,ROW(BK264),IF(BK265&lt;&gt;0,ROW(BK265),IF(BK266&lt;&gt;0,ROW(BK266),IF(BK267&lt;&gt;0,ROW(BK267),IF(BK268&lt;&gt;0,ROW(BK268)))))))))))</f>
        <v>259</v>
      </c>
      <c r="BK270" s="882" t="e">
        <f ca="1">IF(ISERROR(XIRR(INDIRECT(BJ272):BK269,INDIRECT(BJ271):BJ269,-20%)),XIRR(INDIRECT(BJ272):BK269,INDIRECT(BJ271):BJ269,20%),"N/A")</f>
        <v>#NUM!</v>
      </c>
      <c r="BS270" s="664"/>
      <c r="BV270" s="898">
        <f>IF(BW259&lt;&gt;0,ROW(BW259),IF(BW260&lt;&gt;0,ROW(BW260),IF(BW261&lt;&gt;0,ROW(BW261),IF(BW262&lt;&gt;0,ROW(BW262),IF(BW263&lt;&gt;0,ROW(BW263),IF(BW264&lt;&gt;0,ROW(BW264),IF(BW265&lt;&gt;0,ROW(BW265),IF(BW266&lt;&gt;0,ROW(BW266),IF(BW267&lt;&gt;0,ROW(BW267),IF(BW268&lt;&gt;0,ROW(BW268)))))))))))</f>
        <v>259</v>
      </c>
      <c r="BW270" s="882" t="e">
        <f ca="1">IF(ISERROR(XIRR(INDIRECT(BV272):BW269,INDIRECT(BV271):BV269,-20%)),XIRR(INDIRECT(BV272):BW269,INDIRECT(BV271):BV269,20%),"N/A")</f>
        <v>#NUM!</v>
      </c>
      <c r="CE270" s="664"/>
      <c r="CH270" s="898">
        <f>IF(CI259&lt;&gt;0,ROW(CI259),IF(CI260&lt;&gt;0,ROW(CI260),IF(CI261&lt;&gt;0,ROW(CI261),IF(CI262&lt;&gt;0,ROW(CI262),IF(CI263&lt;&gt;0,ROW(CI263),IF(CI264&lt;&gt;0,ROW(CI264),IF(CI265&lt;&gt;0,ROW(CI265),IF(CI266&lt;&gt;0,ROW(CI266),IF(CI267&lt;&gt;0,ROW(CI267),IF(CI268&lt;&gt;0,ROW(CI268)))))))))))</f>
        <v>259</v>
      </c>
      <c r="CI270" s="882" t="e">
        <f ca="1">IF(ISERROR(XIRR(INDIRECT(CH272):CI269,INDIRECT(CH271):CH269,-20%)),XIRR(INDIRECT(CH272):CI269,INDIRECT(CH271):CH269,20%),"N/A")</f>
        <v>#NUM!</v>
      </c>
      <c r="CQ270" s="664"/>
      <c r="CT270" s="898">
        <f>IF(CU259&lt;&gt;0,ROW(CU259),IF(CU260&lt;&gt;0,ROW(CU260),IF(CU261&lt;&gt;0,ROW(CU261),IF(CU262&lt;&gt;0,ROW(CU262),IF(CU263&lt;&gt;0,ROW(CU263),IF(CU264&lt;&gt;0,ROW(CU264),IF(CU265&lt;&gt;0,ROW(CU265),IF(CU266&lt;&gt;0,ROW(CU266),IF(CU267&lt;&gt;0,ROW(CU267),IF(CU268&lt;&gt;0,ROW(CU268)))))))))))</f>
        <v>259</v>
      </c>
      <c r="CU270" s="882" t="e">
        <f ca="1">IF(ISERROR(XIRR(INDIRECT(CT272):CU269,INDIRECT(CT271):CT269,-20%)),XIRR(INDIRECT(CT272):CU269,INDIRECT(CT271):CT269,20%),"N/A")</f>
        <v>#NUM!</v>
      </c>
      <c r="DC270" s="664"/>
      <c r="DF270" s="898">
        <f>IF(DG259&lt;&gt;0,ROW(DG259),IF(DG260&lt;&gt;0,ROW(DG260),IF(DG261&lt;&gt;0,ROW(DG261),IF(DG262&lt;&gt;0,ROW(DG262),IF(DG263&lt;&gt;0,ROW(DG263),IF(DG264&lt;&gt;0,ROW(DG264),IF(DG265&lt;&gt;0,ROW(DG265),IF(DG266&lt;&gt;0,ROW(DG266),IF(DG267&lt;&gt;0,ROW(DG267),IF(DG268&lt;&gt;0,ROW(DG268)))))))))))</f>
        <v>259</v>
      </c>
      <c r="DG270" s="882" t="e">
        <f ca="1">IF(ISERROR(XIRR(INDIRECT(DF272):DG269,INDIRECT(DF271):DF269,-20%)),XIRR(INDIRECT(DF272):DG269,INDIRECT(DF271):DF269,20%),"N/A")</f>
        <v>#NUM!</v>
      </c>
      <c r="DO270" s="664"/>
    </row>
    <row r="271" spans="2:119" hidden="1" x14ac:dyDescent="0.25">
      <c r="B271" s="899" t="str">
        <f>CONCATENATE(CHAR(64+COLUMN(B270)),B270)</f>
        <v>B259</v>
      </c>
      <c r="C271" s="897"/>
      <c r="K271" s="664"/>
      <c r="N271" s="899" t="str">
        <f>CONCATENATE(CHAR(64+COLUMN(N270)),N270)</f>
        <v>N259</v>
      </c>
      <c r="O271" s="897"/>
      <c r="U271" s="663"/>
      <c r="W271" s="664"/>
      <c r="Z271" s="899" t="str">
        <f>CONCATENATE(IF(COLUMN(Z270)&lt;=26,CHAR(96+COLUMN(Z270)),(CHAR(96+(ROUNDDOWN((COLUMN(Z270)-1)/26,0)))&amp;CHAR(96+IF(MOD(COLUMN(Z270),26)=0,26,MOD(COLUMN(Z270),26))))),Z270)</f>
        <v>z259</v>
      </c>
      <c r="AA271" s="897"/>
      <c r="AB271" s="663"/>
      <c r="AC271" s="663"/>
      <c r="AD271" s="663"/>
      <c r="AE271" s="663"/>
      <c r="AF271" s="663"/>
      <c r="AG271" s="663"/>
      <c r="AH271" s="663"/>
      <c r="AI271" s="664"/>
      <c r="AL271" s="899" t="str">
        <f>CONCATENATE(IF(COLUMN(AL270)&lt;=26,CHAR(96+COLUMN(AL270)),(CHAR(96+(ROUNDDOWN((COLUMN(AL270)-1)/26,0)))&amp;CHAR(96+IF(MOD(COLUMN(AL270),26)=0,26,MOD(COLUMN(AL270),26))))),AL270)</f>
        <v>al259</v>
      </c>
      <c r="AM271" s="897"/>
      <c r="AN271" s="663"/>
      <c r="AU271" s="664"/>
      <c r="AX271" s="899" t="str">
        <f>CONCATENATE(IF(COLUMN(AX270)&lt;=26,CHAR(96+COLUMN(AX270)),(CHAR(96+(ROUNDDOWN((COLUMN(AX270)-1)/26,0)))&amp;CHAR(96+IF(MOD(COLUMN(AX270),26)=0,26,MOD(COLUMN(AX270),26))))),AX270)</f>
        <v>ax259</v>
      </c>
      <c r="AY271" s="897"/>
      <c r="BG271" s="664"/>
      <c r="BJ271" s="899" t="str">
        <f>CONCATENATE(IF(COLUMN(BJ270)&lt;=26,CHAR(96+COLUMN(BJ270)),(CHAR(96+(ROUNDDOWN((COLUMN(BJ270)-1)/26,0)))&amp;CHAR(96+IF(MOD(COLUMN(BJ270),26)=0,26,MOD(COLUMN(BJ270),26))))),BJ270)</f>
        <v>bj259</v>
      </c>
      <c r="BK271" s="897"/>
      <c r="BS271" s="664"/>
      <c r="BV271" s="899" t="str">
        <f>CONCATENATE(IF(COLUMN(BV270)&lt;=26,CHAR(96+COLUMN(BV270)),(CHAR(96+(ROUNDDOWN((COLUMN(BV270)-1)/26,0)))&amp;CHAR(96+IF(MOD(COLUMN(BV270),26)=0,26,MOD(COLUMN(BV270),26))))),BV270)</f>
        <v>bv259</v>
      </c>
      <c r="BW271" s="897"/>
      <c r="CE271" s="664"/>
      <c r="CH271" s="899" t="str">
        <f>CONCATENATE(IF(COLUMN(CH270)&lt;=26,CHAR(96+COLUMN(CH270)),(CHAR(96+(ROUNDDOWN((COLUMN(CH270)-1)/26,0)))&amp;CHAR(96+IF(MOD(COLUMN(CH270),26)=0,26,MOD(COLUMN(CH270),26))))),CH270)</f>
        <v>ch259</v>
      </c>
      <c r="CI271" s="897"/>
      <c r="CQ271" s="664"/>
      <c r="CT271" s="899" t="str">
        <f>CONCATENATE(IF(COLUMN(CT270)&lt;=26,CHAR(96+COLUMN(CT270)),(CHAR(96+(ROUNDDOWN((COLUMN(CT270)-1)/26,0)))&amp;CHAR(96+IF(MOD(COLUMN(CT270),26)=0,26,MOD(COLUMN(CT270),26))))),CT270)</f>
        <v>ct259</v>
      </c>
      <c r="CU271" s="897"/>
      <c r="DC271" s="664"/>
      <c r="DF271" s="899" t="str">
        <f>CONCATENATE(IF(COLUMN(DF270)&lt;=26,CHAR(96+COLUMN(DF270)),(CHAR(96+(ROUNDDOWN((COLUMN(DF270)-1)/26,0)))&amp;CHAR(96+IF(MOD(COLUMN(DF270),26)=0,26,MOD(COLUMN(DF270),26))))),DF270)</f>
        <v>df259</v>
      </c>
      <c r="DG271" s="897"/>
      <c r="DO271" s="664"/>
    </row>
    <row r="272" spans="2:119" hidden="1" x14ac:dyDescent="0.25">
      <c r="B272" s="899" t="str">
        <f>CONCATENATE(CHAR(64+COLUMN(C270)),B270)</f>
        <v>C259</v>
      </c>
      <c r="C272" s="897"/>
      <c r="K272" s="664"/>
      <c r="N272" s="899" t="str">
        <f>CONCATENATE(CHAR(64+COLUMN(O270)),N270)</f>
        <v>O259</v>
      </c>
      <c r="O272" s="897"/>
      <c r="U272" s="663"/>
      <c r="W272" s="664"/>
      <c r="Z272" s="899" t="str">
        <f>CONCATENATE(IF(COLUMN(AA270)&lt;=26,CHAR(96+COLUMN(AA270)),(CHAR(96+(ROUNDDOWN((COLUMN(AA270)-1)/26,0)))&amp;CHAR(96+IF(MOD(COLUMN(AA270),26)=0,26,MOD(COLUMN(AA270),26))))),Z270)</f>
        <v>aa259</v>
      </c>
      <c r="AA272" s="897"/>
      <c r="AB272" s="663"/>
      <c r="AC272" s="663"/>
      <c r="AD272" s="663"/>
      <c r="AE272" s="663"/>
      <c r="AF272" s="663"/>
      <c r="AG272" s="663"/>
      <c r="AH272" s="663"/>
      <c r="AI272" s="664"/>
      <c r="AL272" s="899" t="str">
        <f>CONCATENATE(IF(COLUMN(AM270)&lt;=26,CHAR(96+COLUMN(AM270)),(CHAR(96+(ROUNDDOWN((COLUMN(AM270)-1)/26,0)))&amp;CHAR(96+IF(MOD(COLUMN(AM270),26)=0,26,MOD(COLUMN(AM270),26))))),AL270)</f>
        <v>am259</v>
      </c>
      <c r="AM272" s="897"/>
      <c r="AN272" s="663"/>
      <c r="AU272" s="664"/>
      <c r="AX272" s="899" t="str">
        <f>CONCATENATE(IF(COLUMN(AY270)&lt;=26,CHAR(96+COLUMN(AY270)),(CHAR(96+(ROUNDDOWN((COLUMN(AY270)-1)/26,0)))&amp;CHAR(96+IF(MOD(COLUMN(AY270),26)=0,26,MOD(COLUMN(AY270),26))))),AX270)</f>
        <v>ay259</v>
      </c>
      <c r="AY272" s="897"/>
      <c r="BG272" s="664"/>
      <c r="BJ272" s="899" t="str">
        <f>CONCATENATE(IF(COLUMN(BK270)&lt;=26,CHAR(96+COLUMN(BK270)),(CHAR(96+(ROUNDDOWN((COLUMN(BK270)-1)/26,0)))&amp;CHAR(96+IF(MOD(COLUMN(BK270),26)=0,26,MOD(COLUMN(BK270),26))))),BJ270)</f>
        <v>bk259</v>
      </c>
      <c r="BK272" s="897"/>
      <c r="BS272" s="664"/>
      <c r="BV272" s="899" t="str">
        <f>CONCATENATE(IF(COLUMN(BW270)&lt;=26,CHAR(96+COLUMN(BW270)),(CHAR(96+(ROUNDDOWN((COLUMN(BW270)-1)/26,0)))&amp;CHAR(96+IF(MOD(COLUMN(BW270),26)=0,26,MOD(COLUMN(BW270),26))))),BV270)</f>
        <v>bw259</v>
      </c>
      <c r="BW272" s="897"/>
      <c r="CE272" s="664"/>
      <c r="CH272" s="899" t="str">
        <f>CONCATENATE(IF(COLUMN(CI270)&lt;=26,CHAR(96+COLUMN(CI270)),(CHAR(96+(ROUNDDOWN((COLUMN(CI270)-1)/26,0)))&amp;CHAR(96+IF(MOD(COLUMN(CI270),26)=0,26,MOD(COLUMN(CI270),26))))),CH270)</f>
        <v>ci259</v>
      </c>
      <c r="CI272" s="897"/>
      <c r="CQ272" s="664"/>
      <c r="CT272" s="899" t="str">
        <f>CONCATENATE(IF(COLUMN(CU270)&lt;=26,CHAR(96+COLUMN(CU270)),(CHAR(96+(ROUNDDOWN((COLUMN(CU270)-1)/26,0)))&amp;CHAR(96+IF(MOD(COLUMN(CU270),26)=0,26,MOD(COLUMN(CU270),26))))),CT270)</f>
        <v>cu259</v>
      </c>
      <c r="CU272" s="897"/>
      <c r="DC272" s="664"/>
      <c r="DF272" s="899" t="str">
        <f>CONCATENATE(IF(COLUMN(DG270)&lt;=26,CHAR(96+COLUMN(DG270)),(CHAR(96+(ROUNDDOWN((COLUMN(DG270)-1)/26,0)))&amp;CHAR(96+IF(MOD(COLUMN(DG270),26)=0,26,MOD(COLUMN(DG270),26))))),DF270)</f>
        <v>dg259</v>
      </c>
      <c r="DG272" s="897"/>
      <c r="DO272" s="664"/>
    </row>
    <row r="273" spans="2:119" hidden="1" x14ac:dyDescent="0.25">
      <c r="B273" s="896"/>
      <c r="C273" s="897"/>
      <c r="K273" s="664"/>
      <c r="N273" s="896"/>
      <c r="O273" s="897"/>
      <c r="U273" s="663"/>
      <c r="W273" s="664"/>
      <c r="Z273" s="896"/>
      <c r="AA273" s="897"/>
      <c r="AB273" s="663"/>
      <c r="AC273" s="663"/>
      <c r="AD273" s="663"/>
      <c r="AE273" s="663"/>
      <c r="AF273" s="663"/>
      <c r="AG273" s="663"/>
      <c r="AH273" s="663"/>
      <c r="AI273" s="664"/>
      <c r="AL273" s="896"/>
      <c r="AM273" s="897"/>
      <c r="AN273" s="663"/>
      <c r="AU273" s="664"/>
      <c r="AX273" s="896"/>
      <c r="AY273" s="897"/>
      <c r="BG273" s="664"/>
      <c r="BJ273" s="896"/>
      <c r="BK273" s="897"/>
      <c r="BS273" s="664"/>
      <c r="BV273" s="896"/>
      <c r="BW273" s="897"/>
      <c r="CE273" s="664"/>
      <c r="CH273" s="896"/>
      <c r="CI273" s="897"/>
      <c r="CQ273" s="664"/>
      <c r="CT273" s="896"/>
      <c r="CU273" s="897"/>
      <c r="DC273" s="664"/>
      <c r="DF273" s="896"/>
      <c r="DG273" s="897"/>
      <c r="DO273" s="664"/>
    </row>
    <row r="274" spans="2:119" hidden="1" x14ac:dyDescent="0.25">
      <c r="B274" s="896">
        <f>B259</f>
        <v>39113</v>
      </c>
      <c r="C274" s="897">
        <f>C259</f>
        <v>-1000000</v>
      </c>
      <c r="K274" s="664"/>
      <c r="N274" s="896">
        <f>N259</f>
        <v>39113</v>
      </c>
      <c r="O274" s="897">
        <f>O259</f>
        <v>-1000000</v>
      </c>
      <c r="U274" s="663"/>
      <c r="W274" s="664"/>
      <c r="Z274" s="896">
        <f>Z259</f>
        <v>39113</v>
      </c>
      <c r="AA274" s="897">
        <f>AA259</f>
        <v>-1000000</v>
      </c>
      <c r="AB274" s="663"/>
      <c r="AC274" s="663"/>
      <c r="AD274" s="663"/>
      <c r="AE274" s="663"/>
      <c r="AF274" s="663"/>
      <c r="AG274" s="663"/>
      <c r="AH274" s="663"/>
      <c r="AI274" s="664"/>
      <c r="AL274" s="896">
        <f>AL259</f>
        <v>39113</v>
      </c>
      <c r="AM274" s="897">
        <f>AM259</f>
        <v>-1000000</v>
      </c>
      <c r="AN274" s="663"/>
      <c r="AU274" s="664"/>
      <c r="AX274" s="896">
        <f>AX259</f>
        <v>39113</v>
      </c>
      <c r="AY274" s="897">
        <f>AY259</f>
        <v>-1000000</v>
      </c>
      <c r="BG274" s="664"/>
      <c r="BJ274" s="896">
        <f>BJ259</f>
        <v>39113</v>
      </c>
      <c r="BK274" s="897">
        <f>BK259</f>
        <v>-1000000</v>
      </c>
      <c r="BS274" s="664"/>
      <c r="BV274" s="896">
        <f>BV259</f>
        <v>39113</v>
      </c>
      <c r="BW274" s="897">
        <f>BW259</f>
        <v>-1000000</v>
      </c>
      <c r="CE274" s="664"/>
      <c r="CH274" s="896">
        <f>CH259</f>
        <v>39113</v>
      </c>
      <c r="CI274" s="897">
        <f>CI259</f>
        <v>-1000000</v>
      </c>
      <c r="CQ274" s="664"/>
      <c r="CT274" s="896">
        <f>CT259</f>
        <v>39113</v>
      </c>
      <c r="CU274" s="897">
        <f>CU259</f>
        <v>-1000000</v>
      </c>
      <c r="DC274" s="664"/>
      <c r="DF274" s="896">
        <f>DF259</f>
        <v>39113</v>
      </c>
      <c r="DG274" s="897">
        <f>DG259</f>
        <v>-1000000</v>
      </c>
      <c r="DO274" s="664"/>
    </row>
    <row r="275" spans="2:119" hidden="1" x14ac:dyDescent="0.25">
      <c r="B275" s="896">
        <f t="shared" ref="B275:C283" si="251">B260</f>
        <v>39478</v>
      </c>
      <c r="C275" s="897">
        <f t="shared" si="251"/>
        <v>-2000000</v>
      </c>
      <c r="K275" s="664"/>
      <c r="N275" s="896">
        <f t="shared" ref="N275:O275" si="252">N260</f>
        <v>39478</v>
      </c>
      <c r="O275" s="897">
        <f t="shared" si="252"/>
        <v>-2000000</v>
      </c>
      <c r="U275" s="663"/>
      <c r="W275" s="664"/>
      <c r="Z275" s="896">
        <f t="shared" ref="Z275:AA275" si="253">Z260</f>
        <v>39478</v>
      </c>
      <c r="AA275" s="897">
        <f t="shared" si="253"/>
        <v>-2000000</v>
      </c>
      <c r="AB275" s="663"/>
      <c r="AC275" s="663"/>
      <c r="AD275" s="663"/>
      <c r="AE275" s="663"/>
      <c r="AF275" s="663"/>
      <c r="AG275" s="663"/>
      <c r="AH275" s="663"/>
      <c r="AI275" s="664"/>
      <c r="AL275" s="896">
        <f t="shared" ref="AL275:AM275" si="254">AL260</f>
        <v>39478</v>
      </c>
      <c r="AM275" s="897">
        <f t="shared" si="254"/>
        <v>-2000000</v>
      </c>
      <c r="AN275" s="663"/>
      <c r="AU275" s="664"/>
      <c r="AX275" s="896">
        <f t="shared" ref="AX275:AY275" si="255">AX260</f>
        <v>39478</v>
      </c>
      <c r="AY275" s="897">
        <f t="shared" si="255"/>
        <v>-2000000</v>
      </c>
      <c r="BG275" s="664"/>
      <c r="BJ275" s="896">
        <f t="shared" ref="BJ275:BK275" si="256">BJ260</f>
        <v>39478</v>
      </c>
      <c r="BK275" s="897">
        <f t="shared" si="256"/>
        <v>-2000000</v>
      </c>
      <c r="BS275" s="664"/>
      <c r="BV275" s="896">
        <f t="shared" ref="BV275:BW275" si="257">BV260</f>
        <v>39478</v>
      </c>
      <c r="BW275" s="897">
        <f t="shared" si="257"/>
        <v>-2000000</v>
      </c>
      <c r="CE275" s="664"/>
      <c r="CH275" s="896">
        <f t="shared" ref="CH275:CI275" si="258">CH260</f>
        <v>39478</v>
      </c>
      <c r="CI275" s="897">
        <f t="shared" si="258"/>
        <v>-2000000</v>
      </c>
      <c r="CQ275" s="664"/>
      <c r="CT275" s="896">
        <f t="shared" ref="CT275:CU275" si="259">CT260</f>
        <v>39478</v>
      </c>
      <c r="CU275" s="897">
        <f t="shared" si="259"/>
        <v>-2000000</v>
      </c>
      <c r="DC275" s="664"/>
      <c r="DF275" s="896">
        <f t="shared" ref="DF275:DG275" si="260">DF260</f>
        <v>39478</v>
      </c>
      <c r="DG275" s="897">
        <f t="shared" si="260"/>
        <v>-2000000</v>
      </c>
      <c r="DO275" s="664"/>
    </row>
    <row r="276" spans="2:119" hidden="1" x14ac:dyDescent="0.25">
      <c r="B276" s="896">
        <f t="shared" si="251"/>
        <v>39843</v>
      </c>
      <c r="C276" s="897">
        <f t="shared" si="251"/>
        <v>0</v>
      </c>
      <c r="K276" s="664"/>
      <c r="N276" s="896">
        <f t="shared" ref="N276:O276" si="261">N261</f>
        <v>39843</v>
      </c>
      <c r="O276" s="897">
        <f t="shared" si="261"/>
        <v>0</v>
      </c>
      <c r="U276" s="663"/>
      <c r="W276" s="664"/>
      <c r="Z276" s="896">
        <f t="shared" ref="Z276:AA276" si="262">Z261</f>
        <v>39843</v>
      </c>
      <c r="AA276" s="897">
        <f t="shared" si="262"/>
        <v>0</v>
      </c>
      <c r="AB276" s="663"/>
      <c r="AC276" s="663"/>
      <c r="AD276" s="663"/>
      <c r="AE276" s="663"/>
      <c r="AF276" s="663"/>
      <c r="AG276" s="663"/>
      <c r="AH276" s="663"/>
      <c r="AI276" s="664"/>
      <c r="AL276" s="896">
        <f t="shared" ref="AL276:AM276" si="263">AL261</f>
        <v>39843</v>
      </c>
      <c r="AM276" s="897">
        <f t="shared" si="263"/>
        <v>0</v>
      </c>
      <c r="AN276" s="663"/>
      <c r="AU276" s="664"/>
      <c r="AX276" s="896">
        <f t="shared" ref="AX276:AY276" si="264">AX261</f>
        <v>39843</v>
      </c>
      <c r="AY276" s="897">
        <f t="shared" si="264"/>
        <v>0</v>
      </c>
      <c r="BG276" s="664"/>
      <c r="BJ276" s="896">
        <f t="shared" ref="BJ276:BK276" si="265">BJ261</f>
        <v>39843</v>
      </c>
      <c r="BK276" s="897">
        <f t="shared" si="265"/>
        <v>0</v>
      </c>
      <c r="BS276" s="664"/>
      <c r="BV276" s="896">
        <f t="shared" ref="BV276:BW276" si="266">BV261</f>
        <v>39843</v>
      </c>
      <c r="BW276" s="897">
        <f t="shared" si="266"/>
        <v>0</v>
      </c>
      <c r="CE276" s="664"/>
      <c r="CH276" s="896">
        <f t="shared" ref="CH276:CI276" si="267">CH261</f>
        <v>39843</v>
      </c>
      <c r="CI276" s="897">
        <f t="shared" si="267"/>
        <v>0</v>
      </c>
      <c r="CQ276" s="664"/>
      <c r="CT276" s="896">
        <f t="shared" ref="CT276:CU276" si="268">CT261</f>
        <v>39843</v>
      </c>
      <c r="CU276" s="897">
        <f t="shared" si="268"/>
        <v>0</v>
      </c>
      <c r="DC276" s="664"/>
      <c r="DF276" s="896">
        <f t="shared" ref="DF276:DG276" si="269">DF261</f>
        <v>39843</v>
      </c>
      <c r="DG276" s="897">
        <f t="shared" si="269"/>
        <v>0</v>
      </c>
      <c r="DO276" s="664"/>
    </row>
    <row r="277" spans="2:119" hidden="1" x14ac:dyDescent="0.25">
      <c r="B277" s="896">
        <f t="shared" si="251"/>
        <v>39843</v>
      </c>
      <c r="C277" s="897">
        <f t="shared" si="251"/>
        <v>0</v>
      </c>
      <c r="K277" s="664"/>
      <c r="N277" s="896">
        <f t="shared" ref="N277:O277" si="270">N262</f>
        <v>39843</v>
      </c>
      <c r="O277" s="897">
        <f t="shared" si="270"/>
        <v>0</v>
      </c>
      <c r="U277" s="663"/>
      <c r="W277" s="664"/>
      <c r="Z277" s="896">
        <f t="shared" ref="Z277:AA277" si="271">Z262</f>
        <v>39843</v>
      </c>
      <c r="AA277" s="897">
        <f t="shared" si="271"/>
        <v>0</v>
      </c>
      <c r="AB277" s="663"/>
      <c r="AC277" s="663"/>
      <c r="AD277" s="663"/>
      <c r="AE277" s="663"/>
      <c r="AF277" s="663"/>
      <c r="AG277" s="663"/>
      <c r="AH277" s="663"/>
      <c r="AI277" s="664"/>
      <c r="AL277" s="896">
        <f t="shared" ref="AL277:AM277" si="272">AL262</f>
        <v>39843</v>
      </c>
      <c r="AM277" s="897">
        <f t="shared" si="272"/>
        <v>0</v>
      </c>
      <c r="AN277" s="663"/>
      <c r="AU277" s="664"/>
      <c r="AX277" s="896">
        <f t="shared" ref="AX277:AY277" si="273">AX262</f>
        <v>39843</v>
      </c>
      <c r="AY277" s="897">
        <f t="shared" si="273"/>
        <v>0</v>
      </c>
      <c r="BG277" s="664"/>
      <c r="BJ277" s="896">
        <f t="shared" ref="BJ277:BK277" si="274">BJ262</f>
        <v>39843</v>
      </c>
      <c r="BK277" s="897">
        <f t="shared" si="274"/>
        <v>0</v>
      </c>
      <c r="BS277" s="664"/>
      <c r="BV277" s="896">
        <f t="shared" ref="BV277:BW277" si="275">BV262</f>
        <v>39843</v>
      </c>
      <c r="BW277" s="897">
        <f t="shared" si="275"/>
        <v>0</v>
      </c>
      <c r="CE277" s="664"/>
      <c r="CH277" s="896">
        <f t="shared" ref="CH277:CI277" si="276">CH262</f>
        <v>39843</v>
      </c>
      <c r="CI277" s="897">
        <f t="shared" si="276"/>
        <v>0</v>
      </c>
      <c r="CQ277" s="664"/>
      <c r="CT277" s="896">
        <f t="shared" ref="CT277:CU277" si="277">CT262</f>
        <v>39843</v>
      </c>
      <c r="CU277" s="897">
        <f t="shared" si="277"/>
        <v>0</v>
      </c>
      <c r="DC277" s="664"/>
      <c r="DF277" s="896">
        <f t="shared" ref="DF277:DG277" si="278">DF262</f>
        <v>39843</v>
      </c>
      <c r="DG277" s="897">
        <f t="shared" si="278"/>
        <v>0</v>
      </c>
      <c r="DO277" s="664"/>
    </row>
    <row r="278" spans="2:119" hidden="1" x14ac:dyDescent="0.25">
      <c r="B278" s="896">
        <f t="shared" si="251"/>
        <v>39843</v>
      </c>
      <c r="C278" s="897">
        <f t="shared" si="251"/>
        <v>0</v>
      </c>
      <c r="K278" s="664"/>
      <c r="N278" s="896">
        <f t="shared" ref="N278:O278" si="279">N263</f>
        <v>39843</v>
      </c>
      <c r="O278" s="897">
        <f t="shared" si="279"/>
        <v>0</v>
      </c>
      <c r="U278" s="663"/>
      <c r="W278" s="664"/>
      <c r="Z278" s="896">
        <f t="shared" ref="Z278:AA278" si="280">Z263</f>
        <v>39843</v>
      </c>
      <c r="AA278" s="897">
        <f t="shared" si="280"/>
        <v>0</v>
      </c>
      <c r="AB278" s="663"/>
      <c r="AC278" s="663"/>
      <c r="AD278" s="663"/>
      <c r="AE278" s="663"/>
      <c r="AF278" s="663"/>
      <c r="AG278" s="663"/>
      <c r="AH278" s="663"/>
      <c r="AI278" s="664"/>
      <c r="AL278" s="896">
        <f t="shared" ref="AL278:AM278" si="281">AL263</f>
        <v>39843</v>
      </c>
      <c r="AM278" s="897">
        <f t="shared" si="281"/>
        <v>0</v>
      </c>
      <c r="AN278" s="663"/>
      <c r="AU278" s="664"/>
      <c r="AX278" s="896">
        <f t="shared" ref="AX278:AY278" si="282">AX263</f>
        <v>39843</v>
      </c>
      <c r="AY278" s="897">
        <f t="shared" si="282"/>
        <v>0</v>
      </c>
      <c r="BG278" s="664"/>
      <c r="BJ278" s="896">
        <f t="shared" ref="BJ278:BK278" si="283">BJ263</f>
        <v>39843</v>
      </c>
      <c r="BK278" s="897">
        <f t="shared" si="283"/>
        <v>0</v>
      </c>
      <c r="BS278" s="664"/>
      <c r="BV278" s="896">
        <f t="shared" ref="BV278:BW278" si="284">BV263</f>
        <v>39843</v>
      </c>
      <c r="BW278" s="897">
        <f t="shared" si="284"/>
        <v>0</v>
      </c>
      <c r="CE278" s="664"/>
      <c r="CH278" s="896">
        <f t="shared" ref="CH278:CI278" si="285">CH263</f>
        <v>39843</v>
      </c>
      <c r="CI278" s="897">
        <f t="shared" si="285"/>
        <v>0</v>
      </c>
      <c r="CQ278" s="664"/>
      <c r="CT278" s="896">
        <f t="shared" ref="CT278:CU278" si="286">CT263</f>
        <v>39843</v>
      </c>
      <c r="CU278" s="897">
        <f t="shared" si="286"/>
        <v>0</v>
      </c>
      <c r="DC278" s="664"/>
      <c r="DF278" s="896">
        <f t="shared" ref="DF278:DG278" si="287">DF263</f>
        <v>39843</v>
      </c>
      <c r="DG278" s="897">
        <f t="shared" si="287"/>
        <v>0</v>
      </c>
      <c r="DO278" s="664"/>
    </row>
    <row r="279" spans="2:119" hidden="1" x14ac:dyDescent="0.25">
      <c r="B279" s="896">
        <f t="shared" si="251"/>
        <v>39843</v>
      </c>
      <c r="C279" s="897">
        <f t="shared" si="251"/>
        <v>0</v>
      </c>
      <c r="K279" s="664"/>
      <c r="N279" s="896">
        <f t="shared" ref="N279:O279" si="288">N264</f>
        <v>39843</v>
      </c>
      <c r="O279" s="897">
        <f t="shared" si="288"/>
        <v>0</v>
      </c>
      <c r="U279" s="663"/>
      <c r="W279" s="664"/>
      <c r="Z279" s="896">
        <f t="shared" ref="Z279:AA279" si="289">Z264</f>
        <v>39843</v>
      </c>
      <c r="AA279" s="897">
        <f t="shared" si="289"/>
        <v>0</v>
      </c>
      <c r="AB279" s="663"/>
      <c r="AC279" s="663"/>
      <c r="AD279" s="663"/>
      <c r="AE279" s="663"/>
      <c r="AF279" s="663"/>
      <c r="AG279" s="663"/>
      <c r="AH279" s="663"/>
      <c r="AI279" s="664"/>
      <c r="AL279" s="896">
        <f t="shared" ref="AL279:AM279" si="290">AL264</f>
        <v>39843</v>
      </c>
      <c r="AM279" s="897">
        <f t="shared" si="290"/>
        <v>0</v>
      </c>
      <c r="AN279" s="663"/>
      <c r="AU279" s="664"/>
      <c r="AX279" s="896">
        <f t="shared" ref="AX279:AY279" si="291">AX264</f>
        <v>39843</v>
      </c>
      <c r="AY279" s="897">
        <f t="shared" si="291"/>
        <v>0</v>
      </c>
      <c r="BG279" s="664"/>
      <c r="BJ279" s="896">
        <f t="shared" ref="BJ279:BK279" si="292">BJ264</f>
        <v>39843</v>
      </c>
      <c r="BK279" s="897">
        <f t="shared" si="292"/>
        <v>0</v>
      </c>
      <c r="BS279" s="664"/>
      <c r="BV279" s="896">
        <f t="shared" ref="BV279:BW279" si="293">BV264</f>
        <v>39843</v>
      </c>
      <c r="BW279" s="897">
        <f t="shared" si="293"/>
        <v>0</v>
      </c>
      <c r="CE279" s="664"/>
      <c r="CH279" s="896">
        <f t="shared" ref="CH279:CI279" si="294">CH264</f>
        <v>39843</v>
      </c>
      <c r="CI279" s="897">
        <f t="shared" si="294"/>
        <v>0</v>
      </c>
      <c r="CQ279" s="664"/>
      <c r="CT279" s="896">
        <f t="shared" ref="CT279:CU279" si="295">CT264</f>
        <v>39843</v>
      </c>
      <c r="CU279" s="897">
        <f t="shared" si="295"/>
        <v>0</v>
      </c>
      <c r="DC279" s="664"/>
      <c r="DF279" s="896">
        <f t="shared" ref="DF279:DG279" si="296">DF264</f>
        <v>39843</v>
      </c>
      <c r="DG279" s="897">
        <f t="shared" si="296"/>
        <v>0</v>
      </c>
      <c r="DO279" s="664"/>
    </row>
    <row r="280" spans="2:119" hidden="1" x14ac:dyDescent="0.25">
      <c r="B280" s="896">
        <f t="shared" si="251"/>
        <v>39843</v>
      </c>
      <c r="C280" s="897">
        <f t="shared" si="251"/>
        <v>0</v>
      </c>
      <c r="K280" s="664"/>
      <c r="N280" s="896">
        <f t="shared" ref="N280:O280" si="297">N265</f>
        <v>39843</v>
      </c>
      <c r="O280" s="897">
        <f t="shared" si="297"/>
        <v>0</v>
      </c>
      <c r="U280" s="663"/>
      <c r="W280" s="664"/>
      <c r="Z280" s="896">
        <f t="shared" ref="Z280:AA280" si="298">Z265</f>
        <v>39843</v>
      </c>
      <c r="AA280" s="897">
        <f t="shared" si="298"/>
        <v>0</v>
      </c>
      <c r="AB280" s="663"/>
      <c r="AC280" s="663"/>
      <c r="AD280" s="663"/>
      <c r="AE280" s="663"/>
      <c r="AF280" s="663"/>
      <c r="AG280" s="663"/>
      <c r="AH280" s="663"/>
      <c r="AI280" s="664"/>
      <c r="AL280" s="896">
        <f t="shared" ref="AL280:AM280" si="299">AL265</f>
        <v>39843</v>
      </c>
      <c r="AM280" s="897">
        <f t="shared" si="299"/>
        <v>0</v>
      </c>
      <c r="AN280" s="663"/>
      <c r="AU280" s="664"/>
      <c r="AX280" s="896">
        <f t="shared" ref="AX280:AY280" si="300">AX265</f>
        <v>39843</v>
      </c>
      <c r="AY280" s="897">
        <f t="shared" si="300"/>
        <v>0</v>
      </c>
      <c r="BG280" s="664"/>
      <c r="BJ280" s="896">
        <f t="shared" ref="BJ280:BK280" si="301">BJ265</f>
        <v>39843</v>
      </c>
      <c r="BK280" s="897">
        <f t="shared" si="301"/>
        <v>0</v>
      </c>
      <c r="BS280" s="664"/>
      <c r="BV280" s="896">
        <f t="shared" ref="BV280:BW280" si="302">BV265</f>
        <v>39843</v>
      </c>
      <c r="BW280" s="897">
        <f t="shared" si="302"/>
        <v>0</v>
      </c>
      <c r="CE280" s="664"/>
      <c r="CH280" s="896">
        <f t="shared" ref="CH280:CI280" si="303">CH265</f>
        <v>39843</v>
      </c>
      <c r="CI280" s="897">
        <f t="shared" si="303"/>
        <v>0</v>
      </c>
      <c r="CQ280" s="664"/>
      <c r="CT280" s="896">
        <f t="shared" ref="CT280:CU280" si="304">CT265</f>
        <v>39843</v>
      </c>
      <c r="CU280" s="897">
        <f t="shared" si="304"/>
        <v>0</v>
      </c>
      <c r="DC280" s="664"/>
      <c r="DF280" s="896">
        <f t="shared" ref="DF280:DG280" si="305">DF265</f>
        <v>39843</v>
      </c>
      <c r="DG280" s="897">
        <f t="shared" si="305"/>
        <v>0</v>
      </c>
      <c r="DO280" s="664"/>
    </row>
    <row r="281" spans="2:119" hidden="1" x14ac:dyDescent="0.25">
      <c r="B281" s="896">
        <f t="shared" si="251"/>
        <v>39843</v>
      </c>
      <c r="C281" s="897">
        <f t="shared" si="251"/>
        <v>0</v>
      </c>
      <c r="K281" s="664"/>
      <c r="N281" s="896">
        <f t="shared" ref="N281:O281" si="306">N266</f>
        <v>39843</v>
      </c>
      <c r="O281" s="897">
        <f t="shared" si="306"/>
        <v>0</v>
      </c>
      <c r="U281" s="663"/>
      <c r="W281" s="664"/>
      <c r="Z281" s="896">
        <f t="shared" ref="Z281:AA281" si="307">Z266</f>
        <v>39843</v>
      </c>
      <c r="AA281" s="897">
        <f t="shared" si="307"/>
        <v>0</v>
      </c>
      <c r="AB281" s="663"/>
      <c r="AC281" s="663"/>
      <c r="AD281" s="663"/>
      <c r="AE281" s="663"/>
      <c r="AF281" s="663"/>
      <c r="AG281" s="663"/>
      <c r="AH281" s="663"/>
      <c r="AI281" s="664"/>
      <c r="AL281" s="896">
        <f t="shared" ref="AL281:AM281" si="308">AL266</f>
        <v>39843</v>
      </c>
      <c r="AM281" s="897">
        <f t="shared" si="308"/>
        <v>0</v>
      </c>
      <c r="AN281" s="663"/>
      <c r="AU281" s="664"/>
      <c r="AX281" s="896">
        <f t="shared" ref="AX281:AY281" si="309">AX266</f>
        <v>39843</v>
      </c>
      <c r="AY281" s="897">
        <f t="shared" si="309"/>
        <v>0</v>
      </c>
      <c r="BG281" s="664"/>
      <c r="BJ281" s="896">
        <f t="shared" ref="BJ281:BK281" si="310">BJ266</f>
        <v>39843</v>
      </c>
      <c r="BK281" s="897">
        <f t="shared" si="310"/>
        <v>0</v>
      </c>
      <c r="BS281" s="664"/>
      <c r="BV281" s="896">
        <f t="shared" ref="BV281:BW281" si="311">BV266</f>
        <v>39843</v>
      </c>
      <c r="BW281" s="897">
        <f t="shared" si="311"/>
        <v>0</v>
      </c>
      <c r="CE281" s="664"/>
      <c r="CH281" s="896">
        <f t="shared" ref="CH281:CI281" si="312">CH266</f>
        <v>39843</v>
      </c>
      <c r="CI281" s="897">
        <f t="shared" si="312"/>
        <v>0</v>
      </c>
      <c r="CQ281" s="664"/>
      <c r="CT281" s="896">
        <f t="shared" ref="CT281:CU281" si="313">CT266</f>
        <v>39843</v>
      </c>
      <c r="CU281" s="897">
        <f t="shared" si="313"/>
        <v>0</v>
      </c>
      <c r="DC281" s="664"/>
      <c r="DF281" s="896">
        <f t="shared" ref="DF281:DG281" si="314">DF266</f>
        <v>39843</v>
      </c>
      <c r="DG281" s="897">
        <f t="shared" si="314"/>
        <v>0</v>
      </c>
      <c r="DO281" s="664"/>
    </row>
    <row r="282" spans="2:119" hidden="1" x14ac:dyDescent="0.25">
      <c r="B282" s="896">
        <f t="shared" si="251"/>
        <v>39843</v>
      </c>
      <c r="C282" s="897">
        <f t="shared" si="251"/>
        <v>0</v>
      </c>
      <c r="K282" s="664"/>
      <c r="N282" s="896">
        <f t="shared" ref="N282:O282" si="315">N267</f>
        <v>39843</v>
      </c>
      <c r="O282" s="897">
        <f t="shared" si="315"/>
        <v>0</v>
      </c>
      <c r="U282" s="663"/>
      <c r="W282" s="664"/>
      <c r="Z282" s="896">
        <f t="shared" ref="Z282:AA282" si="316">Z267</f>
        <v>39843</v>
      </c>
      <c r="AA282" s="897">
        <f t="shared" si="316"/>
        <v>0</v>
      </c>
      <c r="AB282" s="663"/>
      <c r="AC282" s="663"/>
      <c r="AD282" s="663"/>
      <c r="AE282" s="663"/>
      <c r="AF282" s="663"/>
      <c r="AG282" s="663"/>
      <c r="AH282" s="663"/>
      <c r="AI282" s="664"/>
      <c r="AL282" s="896">
        <f t="shared" ref="AL282:AM282" si="317">AL267</f>
        <v>39843</v>
      </c>
      <c r="AM282" s="897">
        <f t="shared" si="317"/>
        <v>0</v>
      </c>
      <c r="AN282" s="663"/>
      <c r="AU282" s="664"/>
      <c r="AX282" s="896">
        <f t="shared" ref="AX282:AY282" si="318">AX267</f>
        <v>39843</v>
      </c>
      <c r="AY282" s="897">
        <f t="shared" si="318"/>
        <v>0</v>
      </c>
      <c r="BG282" s="664"/>
      <c r="BJ282" s="896">
        <f t="shared" ref="BJ282:BK282" si="319">BJ267</f>
        <v>39843</v>
      </c>
      <c r="BK282" s="897">
        <f t="shared" si="319"/>
        <v>0</v>
      </c>
      <c r="BS282" s="664"/>
      <c r="BV282" s="896">
        <f t="shared" ref="BV282:BW282" si="320">BV267</f>
        <v>39843</v>
      </c>
      <c r="BW282" s="897">
        <f t="shared" si="320"/>
        <v>0</v>
      </c>
      <c r="CE282" s="664"/>
      <c r="CH282" s="896">
        <f t="shared" ref="CH282:CI282" si="321">CH267</f>
        <v>39843</v>
      </c>
      <c r="CI282" s="897">
        <f t="shared" si="321"/>
        <v>0</v>
      </c>
      <c r="CQ282" s="664"/>
      <c r="CT282" s="896">
        <f t="shared" ref="CT282:CU282" si="322">CT267</f>
        <v>39843</v>
      </c>
      <c r="CU282" s="897">
        <f t="shared" si="322"/>
        <v>0</v>
      </c>
      <c r="DC282" s="664"/>
      <c r="DF282" s="896">
        <f t="shared" ref="DF282:DG282" si="323">DF267</f>
        <v>39843</v>
      </c>
      <c r="DG282" s="897">
        <f t="shared" si="323"/>
        <v>0</v>
      </c>
      <c r="DO282" s="664"/>
    </row>
    <row r="283" spans="2:119" hidden="1" x14ac:dyDescent="0.25">
      <c r="B283" s="896">
        <f t="shared" si="251"/>
        <v>39843</v>
      </c>
      <c r="C283" s="897">
        <f t="shared" si="251"/>
        <v>0</v>
      </c>
      <c r="K283" s="664"/>
      <c r="N283" s="896">
        <f t="shared" ref="N283:O283" si="324">N268</f>
        <v>39843</v>
      </c>
      <c r="O283" s="897">
        <f t="shared" si="324"/>
        <v>0</v>
      </c>
      <c r="U283" s="663"/>
      <c r="W283" s="664"/>
      <c r="Z283" s="896">
        <f t="shared" ref="Z283:AA283" si="325">Z268</f>
        <v>39843</v>
      </c>
      <c r="AA283" s="897">
        <f t="shared" si="325"/>
        <v>0</v>
      </c>
      <c r="AB283" s="663"/>
      <c r="AC283" s="663"/>
      <c r="AD283" s="663"/>
      <c r="AE283" s="663"/>
      <c r="AF283" s="663"/>
      <c r="AG283" s="663"/>
      <c r="AH283" s="663"/>
      <c r="AI283" s="664"/>
      <c r="AL283" s="896">
        <f t="shared" ref="AL283:AM283" si="326">AL268</f>
        <v>39843</v>
      </c>
      <c r="AM283" s="897">
        <f t="shared" si="326"/>
        <v>0</v>
      </c>
      <c r="AN283" s="663"/>
      <c r="AU283" s="664"/>
      <c r="AX283" s="896">
        <f t="shared" ref="AX283:AY283" si="327">AX268</f>
        <v>39843</v>
      </c>
      <c r="AY283" s="897">
        <f t="shared" si="327"/>
        <v>0</v>
      </c>
      <c r="BG283" s="664"/>
      <c r="BJ283" s="896">
        <f t="shared" ref="BJ283:BK283" si="328">BJ268</f>
        <v>39843</v>
      </c>
      <c r="BK283" s="897">
        <f t="shared" si="328"/>
        <v>0</v>
      </c>
      <c r="BS283" s="664"/>
      <c r="BV283" s="896">
        <f t="shared" ref="BV283:BW283" si="329">BV268</f>
        <v>39843</v>
      </c>
      <c r="BW283" s="897">
        <f t="shared" si="329"/>
        <v>0</v>
      </c>
      <c r="CE283" s="664"/>
      <c r="CH283" s="896">
        <f t="shared" ref="CH283:CI283" si="330">CH268</f>
        <v>39843</v>
      </c>
      <c r="CI283" s="897">
        <f t="shared" si="330"/>
        <v>0</v>
      </c>
      <c r="CQ283" s="664"/>
      <c r="CT283" s="896">
        <f t="shared" ref="CT283:CU283" si="331">CT268</f>
        <v>39843</v>
      </c>
      <c r="CU283" s="897">
        <f t="shared" si="331"/>
        <v>0</v>
      </c>
      <c r="DC283" s="664"/>
      <c r="DF283" s="896">
        <f t="shared" ref="DF283:DG283" si="332">DF268</f>
        <v>39843</v>
      </c>
      <c r="DG283" s="897">
        <f t="shared" si="332"/>
        <v>0</v>
      </c>
      <c r="DO283" s="664"/>
    </row>
    <row r="284" spans="2:119" hidden="1" x14ac:dyDescent="0.25">
      <c r="B284" s="896">
        <f>B269+$C$56</f>
        <v>41539</v>
      </c>
      <c r="C284" s="897">
        <f ca="1">C269</f>
        <v>0</v>
      </c>
      <c r="K284" s="664"/>
      <c r="N284" s="896">
        <f>N269+$C$56</f>
        <v>41539</v>
      </c>
      <c r="O284" s="897">
        <f ca="1">O269</f>
        <v>0</v>
      </c>
      <c r="U284" s="663"/>
      <c r="W284" s="664"/>
      <c r="Z284" s="896">
        <f>Z269+$C$56</f>
        <v>41539</v>
      </c>
      <c r="AA284" s="897">
        <f ca="1">AA269</f>
        <v>0</v>
      </c>
      <c r="AB284" s="663"/>
      <c r="AC284" s="663"/>
      <c r="AD284" s="663"/>
      <c r="AE284" s="663"/>
      <c r="AF284" s="663"/>
      <c r="AG284" s="663"/>
      <c r="AH284" s="663"/>
      <c r="AI284" s="664"/>
      <c r="AL284" s="896">
        <f>AL269+$C$56</f>
        <v>41539</v>
      </c>
      <c r="AM284" s="897">
        <f ca="1">AM269</f>
        <v>0</v>
      </c>
      <c r="AN284" s="663"/>
      <c r="AU284" s="664"/>
      <c r="AX284" s="896">
        <f>AX269+$C$56</f>
        <v>41539</v>
      </c>
      <c r="AY284" s="897">
        <f ca="1">AY269</f>
        <v>0</v>
      </c>
      <c r="BG284" s="664"/>
      <c r="BJ284" s="896">
        <f>BJ269+$C$56</f>
        <v>41539</v>
      </c>
      <c r="BK284" s="897">
        <f ca="1">BK269</f>
        <v>0</v>
      </c>
      <c r="BS284" s="664"/>
      <c r="BV284" s="896">
        <f>BV269+$C$56</f>
        <v>41539</v>
      </c>
      <c r="BW284" s="897">
        <f ca="1">BW269</f>
        <v>0</v>
      </c>
      <c r="CE284" s="664"/>
      <c r="CH284" s="896">
        <f>CH269+$C$56</f>
        <v>41539</v>
      </c>
      <c r="CI284" s="897">
        <f ca="1">CI269</f>
        <v>0</v>
      </c>
      <c r="CQ284" s="664"/>
      <c r="CT284" s="896">
        <f>CT269+$C$56</f>
        <v>41539</v>
      </c>
      <c r="CU284" s="897">
        <f ca="1">CU269</f>
        <v>0</v>
      </c>
      <c r="DC284" s="664"/>
      <c r="DF284" s="896">
        <f>DF269+$C$56</f>
        <v>41539</v>
      </c>
      <c r="DG284" s="897">
        <f ca="1">DG269</f>
        <v>0</v>
      </c>
      <c r="DO284" s="664"/>
    </row>
    <row r="285" spans="2:119" hidden="1" x14ac:dyDescent="0.25">
      <c r="B285" s="898">
        <f>IF(C274&lt;&gt;0,ROW(C274),IF(C275&lt;&gt;0,ROW(C275),IF(C276&lt;&gt;0,ROW(C276),IF(C277&lt;&gt;0,ROW(C277),IF(C278&lt;&gt;0,ROW(C278),IF(C279&lt;&gt;0,ROW(C279),IF(C280&lt;&gt;0,ROW(C280),IF(C281&lt;&gt;0,ROW(C281),IF(C282&lt;&gt;0,ROW(C282),IF(C283&lt;&gt;0,ROW(C283)))))))))))</f>
        <v>274</v>
      </c>
      <c r="C285" s="882" t="e">
        <f ca="1">IF(ISERROR(XIRR(INDIRECT(B287):C284,INDIRECT(B286):B284,-20%)),XIRR(INDIRECT(B287):C284,INDIRECT(B286):B284,20%),"N/A")</f>
        <v>#NUM!</v>
      </c>
      <c r="K285" s="664"/>
      <c r="N285" s="898">
        <f>IF(O274&lt;&gt;0,ROW(O274),IF(O275&lt;&gt;0,ROW(O275),IF(O276&lt;&gt;0,ROW(O276),IF(O277&lt;&gt;0,ROW(O277),IF(O278&lt;&gt;0,ROW(O278),IF(O279&lt;&gt;0,ROW(O279),IF(O280&lt;&gt;0,ROW(O280),IF(O281&lt;&gt;0,ROW(O281),IF(O282&lt;&gt;0,ROW(O282),IF(O283&lt;&gt;0,ROW(O283)))))))))))</f>
        <v>274</v>
      </c>
      <c r="O285" s="882" t="e">
        <f ca="1">IF(ISERROR(XIRR(INDIRECT(N287):O284,INDIRECT(N286):N284,-20%)),XIRR(INDIRECT(N287):O284,INDIRECT(N286):N284,20%),"N/A")</f>
        <v>#NUM!</v>
      </c>
      <c r="U285" s="663"/>
      <c r="W285" s="664"/>
      <c r="Z285" s="898">
        <f>IF(AA274&lt;&gt;0,ROW(AA274),IF(AA275&lt;&gt;0,ROW(AA275),IF(AA276&lt;&gt;0,ROW(AA276),IF(AA277&lt;&gt;0,ROW(AA277),IF(AA278&lt;&gt;0,ROW(AA278),IF(AA279&lt;&gt;0,ROW(AA279),IF(AA280&lt;&gt;0,ROW(AA280),IF(AA281&lt;&gt;0,ROW(AA281),IF(AA282&lt;&gt;0,ROW(AA282),IF(AA283&lt;&gt;0,ROW(AA283)))))))))))</f>
        <v>274</v>
      </c>
      <c r="AA285" s="882" t="e">
        <f ca="1">IF(ISERROR(XIRR(INDIRECT(Z287):AA284,INDIRECT(Z286):Z284,-20%)),XIRR(INDIRECT(Z287):AA284,INDIRECT(Z286):Z284,20%),"N/A")</f>
        <v>#NUM!</v>
      </c>
      <c r="AB285" s="663"/>
      <c r="AC285" s="663"/>
      <c r="AD285" s="663"/>
      <c r="AE285" s="663"/>
      <c r="AF285" s="663"/>
      <c r="AG285" s="663"/>
      <c r="AH285" s="663"/>
      <c r="AI285" s="664"/>
      <c r="AL285" s="898">
        <f>IF(AM274&lt;&gt;0,ROW(AM274),IF(AM275&lt;&gt;0,ROW(AM275),IF(AM276&lt;&gt;0,ROW(AM276),IF(AM277&lt;&gt;0,ROW(AM277),IF(AM278&lt;&gt;0,ROW(AM278),IF(AM279&lt;&gt;0,ROW(AM279),IF(AM280&lt;&gt;0,ROW(AM280),IF(AM281&lt;&gt;0,ROW(AM281),IF(AM282&lt;&gt;0,ROW(AM282),IF(AM283&lt;&gt;0,ROW(AM283)))))))))))</f>
        <v>274</v>
      </c>
      <c r="AM285" s="882" t="e">
        <f ca="1">IF(ISERROR(XIRR(INDIRECT(AL287):AM284,INDIRECT(AL286):AL284,-20%)),XIRR(INDIRECT(AL287):AM284,INDIRECT(AL286):AL284,20%),"N/A")</f>
        <v>#NUM!</v>
      </c>
      <c r="AN285" s="663"/>
      <c r="AU285" s="664"/>
      <c r="AX285" s="898">
        <f>IF(AY274&lt;&gt;0,ROW(AY274),IF(AY275&lt;&gt;0,ROW(AY275),IF(AY276&lt;&gt;0,ROW(AY276),IF(AY277&lt;&gt;0,ROW(AY277),IF(AY278&lt;&gt;0,ROW(AY278),IF(AY279&lt;&gt;0,ROW(AY279),IF(AY280&lt;&gt;0,ROW(AY280),IF(AY281&lt;&gt;0,ROW(AY281),IF(AY282&lt;&gt;0,ROW(AY282),IF(AY283&lt;&gt;0,ROW(AY283)))))))))))</f>
        <v>274</v>
      </c>
      <c r="AY285" s="882" t="e">
        <f ca="1">IF(ISERROR(XIRR(INDIRECT(AX287):AY284,INDIRECT(AX286):AX284,-20%)),XIRR(INDIRECT(AX287):AY284,INDIRECT(AX286):AX284,20%),"N/A")</f>
        <v>#NUM!</v>
      </c>
      <c r="BG285" s="664"/>
      <c r="BJ285" s="898">
        <f>IF(BK274&lt;&gt;0,ROW(BK274),IF(BK275&lt;&gt;0,ROW(BK275),IF(BK276&lt;&gt;0,ROW(BK276),IF(BK277&lt;&gt;0,ROW(BK277),IF(BK278&lt;&gt;0,ROW(BK278),IF(BK279&lt;&gt;0,ROW(BK279),IF(BK280&lt;&gt;0,ROW(BK280),IF(BK281&lt;&gt;0,ROW(BK281),IF(BK282&lt;&gt;0,ROW(BK282),IF(BK283&lt;&gt;0,ROW(BK283)))))))))))</f>
        <v>274</v>
      </c>
      <c r="BK285" s="882" t="e">
        <f ca="1">IF(ISERROR(XIRR(INDIRECT(BJ287):BK284,INDIRECT(BJ286):BJ284,-20%)),XIRR(INDIRECT(BJ287):BK284,INDIRECT(BJ286):BJ284,20%),"N/A")</f>
        <v>#NUM!</v>
      </c>
      <c r="BS285" s="664"/>
      <c r="BV285" s="898">
        <f>IF(BW274&lt;&gt;0,ROW(BW274),IF(BW275&lt;&gt;0,ROW(BW275),IF(BW276&lt;&gt;0,ROW(BW276),IF(BW277&lt;&gt;0,ROW(BW277),IF(BW278&lt;&gt;0,ROW(BW278),IF(BW279&lt;&gt;0,ROW(BW279),IF(BW280&lt;&gt;0,ROW(BW280),IF(BW281&lt;&gt;0,ROW(BW281),IF(BW282&lt;&gt;0,ROW(BW282),IF(BW283&lt;&gt;0,ROW(BW283)))))))))))</f>
        <v>274</v>
      </c>
      <c r="BW285" s="882" t="e">
        <f ca="1">IF(ISERROR(XIRR(INDIRECT(BV287):BW284,INDIRECT(BV286):BV284,-20%)),XIRR(INDIRECT(BV287):BW284,INDIRECT(BV286):BV284,20%),"N/A")</f>
        <v>#NUM!</v>
      </c>
      <c r="CE285" s="664"/>
      <c r="CH285" s="898">
        <f>IF(CI274&lt;&gt;0,ROW(CI274),IF(CI275&lt;&gt;0,ROW(CI275),IF(CI276&lt;&gt;0,ROW(CI276),IF(CI277&lt;&gt;0,ROW(CI277),IF(CI278&lt;&gt;0,ROW(CI278),IF(CI279&lt;&gt;0,ROW(CI279),IF(CI280&lt;&gt;0,ROW(CI280),IF(CI281&lt;&gt;0,ROW(CI281),IF(CI282&lt;&gt;0,ROW(CI282),IF(CI283&lt;&gt;0,ROW(CI283)))))))))))</f>
        <v>274</v>
      </c>
      <c r="CI285" s="882" t="e">
        <f ca="1">IF(ISERROR(XIRR(INDIRECT(CH287):CI284,INDIRECT(CH286):CH284,-20%)),XIRR(INDIRECT(CH287):CI284,INDIRECT(CH286):CH284,20%),"N/A")</f>
        <v>#NUM!</v>
      </c>
      <c r="CQ285" s="664"/>
      <c r="CT285" s="898">
        <f>IF(CU274&lt;&gt;0,ROW(CU274),IF(CU275&lt;&gt;0,ROW(CU275),IF(CU276&lt;&gt;0,ROW(CU276),IF(CU277&lt;&gt;0,ROW(CU277),IF(CU278&lt;&gt;0,ROW(CU278),IF(CU279&lt;&gt;0,ROW(CU279),IF(CU280&lt;&gt;0,ROW(CU280),IF(CU281&lt;&gt;0,ROW(CU281),IF(CU282&lt;&gt;0,ROW(CU282),IF(CU283&lt;&gt;0,ROW(CU283)))))))))))</f>
        <v>274</v>
      </c>
      <c r="CU285" s="882" t="e">
        <f ca="1">IF(ISERROR(XIRR(INDIRECT(CT287):CU284,INDIRECT(CT286):CT284,-20%)),XIRR(INDIRECT(CT287):CU284,INDIRECT(CT286):CT284,20%),"N/A")</f>
        <v>#NUM!</v>
      </c>
      <c r="DC285" s="664"/>
      <c r="DF285" s="898">
        <f>IF(DG274&lt;&gt;0,ROW(DG274),IF(DG275&lt;&gt;0,ROW(DG275),IF(DG276&lt;&gt;0,ROW(DG276),IF(DG277&lt;&gt;0,ROW(DG277),IF(DG278&lt;&gt;0,ROW(DG278),IF(DG279&lt;&gt;0,ROW(DG279),IF(DG280&lt;&gt;0,ROW(DG280),IF(DG281&lt;&gt;0,ROW(DG281),IF(DG282&lt;&gt;0,ROW(DG282),IF(DG283&lt;&gt;0,ROW(DG283)))))))))))</f>
        <v>274</v>
      </c>
      <c r="DG285" s="882" t="e">
        <f ca="1">IF(ISERROR(XIRR(INDIRECT(DF287):DG284,INDIRECT(DF286):DF284,-20%)),XIRR(INDIRECT(DF287):DG284,INDIRECT(DF286):DF284,20%),"N/A")</f>
        <v>#NUM!</v>
      </c>
      <c r="DO285" s="664"/>
    </row>
    <row r="286" spans="2:119" hidden="1" x14ac:dyDescent="0.25">
      <c r="B286" s="899" t="str">
        <f>CONCATENATE(CHAR(64+COLUMN(B285)),B285)</f>
        <v>B274</v>
      </c>
      <c r="C286" s="897"/>
      <c r="K286" s="664"/>
      <c r="N286" s="899" t="str">
        <f>CONCATENATE(CHAR(64+COLUMN(N285)),N285)</f>
        <v>N274</v>
      </c>
      <c r="O286" s="897"/>
      <c r="U286" s="663"/>
      <c r="W286" s="664"/>
      <c r="Z286" s="899" t="str">
        <f>CONCATENATE(IF(COLUMN(Z285)&lt;=26,CHAR(96+COLUMN(Z285)),(CHAR(96+(ROUNDDOWN((COLUMN(Z285)-1)/26,0)))&amp;CHAR(96+IF(MOD(COLUMN(Z285),26)=0,26,MOD(COLUMN(Z285),26))))),Z285)</f>
        <v>z274</v>
      </c>
      <c r="AA286" s="897"/>
      <c r="AB286" s="663"/>
      <c r="AC286" s="663"/>
      <c r="AD286" s="663"/>
      <c r="AE286" s="663"/>
      <c r="AF286" s="663"/>
      <c r="AG286" s="663"/>
      <c r="AH286" s="663"/>
      <c r="AI286" s="664"/>
      <c r="AL286" s="899" t="str">
        <f>CONCATENATE(IF(COLUMN(AL285)&lt;=26,CHAR(96+COLUMN(AL285)),(CHAR(96+(ROUNDDOWN((COLUMN(AL285)-1)/26,0)))&amp;CHAR(96+IF(MOD(COLUMN(AL285),26)=0,26,MOD(COLUMN(AL285),26))))),AL285)</f>
        <v>al274</v>
      </c>
      <c r="AM286" s="897"/>
      <c r="AN286" s="663"/>
      <c r="AU286" s="664"/>
      <c r="AX286" s="899" t="str">
        <f>CONCATENATE(IF(COLUMN(AX285)&lt;=26,CHAR(96+COLUMN(AX285)),(CHAR(96+(ROUNDDOWN((COLUMN(AX285)-1)/26,0)))&amp;CHAR(96+IF(MOD(COLUMN(AX285),26)=0,26,MOD(COLUMN(AX285),26))))),AX285)</f>
        <v>ax274</v>
      </c>
      <c r="AY286" s="897"/>
      <c r="BG286" s="664"/>
      <c r="BJ286" s="899" t="str">
        <f>CONCATENATE(IF(COLUMN(BJ285)&lt;=26,CHAR(96+COLUMN(BJ285)),(CHAR(96+(ROUNDDOWN((COLUMN(BJ285)-1)/26,0)))&amp;CHAR(96+IF(MOD(COLUMN(BJ285),26)=0,26,MOD(COLUMN(BJ285),26))))),BJ285)</f>
        <v>bj274</v>
      </c>
      <c r="BK286" s="897"/>
      <c r="BS286" s="664"/>
      <c r="BV286" s="899" t="str">
        <f>CONCATENATE(IF(COLUMN(BV285)&lt;=26,CHAR(96+COLUMN(BV285)),(CHAR(96+(ROUNDDOWN((COLUMN(BV285)-1)/26,0)))&amp;CHAR(96+IF(MOD(COLUMN(BV285),26)=0,26,MOD(COLUMN(BV285),26))))),BV285)</f>
        <v>bv274</v>
      </c>
      <c r="BW286" s="897"/>
      <c r="CE286" s="664"/>
      <c r="CH286" s="899" t="str">
        <f>CONCATENATE(IF(COLUMN(CH285)&lt;=26,CHAR(96+COLUMN(CH285)),(CHAR(96+(ROUNDDOWN((COLUMN(CH285)-1)/26,0)))&amp;CHAR(96+IF(MOD(COLUMN(CH285),26)=0,26,MOD(COLUMN(CH285),26))))),CH285)</f>
        <v>ch274</v>
      </c>
      <c r="CI286" s="897"/>
      <c r="CQ286" s="664"/>
      <c r="CT286" s="899" t="str">
        <f>CONCATENATE(IF(COLUMN(CT285)&lt;=26,CHAR(96+COLUMN(CT285)),(CHAR(96+(ROUNDDOWN((COLUMN(CT285)-1)/26,0)))&amp;CHAR(96+IF(MOD(COLUMN(CT285),26)=0,26,MOD(COLUMN(CT285),26))))),CT285)</f>
        <v>ct274</v>
      </c>
      <c r="CU286" s="897"/>
      <c r="DC286" s="664"/>
      <c r="DF286" s="899" t="str">
        <f>CONCATENATE(IF(COLUMN(DF285)&lt;=26,CHAR(96+COLUMN(DF285)),(CHAR(96+(ROUNDDOWN((COLUMN(DF285)-1)/26,0)))&amp;CHAR(96+IF(MOD(COLUMN(DF285),26)=0,26,MOD(COLUMN(DF285),26))))),DF285)</f>
        <v>df274</v>
      </c>
      <c r="DG286" s="897"/>
      <c r="DO286" s="664"/>
    </row>
    <row r="287" spans="2:119" hidden="1" x14ac:dyDescent="0.25">
      <c r="B287" s="899" t="str">
        <f>CONCATENATE(CHAR(64+COLUMN(C285)),B285)</f>
        <v>C274</v>
      </c>
      <c r="C287" s="897"/>
      <c r="K287" s="664"/>
      <c r="N287" s="899" t="str">
        <f>CONCATENATE(CHAR(64+COLUMN(O285)),N285)</f>
        <v>O274</v>
      </c>
      <c r="O287" s="897"/>
      <c r="U287" s="663"/>
      <c r="W287" s="664"/>
      <c r="Z287" s="899" t="str">
        <f>CONCATENATE(IF(COLUMN(AA285)&lt;=26,CHAR(96+COLUMN(AA285)),(CHAR(96+(ROUNDDOWN((COLUMN(AA285)-1)/26,0)))&amp;CHAR(96+IF(MOD(COLUMN(AA285),26)=0,26,MOD(COLUMN(AA285),26))))),Z285)</f>
        <v>aa274</v>
      </c>
      <c r="AA287" s="897"/>
      <c r="AB287" s="663"/>
      <c r="AC287" s="663"/>
      <c r="AD287" s="663"/>
      <c r="AE287" s="663"/>
      <c r="AF287" s="663"/>
      <c r="AG287" s="663"/>
      <c r="AH287" s="663"/>
      <c r="AI287" s="664"/>
      <c r="AL287" s="899" t="str">
        <f>CONCATENATE(IF(COLUMN(AM285)&lt;=26,CHAR(96+COLUMN(AM285)),(CHAR(96+(ROUNDDOWN((COLUMN(AM285)-1)/26,0)))&amp;CHAR(96+IF(MOD(COLUMN(AM285),26)=0,26,MOD(COLUMN(AM285),26))))),AL285)</f>
        <v>am274</v>
      </c>
      <c r="AM287" s="897"/>
      <c r="AN287" s="663"/>
      <c r="AU287" s="664"/>
      <c r="AX287" s="899" t="str">
        <f>CONCATENATE(IF(COLUMN(AY285)&lt;=26,CHAR(96+COLUMN(AY285)),(CHAR(96+(ROUNDDOWN((COLUMN(AY285)-1)/26,0)))&amp;CHAR(96+IF(MOD(COLUMN(AY285),26)=0,26,MOD(COLUMN(AY285),26))))),AX285)</f>
        <v>ay274</v>
      </c>
      <c r="AY287" s="897"/>
      <c r="BG287" s="664"/>
      <c r="BJ287" s="899" t="str">
        <f>CONCATENATE(IF(COLUMN(BK285)&lt;=26,CHAR(96+COLUMN(BK285)),(CHAR(96+(ROUNDDOWN((COLUMN(BK285)-1)/26,0)))&amp;CHAR(96+IF(MOD(COLUMN(BK285),26)=0,26,MOD(COLUMN(BK285),26))))),BJ285)</f>
        <v>bk274</v>
      </c>
      <c r="BK287" s="897"/>
      <c r="BS287" s="664"/>
      <c r="BV287" s="899" t="str">
        <f>CONCATENATE(IF(COLUMN(BW285)&lt;=26,CHAR(96+COLUMN(BW285)),(CHAR(96+(ROUNDDOWN((COLUMN(BW285)-1)/26,0)))&amp;CHAR(96+IF(MOD(COLUMN(BW285),26)=0,26,MOD(COLUMN(BW285),26))))),BV285)</f>
        <v>bw274</v>
      </c>
      <c r="BW287" s="897"/>
      <c r="CE287" s="664"/>
      <c r="CH287" s="899" t="str">
        <f>CONCATENATE(IF(COLUMN(CI285)&lt;=26,CHAR(96+COLUMN(CI285)),(CHAR(96+(ROUNDDOWN((COLUMN(CI285)-1)/26,0)))&amp;CHAR(96+IF(MOD(COLUMN(CI285),26)=0,26,MOD(COLUMN(CI285),26))))),CH285)</f>
        <v>ci274</v>
      </c>
      <c r="CI287" s="897"/>
      <c r="CQ287" s="664"/>
      <c r="CT287" s="899" t="str">
        <f>CONCATENATE(IF(COLUMN(CU285)&lt;=26,CHAR(96+COLUMN(CU285)),(CHAR(96+(ROUNDDOWN((COLUMN(CU285)-1)/26,0)))&amp;CHAR(96+IF(MOD(COLUMN(CU285),26)=0,26,MOD(COLUMN(CU285),26))))),CT285)</f>
        <v>cu274</v>
      </c>
      <c r="CU287" s="897"/>
      <c r="DC287" s="664"/>
      <c r="DF287" s="899" t="str">
        <f>CONCATENATE(IF(COLUMN(DG285)&lt;=26,CHAR(96+COLUMN(DG285)),(CHAR(96+(ROUNDDOWN((COLUMN(DG285)-1)/26,0)))&amp;CHAR(96+IF(MOD(COLUMN(DG285),26)=0,26,MOD(COLUMN(DG285),26))))),DF285)</f>
        <v>dg274</v>
      </c>
      <c r="DG287" s="897"/>
      <c r="DO287" s="664"/>
    </row>
    <row r="288" spans="2:119" hidden="1" x14ac:dyDescent="0.25">
      <c r="B288" s="899"/>
      <c r="C288" s="897"/>
      <c r="K288" s="664"/>
      <c r="N288" s="899"/>
      <c r="O288" s="897"/>
      <c r="U288" s="663"/>
      <c r="W288" s="664"/>
      <c r="Z288" s="899"/>
      <c r="AA288" s="897"/>
      <c r="AB288" s="663"/>
      <c r="AC288" s="663"/>
      <c r="AD288" s="663"/>
      <c r="AE288" s="663"/>
      <c r="AF288" s="663"/>
      <c r="AG288" s="663"/>
      <c r="AH288" s="663"/>
      <c r="AI288" s="664"/>
      <c r="AL288" s="899"/>
      <c r="AM288" s="897"/>
      <c r="AN288" s="663"/>
      <c r="AU288" s="664"/>
      <c r="AX288" s="899"/>
      <c r="AY288" s="897"/>
      <c r="BG288" s="664"/>
      <c r="BJ288" s="899"/>
      <c r="BK288" s="897"/>
      <c r="BS288" s="664"/>
      <c r="BV288" s="899"/>
      <c r="BW288" s="897"/>
      <c r="CE288" s="664"/>
      <c r="CH288" s="899"/>
      <c r="CI288" s="897"/>
      <c r="CQ288" s="664"/>
      <c r="CT288" s="899"/>
      <c r="CU288" s="897"/>
      <c r="DC288" s="664"/>
      <c r="DF288" s="899"/>
      <c r="DG288" s="897"/>
      <c r="DO288" s="664"/>
    </row>
    <row r="289" spans="2:119" hidden="1" x14ac:dyDescent="0.25">
      <c r="B289" s="894"/>
      <c r="C289" s="897"/>
      <c r="K289" s="664"/>
      <c r="N289" s="894"/>
      <c r="O289" s="897"/>
      <c r="U289" s="663"/>
      <c r="W289" s="664"/>
      <c r="Z289" s="894"/>
      <c r="AA289" s="897"/>
      <c r="AB289" s="663"/>
      <c r="AC289" s="663"/>
      <c r="AD289" s="663"/>
      <c r="AE289" s="663"/>
      <c r="AF289" s="663"/>
      <c r="AG289" s="663"/>
      <c r="AH289" s="663"/>
      <c r="AI289" s="664"/>
      <c r="AL289" s="894"/>
      <c r="AM289" s="897"/>
      <c r="AN289" s="663"/>
      <c r="AU289" s="664"/>
      <c r="AX289" s="894"/>
      <c r="AY289" s="897"/>
      <c r="BG289" s="664"/>
      <c r="BJ289" s="894"/>
      <c r="BK289" s="897"/>
      <c r="BS289" s="664"/>
      <c r="BV289" s="894"/>
      <c r="BW289" s="897"/>
      <c r="CE289" s="664"/>
      <c r="CH289" s="894"/>
      <c r="CI289" s="897"/>
      <c r="CQ289" s="664"/>
      <c r="CT289" s="894"/>
      <c r="CU289" s="897"/>
      <c r="DC289" s="664"/>
      <c r="DF289" s="894"/>
      <c r="DG289" s="897"/>
      <c r="DO289" s="664"/>
    </row>
    <row r="290" spans="2:119" hidden="1" x14ac:dyDescent="0.25">
      <c r="B290" s="894" t="str">
        <f t="shared" ref="B290" si="333">CONCATENATE(B203," Gross Return Analysis")</f>
        <v>Inv B Gross Return Analysis</v>
      </c>
      <c r="C290" s="897"/>
      <c r="K290" s="664"/>
      <c r="N290" s="894" t="str">
        <f t="shared" ref="N290" si="334">CONCATENATE(N203," Gross Return Analysis")</f>
        <v>Inv B Gross Return Analysis</v>
      </c>
      <c r="O290" s="897"/>
      <c r="U290" s="663"/>
      <c r="W290" s="664"/>
      <c r="Z290" s="894" t="str">
        <f t="shared" ref="Z290" si="335">CONCATENATE(Z203," Gross Return Analysis")</f>
        <v>Inv B Gross Return Analysis</v>
      </c>
      <c r="AA290" s="897"/>
      <c r="AB290" s="663"/>
      <c r="AC290" s="663"/>
      <c r="AD290" s="663"/>
      <c r="AE290" s="663"/>
      <c r="AF290" s="663"/>
      <c r="AG290" s="663"/>
      <c r="AH290" s="663"/>
      <c r="AI290" s="664"/>
      <c r="AL290" s="894" t="str">
        <f t="shared" ref="AL290" si="336">CONCATENATE(AL203," Gross Return Analysis")</f>
        <v>Inv B Gross Return Analysis</v>
      </c>
      <c r="AM290" s="897"/>
      <c r="AN290" s="663"/>
      <c r="AU290" s="664"/>
      <c r="AX290" s="894" t="str">
        <f t="shared" ref="AX290" si="337">CONCATENATE(AX203," Gross Return Analysis")</f>
        <v>Inv B Gross Return Analysis</v>
      </c>
      <c r="AY290" s="897"/>
      <c r="BG290" s="664"/>
      <c r="BJ290" s="894" t="str">
        <f t="shared" ref="BJ290" si="338">CONCATENATE(BJ203," Gross Return Analysis")</f>
        <v>Inv B Gross Return Analysis</v>
      </c>
      <c r="BK290" s="897"/>
      <c r="BS290" s="664"/>
      <c r="BV290" s="894" t="str">
        <f t="shared" ref="BV290" si="339">CONCATENATE(BV203," Gross Return Analysis")</f>
        <v>Inv B Gross Return Analysis</v>
      </c>
      <c r="BW290" s="897"/>
      <c r="CE290" s="664"/>
      <c r="CH290" s="894" t="str">
        <f t="shared" ref="CH290" si="340">CONCATENATE(CH203," Gross Return Analysis")</f>
        <v>Inv B Gross Return Analysis</v>
      </c>
      <c r="CI290" s="897"/>
      <c r="CQ290" s="664"/>
      <c r="CT290" s="894" t="str">
        <f t="shared" ref="CT290" si="341">CONCATENATE(CT203," Gross Return Analysis")</f>
        <v>Inv B Gross Return Analysis</v>
      </c>
      <c r="CU290" s="897"/>
      <c r="DC290" s="664"/>
      <c r="DF290" s="894" t="str">
        <f t="shared" ref="DF290" si="342">CONCATENATE(DF203," Gross Return Analysis")</f>
        <v>Inv B Gross Return Analysis</v>
      </c>
      <c r="DG290" s="897"/>
      <c r="DO290" s="664"/>
    </row>
    <row r="291" spans="2:119" hidden="1" x14ac:dyDescent="0.25">
      <c r="B291" s="668" t="s">
        <v>114</v>
      </c>
      <c r="C291" s="666">
        <f ca="1">C203</f>
        <v>0</v>
      </c>
      <c r="K291" s="664"/>
      <c r="N291" s="668" t="s">
        <v>114</v>
      </c>
      <c r="O291" s="666">
        <f ca="1">O203</f>
        <v>0</v>
      </c>
      <c r="U291" s="663"/>
      <c r="W291" s="664"/>
      <c r="Z291" s="668" t="s">
        <v>114</v>
      </c>
      <c r="AA291" s="666">
        <f ca="1">AA203</f>
        <v>0</v>
      </c>
      <c r="AB291" s="663"/>
      <c r="AC291" s="663"/>
      <c r="AD291" s="663"/>
      <c r="AE291" s="663"/>
      <c r="AF291" s="663"/>
      <c r="AG291" s="663"/>
      <c r="AH291" s="663"/>
      <c r="AI291" s="664"/>
      <c r="AL291" s="668" t="s">
        <v>114</v>
      </c>
      <c r="AM291" s="666">
        <f ca="1">AM203</f>
        <v>0</v>
      </c>
      <c r="AN291" s="663"/>
      <c r="AU291" s="664"/>
      <c r="AX291" s="668" t="s">
        <v>114</v>
      </c>
      <c r="AY291" s="666">
        <f ca="1">AY203</f>
        <v>0</v>
      </c>
      <c r="BG291" s="664"/>
      <c r="BJ291" s="668" t="s">
        <v>114</v>
      </c>
      <c r="BK291" s="666">
        <f ca="1">BK203</f>
        <v>0</v>
      </c>
      <c r="BS291" s="664"/>
      <c r="BV291" s="668" t="s">
        <v>114</v>
      </c>
      <c r="BW291" s="666">
        <f ca="1">BW203</f>
        <v>0</v>
      </c>
      <c r="CE291" s="664"/>
      <c r="CH291" s="668" t="s">
        <v>114</v>
      </c>
      <c r="CI291" s="666">
        <f ca="1">CI203</f>
        <v>0</v>
      </c>
      <c r="CQ291" s="664"/>
      <c r="CT291" s="668" t="s">
        <v>114</v>
      </c>
      <c r="CU291" s="666">
        <f ca="1">CU203</f>
        <v>0</v>
      </c>
      <c r="DC291" s="664"/>
      <c r="DF291" s="668" t="s">
        <v>114</v>
      </c>
      <c r="DG291" s="666">
        <f ca="1">DG203</f>
        <v>0</v>
      </c>
      <c r="DO291" s="664"/>
    </row>
    <row r="292" spans="2:119" hidden="1" x14ac:dyDescent="0.25">
      <c r="B292" s="668" t="s">
        <v>115</v>
      </c>
      <c r="C292" s="895">
        <f ca="1">IF($P$30=0,0,C203/$P$30)</f>
        <v>0</v>
      </c>
      <c r="K292" s="664"/>
      <c r="N292" s="668" t="s">
        <v>115</v>
      </c>
      <c r="O292" s="895">
        <f ca="1">IF($P$30=0,0,O203/$P$30)</f>
        <v>0</v>
      </c>
      <c r="U292" s="663"/>
      <c r="W292" s="664"/>
      <c r="Z292" s="668" t="s">
        <v>115</v>
      </c>
      <c r="AA292" s="895">
        <f ca="1">IF($P$30=0,0,AA203/$P$30)</f>
        <v>0</v>
      </c>
      <c r="AB292" s="663"/>
      <c r="AC292" s="663"/>
      <c r="AD292" s="663"/>
      <c r="AE292" s="663"/>
      <c r="AF292" s="663"/>
      <c r="AG292" s="663"/>
      <c r="AH292" s="663"/>
      <c r="AI292" s="664"/>
      <c r="AL292" s="668" t="s">
        <v>115</v>
      </c>
      <c r="AM292" s="895">
        <f ca="1">IF($P$30=0,0,AM203/$P$30)</f>
        <v>0</v>
      </c>
      <c r="AN292" s="663"/>
      <c r="AU292" s="664"/>
      <c r="AX292" s="668" t="s">
        <v>115</v>
      </c>
      <c r="AY292" s="895">
        <f ca="1">IF($P$30=0,0,AY203/$P$30)</f>
        <v>0</v>
      </c>
      <c r="BG292" s="664"/>
      <c r="BJ292" s="668" t="s">
        <v>115</v>
      </c>
      <c r="BK292" s="895">
        <f ca="1">IF($P$30=0,0,BK203/$P$30)</f>
        <v>0</v>
      </c>
      <c r="BS292" s="664"/>
      <c r="BV292" s="668" t="s">
        <v>115</v>
      </c>
      <c r="BW292" s="895">
        <f ca="1">IF($P$30=0,0,BW203/$P$30)</f>
        <v>0</v>
      </c>
      <c r="CE292" s="664"/>
      <c r="CH292" s="668" t="s">
        <v>115</v>
      </c>
      <c r="CI292" s="895">
        <f ca="1">IF($P$30=0,0,CI203/$P$30)</f>
        <v>0</v>
      </c>
      <c r="CQ292" s="664"/>
      <c r="CT292" s="668" t="s">
        <v>115</v>
      </c>
      <c r="CU292" s="895">
        <f ca="1">IF($P$30=0,0,CU203/$P$30)</f>
        <v>0</v>
      </c>
      <c r="DC292" s="664"/>
      <c r="DF292" s="668" t="s">
        <v>115</v>
      </c>
      <c r="DG292" s="895">
        <f ca="1">IF($P$30=0,0,DG203/$P$30)</f>
        <v>0</v>
      </c>
      <c r="DO292" s="664"/>
    </row>
    <row r="293" spans="2:119" hidden="1" x14ac:dyDescent="0.25">
      <c r="B293" s="896">
        <f>$F$5</f>
        <v>39113</v>
      </c>
      <c r="C293" s="897">
        <f>-$F$30</f>
        <v>-1000000</v>
      </c>
      <c r="K293" s="664"/>
      <c r="N293" s="896">
        <f>$F$5</f>
        <v>39113</v>
      </c>
      <c r="O293" s="897">
        <f>-$F$30</f>
        <v>-1000000</v>
      </c>
      <c r="U293" s="663"/>
      <c r="W293" s="664"/>
      <c r="Z293" s="896">
        <f>$F$5</f>
        <v>39113</v>
      </c>
      <c r="AA293" s="897">
        <f>-$F$30</f>
        <v>-1000000</v>
      </c>
      <c r="AB293" s="663"/>
      <c r="AC293" s="663"/>
      <c r="AD293" s="663"/>
      <c r="AE293" s="663"/>
      <c r="AF293" s="663"/>
      <c r="AG293" s="663"/>
      <c r="AH293" s="663"/>
      <c r="AI293" s="664"/>
      <c r="AL293" s="896">
        <f>$F$5</f>
        <v>39113</v>
      </c>
      <c r="AM293" s="897">
        <f>-$F$30</f>
        <v>-1000000</v>
      </c>
      <c r="AN293" s="663"/>
      <c r="AU293" s="664"/>
      <c r="AX293" s="896">
        <f>$F$5</f>
        <v>39113</v>
      </c>
      <c r="AY293" s="897">
        <f>-$F$30</f>
        <v>-1000000</v>
      </c>
      <c r="BG293" s="664"/>
      <c r="BJ293" s="896">
        <f>$F$5</f>
        <v>39113</v>
      </c>
      <c r="BK293" s="897">
        <f>-$F$30</f>
        <v>-1000000</v>
      </c>
      <c r="BS293" s="664"/>
      <c r="BV293" s="896">
        <f>$F$5</f>
        <v>39113</v>
      </c>
      <c r="BW293" s="897">
        <f>-$F$30</f>
        <v>-1000000</v>
      </c>
      <c r="CE293" s="664"/>
      <c r="CH293" s="896">
        <f>$F$5</f>
        <v>39113</v>
      </c>
      <c r="CI293" s="897">
        <f>-$F$30</f>
        <v>-1000000</v>
      </c>
      <c r="CQ293" s="664"/>
      <c r="CT293" s="896">
        <f>$F$5</f>
        <v>39113</v>
      </c>
      <c r="CU293" s="897">
        <f>-$F$30</f>
        <v>-1000000</v>
      </c>
      <c r="DC293" s="664"/>
      <c r="DF293" s="896">
        <f>$F$5</f>
        <v>39113</v>
      </c>
      <c r="DG293" s="897">
        <f>-$F$30</f>
        <v>-1000000</v>
      </c>
      <c r="DO293" s="664"/>
    </row>
    <row r="294" spans="2:119" hidden="1" x14ac:dyDescent="0.25">
      <c r="B294" s="896">
        <f>$G$5</f>
        <v>39478</v>
      </c>
      <c r="C294" s="897">
        <f>-$G$30</f>
        <v>-2000000</v>
      </c>
      <c r="K294" s="664"/>
      <c r="N294" s="896">
        <f>$G$5</f>
        <v>39478</v>
      </c>
      <c r="O294" s="897">
        <f>-$G$30</f>
        <v>-2000000</v>
      </c>
      <c r="U294" s="663"/>
      <c r="W294" s="664"/>
      <c r="Z294" s="896">
        <f>$G$5</f>
        <v>39478</v>
      </c>
      <c r="AA294" s="897">
        <f>-$G$30</f>
        <v>-2000000</v>
      </c>
      <c r="AB294" s="663"/>
      <c r="AC294" s="663"/>
      <c r="AD294" s="663"/>
      <c r="AE294" s="663"/>
      <c r="AF294" s="663"/>
      <c r="AG294" s="663"/>
      <c r="AH294" s="663"/>
      <c r="AI294" s="664"/>
      <c r="AL294" s="896">
        <f>$G$5</f>
        <v>39478</v>
      </c>
      <c r="AM294" s="897">
        <f>-$G$30</f>
        <v>-2000000</v>
      </c>
      <c r="AN294" s="663"/>
      <c r="AU294" s="664"/>
      <c r="AX294" s="896">
        <f>$G$5</f>
        <v>39478</v>
      </c>
      <c r="AY294" s="897">
        <f>-$G$30</f>
        <v>-2000000</v>
      </c>
      <c r="BG294" s="664"/>
      <c r="BJ294" s="896">
        <f>$G$5</f>
        <v>39478</v>
      </c>
      <c r="BK294" s="897">
        <f>-$G$30</f>
        <v>-2000000</v>
      </c>
      <c r="BS294" s="664"/>
      <c r="BV294" s="896">
        <f>$G$5</f>
        <v>39478</v>
      </c>
      <c r="BW294" s="897">
        <f>-$G$30</f>
        <v>-2000000</v>
      </c>
      <c r="CE294" s="664"/>
      <c r="CH294" s="896">
        <f>$G$5</f>
        <v>39478</v>
      </c>
      <c r="CI294" s="897">
        <f>-$G$30</f>
        <v>-2000000</v>
      </c>
      <c r="CQ294" s="664"/>
      <c r="CT294" s="896">
        <f>$G$5</f>
        <v>39478</v>
      </c>
      <c r="CU294" s="897">
        <f>-$G$30</f>
        <v>-2000000</v>
      </c>
      <c r="DC294" s="664"/>
      <c r="DF294" s="896">
        <f>$G$5</f>
        <v>39478</v>
      </c>
      <c r="DG294" s="897">
        <f>-$G$30</f>
        <v>-2000000</v>
      </c>
      <c r="DO294" s="664"/>
    </row>
    <row r="295" spans="2:119" hidden="1" x14ac:dyDescent="0.25">
      <c r="B295" s="896">
        <f>$H$5</f>
        <v>39843</v>
      </c>
      <c r="C295" s="897">
        <f>-$H$30</f>
        <v>0</v>
      </c>
      <c r="K295" s="664"/>
      <c r="N295" s="896">
        <f>$H$5</f>
        <v>39843</v>
      </c>
      <c r="O295" s="897">
        <f>-$H$30</f>
        <v>0</v>
      </c>
      <c r="U295" s="663"/>
      <c r="W295" s="664"/>
      <c r="Z295" s="896">
        <f>$H$5</f>
        <v>39843</v>
      </c>
      <c r="AA295" s="897">
        <f>-$H$30</f>
        <v>0</v>
      </c>
      <c r="AB295" s="663"/>
      <c r="AC295" s="663"/>
      <c r="AD295" s="663"/>
      <c r="AE295" s="663"/>
      <c r="AF295" s="663"/>
      <c r="AG295" s="663"/>
      <c r="AH295" s="663"/>
      <c r="AI295" s="664"/>
      <c r="AL295" s="896">
        <f>$H$5</f>
        <v>39843</v>
      </c>
      <c r="AM295" s="897">
        <f>-$H$30</f>
        <v>0</v>
      </c>
      <c r="AN295" s="663"/>
      <c r="AU295" s="664"/>
      <c r="AX295" s="896">
        <f>$H$5</f>
        <v>39843</v>
      </c>
      <c r="AY295" s="897">
        <f>-$H$30</f>
        <v>0</v>
      </c>
      <c r="BG295" s="664"/>
      <c r="BJ295" s="896">
        <f>$H$5</f>
        <v>39843</v>
      </c>
      <c r="BK295" s="897">
        <f>-$H$30</f>
        <v>0</v>
      </c>
      <c r="BS295" s="664"/>
      <c r="BV295" s="896">
        <f>$H$5</f>
        <v>39843</v>
      </c>
      <c r="BW295" s="897">
        <f>-$H$30</f>
        <v>0</v>
      </c>
      <c r="CE295" s="664"/>
      <c r="CH295" s="896">
        <f>$H$5</f>
        <v>39843</v>
      </c>
      <c r="CI295" s="897">
        <f>-$H$30</f>
        <v>0</v>
      </c>
      <c r="CQ295" s="664"/>
      <c r="CT295" s="896">
        <f>$H$5</f>
        <v>39843</v>
      </c>
      <c r="CU295" s="897">
        <f>-$H$30</f>
        <v>0</v>
      </c>
      <c r="DC295" s="664"/>
      <c r="DF295" s="896">
        <f>$H$5</f>
        <v>39843</v>
      </c>
      <c r="DG295" s="897">
        <f>-$H$30</f>
        <v>0</v>
      </c>
      <c r="DO295" s="664"/>
    </row>
    <row r="296" spans="2:119" hidden="1" x14ac:dyDescent="0.25">
      <c r="B296" s="896">
        <f>$I$5</f>
        <v>39843</v>
      </c>
      <c r="C296" s="897">
        <f>-$I$30</f>
        <v>0</v>
      </c>
      <c r="K296" s="664"/>
      <c r="N296" s="896">
        <f>$I$5</f>
        <v>39843</v>
      </c>
      <c r="O296" s="897">
        <f>-$I$30</f>
        <v>0</v>
      </c>
      <c r="U296" s="663"/>
      <c r="W296" s="664"/>
      <c r="Z296" s="896">
        <f>$I$5</f>
        <v>39843</v>
      </c>
      <c r="AA296" s="897">
        <f>-$I$30</f>
        <v>0</v>
      </c>
      <c r="AB296" s="663"/>
      <c r="AC296" s="663"/>
      <c r="AD296" s="663"/>
      <c r="AE296" s="663"/>
      <c r="AF296" s="663"/>
      <c r="AG296" s="663"/>
      <c r="AH296" s="663"/>
      <c r="AI296" s="664"/>
      <c r="AL296" s="896">
        <f>$I$5</f>
        <v>39843</v>
      </c>
      <c r="AM296" s="897">
        <f>-$I$30</f>
        <v>0</v>
      </c>
      <c r="AN296" s="663"/>
      <c r="AU296" s="664"/>
      <c r="AX296" s="896">
        <f>$I$5</f>
        <v>39843</v>
      </c>
      <c r="AY296" s="897">
        <f>-$I$30</f>
        <v>0</v>
      </c>
      <c r="BG296" s="664"/>
      <c r="BJ296" s="896">
        <f>$I$5</f>
        <v>39843</v>
      </c>
      <c r="BK296" s="897">
        <f>-$I$30</f>
        <v>0</v>
      </c>
      <c r="BS296" s="664"/>
      <c r="BV296" s="896">
        <f>$I$5</f>
        <v>39843</v>
      </c>
      <c r="BW296" s="897">
        <f>-$I$30</f>
        <v>0</v>
      </c>
      <c r="CE296" s="664"/>
      <c r="CH296" s="896">
        <f>$I$5</f>
        <v>39843</v>
      </c>
      <c r="CI296" s="897">
        <f>-$I$30</f>
        <v>0</v>
      </c>
      <c r="CQ296" s="664"/>
      <c r="CT296" s="896">
        <f>$I$5</f>
        <v>39843</v>
      </c>
      <c r="CU296" s="897">
        <f>-$I$30</f>
        <v>0</v>
      </c>
      <c r="DC296" s="664"/>
      <c r="DF296" s="896">
        <f>$I$5</f>
        <v>39843</v>
      </c>
      <c r="DG296" s="897">
        <f>-$I$30</f>
        <v>0</v>
      </c>
      <c r="DO296" s="664"/>
    </row>
    <row r="297" spans="2:119" hidden="1" x14ac:dyDescent="0.25">
      <c r="B297" s="896">
        <f>$J$5</f>
        <v>39843</v>
      </c>
      <c r="C297" s="897">
        <f>-$J$30</f>
        <v>0</v>
      </c>
      <c r="K297" s="664"/>
      <c r="N297" s="896">
        <f>$J$5</f>
        <v>39843</v>
      </c>
      <c r="O297" s="897">
        <f>-$J$30</f>
        <v>0</v>
      </c>
      <c r="U297" s="663"/>
      <c r="W297" s="664"/>
      <c r="Z297" s="896">
        <f>$J$5</f>
        <v>39843</v>
      </c>
      <c r="AA297" s="897">
        <f>-$J$30</f>
        <v>0</v>
      </c>
      <c r="AB297" s="663"/>
      <c r="AC297" s="663"/>
      <c r="AD297" s="663"/>
      <c r="AE297" s="663"/>
      <c r="AF297" s="663"/>
      <c r="AG297" s="663"/>
      <c r="AH297" s="663"/>
      <c r="AI297" s="664"/>
      <c r="AL297" s="896">
        <f>$J$5</f>
        <v>39843</v>
      </c>
      <c r="AM297" s="897">
        <f>-$J$30</f>
        <v>0</v>
      </c>
      <c r="AN297" s="663"/>
      <c r="AU297" s="664"/>
      <c r="AX297" s="896">
        <f>$J$5</f>
        <v>39843</v>
      </c>
      <c r="AY297" s="897">
        <f>-$J$30</f>
        <v>0</v>
      </c>
      <c r="BG297" s="664"/>
      <c r="BJ297" s="896">
        <f>$J$5</f>
        <v>39843</v>
      </c>
      <c r="BK297" s="897">
        <f>-$J$30</f>
        <v>0</v>
      </c>
      <c r="BS297" s="664"/>
      <c r="BV297" s="896">
        <f>$J$5</f>
        <v>39843</v>
      </c>
      <c r="BW297" s="897">
        <f>-$J$30</f>
        <v>0</v>
      </c>
      <c r="CE297" s="664"/>
      <c r="CH297" s="896">
        <f>$J$5</f>
        <v>39843</v>
      </c>
      <c r="CI297" s="897">
        <f>-$J$30</f>
        <v>0</v>
      </c>
      <c r="CQ297" s="664"/>
      <c r="CT297" s="896">
        <f>$J$5</f>
        <v>39843</v>
      </c>
      <c r="CU297" s="897">
        <f>-$J$30</f>
        <v>0</v>
      </c>
      <c r="DC297" s="664"/>
      <c r="DF297" s="896">
        <f>$J$5</f>
        <v>39843</v>
      </c>
      <c r="DG297" s="897">
        <f>-$J$30</f>
        <v>0</v>
      </c>
      <c r="DO297" s="664"/>
    </row>
    <row r="298" spans="2:119" hidden="1" x14ac:dyDescent="0.25">
      <c r="B298" s="896">
        <f>$K$5</f>
        <v>39843</v>
      </c>
      <c r="C298" s="897">
        <f>-$K$30</f>
        <v>0</v>
      </c>
      <c r="K298" s="664"/>
      <c r="N298" s="896">
        <f>$K$5</f>
        <v>39843</v>
      </c>
      <c r="O298" s="897">
        <f>-$K$30</f>
        <v>0</v>
      </c>
      <c r="U298" s="663"/>
      <c r="W298" s="664"/>
      <c r="Z298" s="896">
        <f>$K$5</f>
        <v>39843</v>
      </c>
      <c r="AA298" s="897">
        <f>-$K$30</f>
        <v>0</v>
      </c>
      <c r="AB298" s="663"/>
      <c r="AC298" s="663"/>
      <c r="AD298" s="663"/>
      <c r="AE298" s="663"/>
      <c r="AF298" s="663"/>
      <c r="AG298" s="663"/>
      <c r="AH298" s="663"/>
      <c r="AI298" s="664"/>
      <c r="AL298" s="896">
        <f>$K$5</f>
        <v>39843</v>
      </c>
      <c r="AM298" s="897">
        <f>-$K$30</f>
        <v>0</v>
      </c>
      <c r="AN298" s="663"/>
      <c r="AU298" s="664"/>
      <c r="AX298" s="896">
        <f>$K$5</f>
        <v>39843</v>
      </c>
      <c r="AY298" s="897">
        <f>-$K$30</f>
        <v>0</v>
      </c>
      <c r="BG298" s="664"/>
      <c r="BJ298" s="896">
        <f>$K$5</f>
        <v>39843</v>
      </c>
      <c r="BK298" s="897">
        <f>-$K$30</f>
        <v>0</v>
      </c>
      <c r="BS298" s="664"/>
      <c r="BV298" s="896">
        <f>$K$5</f>
        <v>39843</v>
      </c>
      <c r="BW298" s="897">
        <f>-$K$30</f>
        <v>0</v>
      </c>
      <c r="CE298" s="664"/>
      <c r="CH298" s="896">
        <f>$K$5</f>
        <v>39843</v>
      </c>
      <c r="CI298" s="897">
        <f>-$K$30</f>
        <v>0</v>
      </c>
      <c r="CQ298" s="664"/>
      <c r="CT298" s="896">
        <f>$K$5</f>
        <v>39843</v>
      </c>
      <c r="CU298" s="897">
        <f>-$K$30</f>
        <v>0</v>
      </c>
      <c r="DC298" s="664"/>
      <c r="DF298" s="896">
        <f>$K$5</f>
        <v>39843</v>
      </c>
      <c r="DG298" s="897">
        <f>-$K$30</f>
        <v>0</v>
      </c>
      <c r="DO298" s="664"/>
    </row>
    <row r="299" spans="2:119" hidden="1" x14ac:dyDescent="0.25">
      <c r="B299" s="896">
        <f>$L$5</f>
        <v>39843</v>
      </c>
      <c r="C299" s="897">
        <f>-$L$30</f>
        <v>0</v>
      </c>
      <c r="K299" s="664"/>
      <c r="N299" s="896">
        <f>$L$5</f>
        <v>39843</v>
      </c>
      <c r="O299" s="897">
        <f>-$L$30</f>
        <v>0</v>
      </c>
      <c r="U299" s="663"/>
      <c r="W299" s="664"/>
      <c r="Z299" s="896">
        <f>$L$5</f>
        <v>39843</v>
      </c>
      <c r="AA299" s="897">
        <f>-$L$30</f>
        <v>0</v>
      </c>
      <c r="AB299" s="663"/>
      <c r="AC299" s="663"/>
      <c r="AD299" s="663"/>
      <c r="AE299" s="663"/>
      <c r="AF299" s="663"/>
      <c r="AG299" s="663"/>
      <c r="AH299" s="663"/>
      <c r="AI299" s="664"/>
      <c r="AL299" s="896">
        <f>$L$5</f>
        <v>39843</v>
      </c>
      <c r="AM299" s="897">
        <f>-$L$30</f>
        <v>0</v>
      </c>
      <c r="AN299" s="663"/>
      <c r="AU299" s="664"/>
      <c r="AX299" s="896">
        <f>$L$5</f>
        <v>39843</v>
      </c>
      <c r="AY299" s="897">
        <f>-$L$30</f>
        <v>0</v>
      </c>
      <c r="BG299" s="664"/>
      <c r="BJ299" s="896">
        <f>$L$5</f>
        <v>39843</v>
      </c>
      <c r="BK299" s="897">
        <f>-$L$30</f>
        <v>0</v>
      </c>
      <c r="BS299" s="664"/>
      <c r="BV299" s="896">
        <f>$L$5</f>
        <v>39843</v>
      </c>
      <c r="BW299" s="897">
        <f>-$L$30</f>
        <v>0</v>
      </c>
      <c r="CE299" s="664"/>
      <c r="CH299" s="896">
        <f>$L$5</f>
        <v>39843</v>
      </c>
      <c r="CI299" s="897">
        <f>-$L$30</f>
        <v>0</v>
      </c>
      <c r="CQ299" s="664"/>
      <c r="CT299" s="896">
        <f>$L$5</f>
        <v>39843</v>
      </c>
      <c r="CU299" s="897">
        <f>-$L$30</f>
        <v>0</v>
      </c>
      <c r="DC299" s="664"/>
      <c r="DF299" s="896">
        <f>$L$5</f>
        <v>39843</v>
      </c>
      <c r="DG299" s="897">
        <f>-$L$30</f>
        <v>0</v>
      </c>
      <c r="DO299" s="664"/>
    </row>
    <row r="300" spans="2:119" hidden="1" x14ac:dyDescent="0.25">
      <c r="B300" s="896">
        <f>$M$5</f>
        <v>39843</v>
      </c>
      <c r="C300" s="897">
        <f>-$M$30</f>
        <v>0</v>
      </c>
      <c r="K300" s="664"/>
      <c r="N300" s="896">
        <f>$M$5</f>
        <v>39843</v>
      </c>
      <c r="O300" s="897">
        <f>-$M$30</f>
        <v>0</v>
      </c>
      <c r="U300" s="663"/>
      <c r="W300" s="664"/>
      <c r="Z300" s="896">
        <f>$M$5</f>
        <v>39843</v>
      </c>
      <c r="AA300" s="897">
        <f>-$M$30</f>
        <v>0</v>
      </c>
      <c r="AB300" s="663"/>
      <c r="AC300" s="663"/>
      <c r="AD300" s="663"/>
      <c r="AE300" s="663"/>
      <c r="AF300" s="663"/>
      <c r="AG300" s="663"/>
      <c r="AH300" s="663"/>
      <c r="AI300" s="664"/>
      <c r="AL300" s="896">
        <f>$M$5</f>
        <v>39843</v>
      </c>
      <c r="AM300" s="897">
        <f>-$M$30</f>
        <v>0</v>
      </c>
      <c r="AN300" s="663"/>
      <c r="AU300" s="664"/>
      <c r="AX300" s="896">
        <f>$M$5</f>
        <v>39843</v>
      </c>
      <c r="AY300" s="897">
        <f>-$M$30</f>
        <v>0</v>
      </c>
      <c r="BG300" s="664"/>
      <c r="BJ300" s="896">
        <f>$M$5</f>
        <v>39843</v>
      </c>
      <c r="BK300" s="897">
        <f>-$M$30</f>
        <v>0</v>
      </c>
      <c r="BS300" s="664"/>
      <c r="BV300" s="896">
        <f>$M$5</f>
        <v>39843</v>
      </c>
      <c r="BW300" s="897">
        <f>-$M$30</f>
        <v>0</v>
      </c>
      <c r="CE300" s="664"/>
      <c r="CH300" s="896">
        <f>$M$5</f>
        <v>39843</v>
      </c>
      <c r="CI300" s="897">
        <f>-$M$30</f>
        <v>0</v>
      </c>
      <c r="CQ300" s="664"/>
      <c r="CT300" s="896">
        <f>$M$5</f>
        <v>39843</v>
      </c>
      <c r="CU300" s="897">
        <f>-$M$30</f>
        <v>0</v>
      </c>
      <c r="DC300" s="664"/>
      <c r="DF300" s="896">
        <f>$M$5</f>
        <v>39843</v>
      </c>
      <c r="DG300" s="897">
        <f>-$M$30</f>
        <v>0</v>
      </c>
      <c r="DO300" s="664"/>
    </row>
    <row r="301" spans="2:119" hidden="1" x14ac:dyDescent="0.25">
      <c r="B301" s="896">
        <f>$N$5</f>
        <v>39843</v>
      </c>
      <c r="C301" s="897">
        <f>-$N$30</f>
        <v>0</v>
      </c>
      <c r="K301" s="664"/>
      <c r="N301" s="896">
        <f>$N$5</f>
        <v>39843</v>
      </c>
      <c r="O301" s="897">
        <f>-$N$30</f>
        <v>0</v>
      </c>
      <c r="U301" s="663"/>
      <c r="W301" s="664"/>
      <c r="Z301" s="896">
        <f>$N$5</f>
        <v>39843</v>
      </c>
      <c r="AA301" s="897">
        <f>-$N$30</f>
        <v>0</v>
      </c>
      <c r="AB301" s="663"/>
      <c r="AC301" s="663"/>
      <c r="AD301" s="663"/>
      <c r="AE301" s="663"/>
      <c r="AF301" s="663"/>
      <c r="AG301" s="663"/>
      <c r="AH301" s="663"/>
      <c r="AI301" s="664"/>
      <c r="AL301" s="896">
        <f>$N$5</f>
        <v>39843</v>
      </c>
      <c r="AM301" s="897">
        <f>-$N$30</f>
        <v>0</v>
      </c>
      <c r="AN301" s="663"/>
      <c r="AU301" s="664"/>
      <c r="AX301" s="896">
        <f>$N$5</f>
        <v>39843</v>
      </c>
      <c r="AY301" s="897">
        <f>-$N$30</f>
        <v>0</v>
      </c>
      <c r="BG301" s="664"/>
      <c r="BJ301" s="896">
        <f>$N$5</f>
        <v>39843</v>
      </c>
      <c r="BK301" s="897">
        <f>-$N$30</f>
        <v>0</v>
      </c>
      <c r="BS301" s="664"/>
      <c r="BV301" s="896">
        <f>$N$5</f>
        <v>39843</v>
      </c>
      <c r="BW301" s="897">
        <f>-$N$30</f>
        <v>0</v>
      </c>
      <c r="CE301" s="664"/>
      <c r="CH301" s="896">
        <f>$N$5</f>
        <v>39843</v>
      </c>
      <c r="CI301" s="897">
        <f>-$N$30</f>
        <v>0</v>
      </c>
      <c r="CQ301" s="664"/>
      <c r="CT301" s="896">
        <f>$N$5</f>
        <v>39843</v>
      </c>
      <c r="CU301" s="897">
        <f>-$N$30</f>
        <v>0</v>
      </c>
      <c r="DC301" s="664"/>
      <c r="DF301" s="896">
        <f>$N$5</f>
        <v>39843</v>
      </c>
      <c r="DG301" s="897">
        <f>-$N$30</f>
        <v>0</v>
      </c>
      <c r="DO301" s="664"/>
    </row>
    <row r="302" spans="2:119" hidden="1" x14ac:dyDescent="0.25">
      <c r="B302" s="896">
        <f>$O$5</f>
        <v>39843</v>
      </c>
      <c r="C302" s="897">
        <f>-$O$30</f>
        <v>0</v>
      </c>
      <c r="K302" s="664"/>
      <c r="N302" s="896">
        <f>$O$5</f>
        <v>39843</v>
      </c>
      <c r="O302" s="897">
        <f>-$O$30</f>
        <v>0</v>
      </c>
      <c r="U302" s="663"/>
      <c r="W302" s="664"/>
      <c r="Z302" s="896">
        <f>$O$5</f>
        <v>39843</v>
      </c>
      <c r="AA302" s="897">
        <f>-$O$30</f>
        <v>0</v>
      </c>
      <c r="AB302" s="663"/>
      <c r="AC302" s="663"/>
      <c r="AD302" s="663"/>
      <c r="AE302" s="663"/>
      <c r="AF302" s="663"/>
      <c r="AG302" s="663"/>
      <c r="AH302" s="663"/>
      <c r="AI302" s="664"/>
      <c r="AL302" s="896">
        <f>$O$5</f>
        <v>39843</v>
      </c>
      <c r="AM302" s="897">
        <f>-$O$30</f>
        <v>0</v>
      </c>
      <c r="AN302" s="663"/>
      <c r="AU302" s="664"/>
      <c r="AX302" s="896">
        <f>$O$5</f>
        <v>39843</v>
      </c>
      <c r="AY302" s="897">
        <f>-$O$30</f>
        <v>0</v>
      </c>
      <c r="BG302" s="664"/>
      <c r="BJ302" s="896">
        <f>$O$5</f>
        <v>39843</v>
      </c>
      <c r="BK302" s="897">
        <f>-$O$30</f>
        <v>0</v>
      </c>
      <c r="BS302" s="664"/>
      <c r="BV302" s="896">
        <f>$O$5</f>
        <v>39843</v>
      </c>
      <c r="BW302" s="897">
        <f>-$O$30</f>
        <v>0</v>
      </c>
      <c r="CE302" s="664"/>
      <c r="CH302" s="896">
        <f>$O$5</f>
        <v>39843</v>
      </c>
      <c r="CI302" s="897">
        <f>-$O$30</f>
        <v>0</v>
      </c>
      <c r="CQ302" s="664"/>
      <c r="CT302" s="896">
        <f>$O$5</f>
        <v>39843</v>
      </c>
      <c r="CU302" s="897">
        <f>-$O$30</f>
        <v>0</v>
      </c>
      <c r="DC302" s="664"/>
      <c r="DF302" s="896">
        <f>$O$5</f>
        <v>39843</v>
      </c>
      <c r="DG302" s="897">
        <f>-$O$30</f>
        <v>0</v>
      </c>
      <c r="DO302" s="664"/>
    </row>
    <row r="303" spans="2:119" hidden="1" x14ac:dyDescent="0.25">
      <c r="B303" s="896">
        <f>$C$55</f>
        <v>40999</v>
      </c>
      <c r="C303" s="897">
        <f ca="1">C291</f>
        <v>0</v>
      </c>
      <c r="K303" s="664"/>
      <c r="N303" s="896">
        <f>$C$55</f>
        <v>40999</v>
      </c>
      <c r="O303" s="897">
        <f ca="1">O291</f>
        <v>0</v>
      </c>
      <c r="U303" s="663"/>
      <c r="W303" s="664"/>
      <c r="Z303" s="896">
        <f>$C$55</f>
        <v>40999</v>
      </c>
      <c r="AA303" s="897">
        <f ca="1">AA291</f>
        <v>0</v>
      </c>
      <c r="AB303" s="663"/>
      <c r="AC303" s="663"/>
      <c r="AD303" s="663"/>
      <c r="AE303" s="663"/>
      <c r="AF303" s="663"/>
      <c r="AG303" s="663"/>
      <c r="AH303" s="663"/>
      <c r="AI303" s="664"/>
      <c r="AL303" s="896">
        <f>$C$55</f>
        <v>40999</v>
      </c>
      <c r="AM303" s="897">
        <f ca="1">AM291</f>
        <v>0</v>
      </c>
      <c r="AN303" s="663"/>
      <c r="AU303" s="664"/>
      <c r="AX303" s="896">
        <f>$C$55</f>
        <v>40999</v>
      </c>
      <c r="AY303" s="897">
        <f ca="1">AY291</f>
        <v>0</v>
      </c>
      <c r="BG303" s="664"/>
      <c r="BJ303" s="896">
        <f>$C$55</f>
        <v>40999</v>
      </c>
      <c r="BK303" s="897">
        <f ca="1">BK291</f>
        <v>0</v>
      </c>
      <c r="BS303" s="664"/>
      <c r="BV303" s="896">
        <f>$C$55</f>
        <v>40999</v>
      </c>
      <c r="BW303" s="897">
        <f ca="1">BW291</f>
        <v>0</v>
      </c>
      <c r="CE303" s="664"/>
      <c r="CH303" s="896">
        <f>$C$55</f>
        <v>40999</v>
      </c>
      <c r="CI303" s="897">
        <f ca="1">CI291</f>
        <v>0</v>
      </c>
      <c r="CQ303" s="664"/>
      <c r="CT303" s="896">
        <f>$C$55</f>
        <v>40999</v>
      </c>
      <c r="CU303" s="897">
        <f ca="1">CU291</f>
        <v>0</v>
      </c>
      <c r="DC303" s="664"/>
      <c r="DF303" s="896">
        <f>$C$55</f>
        <v>40999</v>
      </c>
      <c r="DG303" s="897">
        <f ca="1">DG291</f>
        <v>0</v>
      </c>
      <c r="DO303" s="664"/>
    </row>
    <row r="304" spans="2:119" hidden="1" x14ac:dyDescent="0.25">
      <c r="B304" s="898">
        <f>IF(C293&lt;&gt;0,ROW(C293),IF(C294&lt;&gt;0,ROW(C294),IF(C295&lt;&gt;0,ROW(C295),IF(C296&lt;&gt;0,ROW(C296),IF(C297&lt;&gt;0,ROW(C297),IF(C298&lt;&gt;0,ROW(C298),IF(C299&lt;&gt;0,ROW(C299),IF(C300&lt;&gt;0,ROW(C300),IF(C301&lt;&gt;0,ROW(C301),IF(C302&lt;&gt;0,ROW(C302),0))))))))))</f>
        <v>293</v>
      </c>
      <c r="C304" s="882" t="e">
        <f ca="1">IF(ISERROR(XIRR(INDIRECT(B306):C303,INDIRECT(B305):B303,-20%)),XIRR(INDIRECT(B306):C303,INDIRECT(B305):B303,20%),"N/A")</f>
        <v>#NUM!</v>
      </c>
      <c r="K304" s="664"/>
      <c r="N304" s="898">
        <f>IF(O293&lt;&gt;0,ROW(O293),IF(O294&lt;&gt;0,ROW(O294),IF(O295&lt;&gt;0,ROW(O295),IF(O296&lt;&gt;0,ROW(O296),IF(O297&lt;&gt;0,ROW(O297),IF(O298&lt;&gt;0,ROW(O298),IF(O299&lt;&gt;0,ROW(O299),IF(O300&lt;&gt;0,ROW(O300),IF(O301&lt;&gt;0,ROW(O301),IF(O302&lt;&gt;0,ROW(O302),0))))))))))</f>
        <v>293</v>
      </c>
      <c r="O304" s="882" t="e">
        <f ca="1">IF(ISERROR(XIRR(INDIRECT(N306):O303,INDIRECT(N305):N303,-20%)),XIRR(INDIRECT(N306):O303,INDIRECT(N305):N303,20%),"N/A")</f>
        <v>#NUM!</v>
      </c>
      <c r="U304" s="663"/>
      <c r="W304" s="664"/>
      <c r="Z304" s="898">
        <f>IF(AA293&lt;&gt;0,ROW(AA293),IF(AA294&lt;&gt;0,ROW(AA294),IF(AA295&lt;&gt;0,ROW(AA295),IF(AA296&lt;&gt;0,ROW(AA296),IF(AA297&lt;&gt;0,ROW(AA297),IF(AA298&lt;&gt;0,ROW(AA298),IF(AA299&lt;&gt;0,ROW(AA299),IF(AA300&lt;&gt;0,ROW(AA300),IF(AA301&lt;&gt;0,ROW(AA301),IF(AA302&lt;&gt;0,ROW(AA302),0))))))))))</f>
        <v>293</v>
      </c>
      <c r="AA304" s="882" t="e">
        <f ca="1">IF(ISERROR(XIRR(INDIRECT(Z306):AA303,INDIRECT(Z305):Z303,-20%)),XIRR(INDIRECT(Z306):AA303,INDIRECT(Z305):Z303,20%),"N/A")</f>
        <v>#NUM!</v>
      </c>
      <c r="AB304" s="663"/>
      <c r="AC304" s="663"/>
      <c r="AD304" s="663"/>
      <c r="AE304" s="663"/>
      <c r="AF304" s="663"/>
      <c r="AG304" s="663"/>
      <c r="AH304" s="663"/>
      <c r="AI304" s="664"/>
      <c r="AL304" s="898">
        <f>IF(AM293&lt;&gt;0,ROW(AM293),IF(AM294&lt;&gt;0,ROW(AM294),IF(AM295&lt;&gt;0,ROW(AM295),IF(AM296&lt;&gt;0,ROW(AM296),IF(AM297&lt;&gt;0,ROW(AM297),IF(AM298&lt;&gt;0,ROW(AM298),IF(AM299&lt;&gt;0,ROW(AM299),IF(AM300&lt;&gt;0,ROW(AM300),IF(AM301&lt;&gt;0,ROW(AM301),IF(AM302&lt;&gt;0,ROW(AM302),0))))))))))</f>
        <v>293</v>
      </c>
      <c r="AM304" s="882" t="e">
        <f ca="1">IF(ISERROR(XIRR(INDIRECT(AL306):AM303,INDIRECT(AL305):AL303,-20%)),XIRR(INDIRECT(AL306):AM303,INDIRECT(AL305):AL303,20%),"N/A")</f>
        <v>#NUM!</v>
      </c>
      <c r="AN304" s="663"/>
      <c r="AU304" s="664"/>
      <c r="AX304" s="898">
        <f>IF(AY293&lt;&gt;0,ROW(AY293),IF(AY294&lt;&gt;0,ROW(AY294),IF(AY295&lt;&gt;0,ROW(AY295),IF(AY296&lt;&gt;0,ROW(AY296),IF(AY297&lt;&gt;0,ROW(AY297),IF(AY298&lt;&gt;0,ROW(AY298),IF(AY299&lt;&gt;0,ROW(AY299),IF(AY300&lt;&gt;0,ROW(AY300),IF(AY301&lt;&gt;0,ROW(AY301),IF(AY302&lt;&gt;0,ROW(AY302),0))))))))))</f>
        <v>293</v>
      </c>
      <c r="AY304" s="882" t="e">
        <f ca="1">IF(ISERROR(XIRR(INDIRECT(AX306):AY303,INDIRECT(AX305):AX303,-20%)),XIRR(INDIRECT(AX306):AY303,INDIRECT(AX305):AX303,20%),"N/A")</f>
        <v>#NUM!</v>
      </c>
      <c r="BG304" s="664"/>
      <c r="BJ304" s="898">
        <f>IF(BK293&lt;&gt;0,ROW(BK293),IF(BK294&lt;&gt;0,ROW(BK294),IF(BK295&lt;&gt;0,ROW(BK295),IF(BK296&lt;&gt;0,ROW(BK296),IF(BK297&lt;&gt;0,ROW(BK297),IF(BK298&lt;&gt;0,ROW(BK298),IF(BK299&lt;&gt;0,ROW(BK299),IF(BK300&lt;&gt;0,ROW(BK300),IF(BK301&lt;&gt;0,ROW(BK301),IF(BK302&lt;&gt;0,ROW(BK302),0))))))))))</f>
        <v>293</v>
      </c>
      <c r="BK304" s="882" t="e">
        <f ca="1">IF(ISERROR(XIRR(INDIRECT(BJ306):BK303,INDIRECT(BJ305):BJ303,-20%)),XIRR(INDIRECT(BJ306):BK303,INDIRECT(BJ305):BJ303,20%),"N/A")</f>
        <v>#NUM!</v>
      </c>
      <c r="BS304" s="664"/>
      <c r="BV304" s="898">
        <f>IF(BW293&lt;&gt;0,ROW(BW293),IF(BW294&lt;&gt;0,ROW(BW294),IF(BW295&lt;&gt;0,ROW(BW295),IF(BW296&lt;&gt;0,ROW(BW296),IF(BW297&lt;&gt;0,ROW(BW297),IF(BW298&lt;&gt;0,ROW(BW298),IF(BW299&lt;&gt;0,ROW(BW299),IF(BW300&lt;&gt;0,ROW(BW300),IF(BW301&lt;&gt;0,ROW(BW301),IF(BW302&lt;&gt;0,ROW(BW302),0))))))))))</f>
        <v>293</v>
      </c>
      <c r="BW304" s="882" t="e">
        <f ca="1">IF(ISERROR(XIRR(INDIRECT(BV306):BW303,INDIRECT(BV305):BV303,-20%)),XIRR(INDIRECT(BV306):BW303,INDIRECT(BV305):BV303,20%),"N/A")</f>
        <v>#NUM!</v>
      </c>
      <c r="CE304" s="664"/>
      <c r="CH304" s="898">
        <f>IF(CI293&lt;&gt;0,ROW(CI293),IF(CI294&lt;&gt;0,ROW(CI294),IF(CI295&lt;&gt;0,ROW(CI295),IF(CI296&lt;&gt;0,ROW(CI296),IF(CI297&lt;&gt;0,ROW(CI297),IF(CI298&lt;&gt;0,ROW(CI298),IF(CI299&lt;&gt;0,ROW(CI299),IF(CI300&lt;&gt;0,ROW(CI300),IF(CI301&lt;&gt;0,ROW(CI301),IF(CI302&lt;&gt;0,ROW(CI302),0))))))))))</f>
        <v>293</v>
      </c>
      <c r="CI304" s="882" t="e">
        <f ca="1">IF(ISERROR(XIRR(INDIRECT(CH306):CI303,INDIRECT(CH305):CH303,-20%)),XIRR(INDIRECT(CH306):CI303,INDIRECT(CH305):CH303,20%),"N/A")</f>
        <v>#NUM!</v>
      </c>
      <c r="CQ304" s="664"/>
      <c r="CT304" s="898">
        <f>IF(CU293&lt;&gt;0,ROW(CU293),IF(CU294&lt;&gt;0,ROW(CU294),IF(CU295&lt;&gt;0,ROW(CU295),IF(CU296&lt;&gt;0,ROW(CU296),IF(CU297&lt;&gt;0,ROW(CU297),IF(CU298&lt;&gt;0,ROW(CU298),IF(CU299&lt;&gt;0,ROW(CU299),IF(CU300&lt;&gt;0,ROW(CU300),IF(CU301&lt;&gt;0,ROW(CU301),IF(CU302&lt;&gt;0,ROW(CU302),0))))))))))</f>
        <v>293</v>
      </c>
      <c r="CU304" s="882" t="e">
        <f ca="1">IF(ISERROR(XIRR(INDIRECT(CT306):CU303,INDIRECT(CT305):CT303,-20%)),XIRR(INDIRECT(CT306):CU303,INDIRECT(CT305):CT303,20%),"N/A")</f>
        <v>#NUM!</v>
      </c>
      <c r="DC304" s="664"/>
      <c r="DF304" s="898">
        <f>IF(DG293&lt;&gt;0,ROW(DG293),IF(DG294&lt;&gt;0,ROW(DG294),IF(DG295&lt;&gt;0,ROW(DG295),IF(DG296&lt;&gt;0,ROW(DG296),IF(DG297&lt;&gt;0,ROW(DG297),IF(DG298&lt;&gt;0,ROW(DG298),IF(DG299&lt;&gt;0,ROW(DG299),IF(DG300&lt;&gt;0,ROW(DG300),IF(DG301&lt;&gt;0,ROW(DG301),IF(DG302&lt;&gt;0,ROW(DG302),0))))))))))</f>
        <v>293</v>
      </c>
      <c r="DG304" s="882" t="e">
        <f ca="1">IF(ISERROR(XIRR(INDIRECT(DF306):DG303,INDIRECT(DF305):DF303,-20%)),XIRR(INDIRECT(DF306):DG303,INDIRECT(DF305):DF303,20%),"N/A")</f>
        <v>#NUM!</v>
      </c>
      <c r="DO304" s="664"/>
    </row>
    <row r="305" spans="2:119" hidden="1" x14ac:dyDescent="0.25">
      <c r="B305" s="899" t="str">
        <f>CONCATENATE(CHAR(64+COLUMN(B304)),B304)</f>
        <v>B293</v>
      </c>
      <c r="C305" s="897"/>
      <c r="K305" s="664"/>
      <c r="N305" s="899" t="str">
        <f>CONCATENATE(CHAR(64+COLUMN(N304)),N304)</f>
        <v>N293</v>
      </c>
      <c r="O305" s="897"/>
      <c r="U305" s="663"/>
      <c r="W305" s="664"/>
      <c r="Z305" s="899" t="str">
        <f>CONCATENATE(IF(COLUMN(Z304)&lt;=26,CHAR(96+COLUMN(Z304)),(CHAR(96+(ROUNDDOWN((COLUMN(Z304)-1)/26,0)))&amp;CHAR(96+IF(MOD(COLUMN(Z304),26)=0,26,MOD(COLUMN(Z304),26))))),Z304)</f>
        <v>z293</v>
      </c>
      <c r="AA305" s="897"/>
      <c r="AB305" s="663"/>
      <c r="AC305" s="663"/>
      <c r="AD305" s="663"/>
      <c r="AE305" s="663"/>
      <c r="AF305" s="663"/>
      <c r="AG305" s="663"/>
      <c r="AH305" s="663"/>
      <c r="AI305" s="664"/>
      <c r="AL305" s="899" t="str">
        <f>CONCATENATE(IF(COLUMN(AL304)&lt;=26,CHAR(96+COLUMN(AL304)),(CHAR(96+(ROUNDDOWN((COLUMN(AL304)-1)/26,0)))&amp;CHAR(96+IF(MOD(COLUMN(AL304),26)=0,26,MOD(COLUMN(AL304),26))))),AL304)</f>
        <v>al293</v>
      </c>
      <c r="AM305" s="897"/>
      <c r="AN305" s="663"/>
      <c r="AU305" s="664"/>
      <c r="AX305" s="899" t="str">
        <f>CONCATENATE(IF(COLUMN(AX304)&lt;=26,CHAR(96+COLUMN(AX304)),(CHAR(96+(ROUNDDOWN((COLUMN(AX304)-1)/26,0)))&amp;CHAR(96+IF(MOD(COLUMN(AX304),26)=0,26,MOD(COLUMN(AX304),26))))),AX304)</f>
        <v>ax293</v>
      </c>
      <c r="AY305" s="897"/>
      <c r="BG305" s="664"/>
      <c r="BJ305" s="899" t="str">
        <f>CONCATENATE(IF(COLUMN(BJ304)&lt;=26,CHAR(96+COLUMN(BJ304)),(CHAR(96+(ROUNDDOWN((COLUMN(BJ304)-1)/26,0)))&amp;CHAR(96+IF(MOD(COLUMN(BJ304),26)=0,26,MOD(COLUMN(BJ304),26))))),BJ304)</f>
        <v>bj293</v>
      </c>
      <c r="BK305" s="897"/>
      <c r="BS305" s="664"/>
      <c r="BV305" s="899" t="str">
        <f>CONCATENATE(IF(COLUMN(BV304)&lt;=26,CHAR(96+COLUMN(BV304)),(CHAR(96+(ROUNDDOWN((COLUMN(BV304)-1)/26,0)))&amp;CHAR(96+IF(MOD(COLUMN(BV304),26)=0,26,MOD(COLUMN(BV304),26))))),BV304)</f>
        <v>bv293</v>
      </c>
      <c r="BW305" s="897"/>
      <c r="CE305" s="664"/>
      <c r="CH305" s="899" t="str">
        <f>CONCATENATE(IF(COLUMN(CH304)&lt;=26,CHAR(96+COLUMN(CH304)),(CHAR(96+(ROUNDDOWN((COLUMN(CH304)-1)/26,0)))&amp;CHAR(96+IF(MOD(COLUMN(CH304),26)=0,26,MOD(COLUMN(CH304),26))))),CH304)</f>
        <v>ch293</v>
      </c>
      <c r="CI305" s="897"/>
      <c r="CQ305" s="664"/>
      <c r="CT305" s="899" t="str">
        <f>CONCATENATE(IF(COLUMN(CT304)&lt;=26,CHAR(96+COLUMN(CT304)),(CHAR(96+(ROUNDDOWN((COLUMN(CT304)-1)/26,0)))&amp;CHAR(96+IF(MOD(COLUMN(CT304),26)=0,26,MOD(COLUMN(CT304),26))))),CT304)</f>
        <v>ct293</v>
      </c>
      <c r="CU305" s="897"/>
      <c r="DC305" s="664"/>
      <c r="DF305" s="899" t="str">
        <f>CONCATENATE(IF(COLUMN(DF304)&lt;=26,CHAR(96+COLUMN(DF304)),(CHAR(96+(ROUNDDOWN((COLUMN(DF304)-1)/26,0)))&amp;CHAR(96+IF(MOD(COLUMN(DF304),26)=0,26,MOD(COLUMN(DF304),26))))),DF304)</f>
        <v>df293</v>
      </c>
      <c r="DG305" s="897"/>
      <c r="DO305" s="664"/>
    </row>
    <row r="306" spans="2:119" hidden="1" x14ac:dyDescent="0.25">
      <c r="B306" s="899" t="str">
        <f>CONCATENATE(CHAR(64+COLUMN(C304)),B304)</f>
        <v>C293</v>
      </c>
      <c r="C306" s="897"/>
      <c r="K306" s="664"/>
      <c r="N306" s="899" t="str">
        <f>CONCATENATE(CHAR(64+COLUMN(O304)),N304)</f>
        <v>O293</v>
      </c>
      <c r="O306" s="897"/>
      <c r="U306" s="663"/>
      <c r="W306" s="664"/>
      <c r="Z306" s="899" t="str">
        <f>CONCATENATE(IF(COLUMN(AA304)&lt;=26,CHAR(96+COLUMN(AA304)),(CHAR(96+(ROUNDDOWN((COLUMN(AA304)-1)/26,0)))&amp;CHAR(96+IF(MOD(COLUMN(AA304),26)=0,26,MOD(COLUMN(AA304),26))))),Z304)</f>
        <v>aa293</v>
      </c>
      <c r="AA306" s="897"/>
      <c r="AB306" s="663"/>
      <c r="AC306" s="663"/>
      <c r="AD306" s="663"/>
      <c r="AE306" s="663"/>
      <c r="AF306" s="663"/>
      <c r="AG306" s="663"/>
      <c r="AH306" s="663"/>
      <c r="AI306" s="664"/>
      <c r="AL306" s="899" t="str">
        <f>CONCATENATE(IF(COLUMN(AM304)&lt;=26,CHAR(96+COLUMN(AM304)),(CHAR(96+(ROUNDDOWN((COLUMN(AM304)-1)/26,0)))&amp;CHAR(96+IF(MOD(COLUMN(AM304),26)=0,26,MOD(COLUMN(AM304),26))))),AL304)</f>
        <v>am293</v>
      </c>
      <c r="AM306" s="897"/>
      <c r="AN306" s="663"/>
      <c r="AU306" s="664"/>
      <c r="AX306" s="899" t="str">
        <f>CONCATENATE(IF(COLUMN(AY304)&lt;=26,CHAR(96+COLUMN(AY304)),(CHAR(96+(ROUNDDOWN((COLUMN(AY304)-1)/26,0)))&amp;CHAR(96+IF(MOD(COLUMN(AY304),26)=0,26,MOD(COLUMN(AY304),26))))),AX304)</f>
        <v>ay293</v>
      </c>
      <c r="AY306" s="897"/>
      <c r="BG306" s="664"/>
      <c r="BJ306" s="899" t="str">
        <f>CONCATENATE(IF(COLUMN(BK304)&lt;=26,CHAR(96+COLUMN(BK304)),(CHAR(96+(ROUNDDOWN((COLUMN(BK304)-1)/26,0)))&amp;CHAR(96+IF(MOD(COLUMN(BK304),26)=0,26,MOD(COLUMN(BK304),26))))),BJ304)</f>
        <v>bk293</v>
      </c>
      <c r="BK306" s="897"/>
      <c r="BS306" s="664"/>
      <c r="BV306" s="899" t="str">
        <f>CONCATENATE(IF(COLUMN(BW304)&lt;=26,CHAR(96+COLUMN(BW304)),(CHAR(96+(ROUNDDOWN((COLUMN(BW304)-1)/26,0)))&amp;CHAR(96+IF(MOD(COLUMN(BW304),26)=0,26,MOD(COLUMN(BW304),26))))),BV304)</f>
        <v>bw293</v>
      </c>
      <c r="BW306" s="897"/>
      <c r="CE306" s="664"/>
      <c r="CH306" s="899" t="str">
        <f>CONCATENATE(IF(COLUMN(CI304)&lt;=26,CHAR(96+COLUMN(CI304)),(CHAR(96+(ROUNDDOWN((COLUMN(CI304)-1)/26,0)))&amp;CHAR(96+IF(MOD(COLUMN(CI304),26)=0,26,MOD(COLUMN(CI304),26))))),CH304)</f>
        <v>ci293</v>
      </c>
      <c r="CI306" s="897"/>
      <c r="CQ306" s="664"/>
      <c r="CT306" s="899" t="str">
        <f>CONCATENATE(IF(COLUMN(CU304)&lt;=26,CHAR(96+COLUMN(CU304)),(CHAR(96+(ROUNDDOWN((COLUMN(CU304)-1)/26,0)))&amp;CHAR(96+IF(MOD(COLUMN(CU304),26)=0,26,MOD(COLUMN(CU304),26))))),CT304)</f>
        <v>cu293</v>
      </c>
      <c r="CU306" s="897"/>
      <c r="DC306" s="664"/>
      <c r="DF306" s="899" t="str">
        <f>CONCATENATE(IF(COLUMN(DG304)&lt;=26,CHAR(96+COLUMN(DG304)),(CHAR(96+(ROUNDDOWN((COLUMN(DG304)-1)/26,0)))&amp;CHAR(96+IF(MOD(COLUMN(DG304),26)=0,26,MOD(COLUMN(DG304),26))))),DF304)</f>
        <v>dg293</v>
      </c>
      <c r="DG306" s="897"/>
      <c r="DO306" s="664"/>
    </row>
    <row r="307" spans="2:119" hidden="1" x14ac:dyDescent="0.25">
      <c r="B307" s="668"/>
      <c r="C307" s="895"/>
      <c r="K307" s="664"/>
      <c r="N307" s="668"/>
      <c r="O307" s="895"/>
      <c r="U307" s="663"/>
      <c r="W307" s="664"/>
      <c r="Z307" s="668"/>
      <c r="AA307" s="895"/>
      <c r="AB307" s="663"/>
      <c r="AC307" s="663"/>
      <c r="AD307" s="663"/>
      <c r="AE307" s="663"/>
      <c r="AF307" s="663"/>
      <c r="AG307" s="663"/>
      <c r="AH307" s="663"/>
      <c r="AI307" s="664"/>
      <c r="AL307" s="668"/>
      <c r="AM307" s="895"/>
      <c r="AN307" s="663"/>
      <c r="AU307" s="664"/>
      <c r="AX307" s="668"/>
      <c r="AY307" s="895"/>
      <c r="BG307" s="664"/>
      <c r="BJ307" s="668"/>
      <c r="BK307" s="895"/>
      <c r="BS307" s="664"/>
      <c r="BV307" s="668"/>
      <c r="BW307" s="895"/>
      <c r="CE307" s="664"/>
      <c r="CH307" s="668"/>
      <c r="CI307" s="895"/>
      <c r="CQ307" s="664"/>
      <c r="CT307" s="668"/>
      <c r="CU307" s="895"/>
      <c r="DC307" s="664"/>
      <c r="DF307" s="668"/>
      <c r="DG307" s="895"/>
      <c r="DO307" s="664"/>
    </row>
    <row r="308" spans="2:119" hidden="1" x14ac:dyDescent="0.25">
      <c r="B308" s="896">
        <f>B293</f>
        <v>39113</v>
      </c>
      <c r="C308" s="897">
        <f>C293</f>
        <v>-1000000</v>
      </c>
      <c r="K308" s="664"/>
      <c r="N308" s="896">
        <f>N293</f>
        <v>39113</v>
      </c>
      <c r="O308" s="897">
        <f>O293</f>
        <v>-1000000</v>
      </c>
      <c r="U308" s="663"/>
      <c r="W308" s="664"/>
      <c r="Z308" s="896">
        <f>Z293</f>
        <v>39113</v>
      </c>
      <c r="AA308" s="897">
        <f>AA293</f>
        <v>-1000000</v>
      </c>
      <c r="AB308" s="663"/>
      <c r="AC308" s="663"/>
      <c r="AD308" s="663"/>
      <c r="AE308" s="663"/>
      <c r="AF308" s="663"/>
      <c r="AG308" s="663"/>
      <c r="AH308" s="663"/>
      <c r="AI308" s="664"/>
      <c r="AL308" s="896">
        <f>AL293</f>
        <v>39113</v>
      </c>
      <c r="AM308" s="897">
        <f>AM293</f>
        <v>-1000000</v>
      </c>
      <c r="AN308" s="663"/>
      <c r="AU308" s="664"/>
      <c r="AX308" s="896">
        <f>AX293</f>
        <v>39113</v>
      </c>
      <c r="AY308" s="897">
        <f>AY293</f>
        <v>-1000000</v>
      </c>
      <c r="BG308" s="664"/>
      <c r="BJ308" s="896">
        <f>BJ293</f>
        <v>39113</v>
      </c>
      <c r="BK308" s="897">
        <f>BK293</f>
        <v>-1000000</v>
      </c>
      <c r="BS308" s="664"/>
      <c r="BV308" s="896">
        <f>BV293</f>
        <v>39113</v>
      </c>
      <c r="BW308" s="897">
        <f>BW293</f>
        <v>-1000000</v>
      </c>
      <c r="CE308" s="664"/>
      <c r="CH308" s="896">
        <f>CH293</f>
        <v>39113</v>
      </c>
      <c r="CI308" s="897">
        <f>CI293</f>
        <v>-1000000</v>
      </c>
      <c r="CQ308" s="664"/>
      <c r="CT308" s="896">
        <f>CT293</f>
        <v>39113</v>
      </c>
      <c r="CU308" s="897">
        <f>CU293</f>
        <v>-1000000</v>
      </c>
      <c r="DC308" s="664"/>
      <c r="DF308" s="896">
        <f>DF293</f>
        <v>39113</v>
      </c>
      <c r="DG308" s="897">
        <f>DG293</f>
        <v>-1000000</v>
      </c>
      <c r="DO308" s="664"/>
    </row>
    <row r="309" spans="2:119" hidden="1" x14ac:dyDescent="0.25">
      <c r="B309" s="896">
        <f t="shared" ref="B309:C309" si="343">B294</f>
        <v>39478</v>
      </c>
      <c r="C309" s="897">
        <f t="shared" si="343"/>
        <v>-2000000</v>
      </c>
      <c r="K309" s="664"/>
      <c r="N309" s="896">
        <f t="shared" ref="N309:O309" si="344">N294</f>
        <v>39478</v>
      </c>
      <c r="O309" s="897">
        <f t="shared" si="344"/>
        <v>-2000000</v>
      </c>
      <c r="U309" s="663"/>
      <c r="W309" s="664"/>
      <c r="Z309" s="896">
        <f t="shared" ref="Z309:AA309" si="345">Z294</f>
        <v>39478</v>
      </c>
      <c r="AA309" s="897">
        <f t="shared" si="345"/>
        <v>-2000000</v>
      </c>
      <c r="AB309" s="663"/>
      <c r="AC309" s="663"/>
      <c r="AD309" s="663"/>
      <c r="AE309" s="663"/>
      <c r="AF309" s="663"/>
      <c r="AG309" s="663"/>
      <c r="AH309" s="663"/>
      <c r="AI309" s="664"/>
      <c r="AL309" s="896">
        <f t="shared" ref="AL309:AM309" si="346">AL294</f>
        <v>39478</v>
      </c>
      <c r="AM309" s="897">
        <f t="shared" si="346"/>
        <v>-2000000</v>
      </c>
      <c r="AN309" s="663"/>
      <c r="AU309" s="664"/>
      <c r="AX309" s="896">
        <f t="shared" ref="AX309:AY309" si="347">AX294</f>
        <v>39478</v>
      </c>
      <c r="AY309" s="897">
        <f t="shared" si="347"/>
        <v>-2000000</v>
      </c>
      <c r="BG309" s="664"/>
      <c r="BJ309" s="896">
        <f t="shared" ref="BJ309:BK309" si="348">BJ294</f>
        <v>39478</v>
      </c>
      <c r="BK309" s="897">
        <f t="shared" si="348"/>
        <v>-2000000</v>
      </c>
      <c r="BS309" s="664"/>
      <c r="BV309" s="896">
        <f t="shared" ref="BV309:BW309" si="349">BV294</f>
        <v>39478</v>
      </c>
      <c r="BW309" s="897">
        <f t="shared" si="349"/>
        <v>-2000000</v>
      </c>
      <c r="CE309" s="664"/>
      <c r="CH309" s="896">
        <f t="shared" ref="CH309:CI309" si="350">CH294</f>
        <v>39478</v>
      </c>
      <c r="CI309" s="897">
        <f t="shared" si="350"/>
        <v>-2000000</v>
      </c>
      <c r="CQ309" s="664"/>
      <c r="CT309" s="896">
        <f t="shared" ref="CT309:CU309" si="351">CT294</f>
        <v>39478</v>
      </c>
      <c r="CU309" s="897">
        <f t="shared" si="351"/>
        <v>-2000000</v>
      </c>
      <c r="DC309" s="664"/>
      <c r="DF309" s="896">
        <f t="shared" ref="DF309:DG309" si="352">DF294</f>
        <v>39478</v>
      </c>
      <c r="DG309" s="897">
        <f t="shared" si="352"/>
        <v>-2000000</v>
      </c>
      <c r="DO309" s="664"/>
    </row>
    <row r="310" spans="2:119" hidden="1" x14ac:dyDescent="0.25">
      <c r="B310" s="896">
        <f t="shared" ref="B310:C310" si="353">B295</f>
        <v>39843</v>
      </c>
      <c r="C310" s="897">
        <f t="shared" si="353"/>
        <v>0</v>
      </c>
      <c r="K310" s="664"/>
      <c r="N310" s="896">
        <f t="shared" ref="N310:O310" si="354">N295</f>
        <v>39843</v>
      </c>
      <c r="O310" s="897">
        <f t="shared" si="354"/>
        <v>0</v>
      </c>
      <c r="U310" s="663"/>
      <c r="W310" s="664"/>
      <c r="Z310" s="896">
        <f t="shared" ref="Z310:AA310" si="355">Z295</f>
        <v>39843</v>
      </c>
      <c r="AA310" s="897">
        <f t="shared" si="355"/>
        <v>0</v>
      </c>
      <c r="AB310" s="663"/>
      <c r="AC310" s="663"/>
      <c r="AD310" s="663"/>
      <c r="AE310" s="663"/>
      <c r="AF310" s="663"/>
      <c r="AG310" s="663"/>
      <c r="AH310" s="663"/>
      <c r="AI310" s="664"/>
      <c r="AL310" s="896">
        <f t="shared" ref="AL310:AM310" si="356">AL295</f>
        <v>39843</v>
      </c>
      <c r="AM310" s="897">
        <f t="shared" si="356"/>
        <v>0</v>
      </c>
      <c r="AN310" s="663"/>
      <c r="AU310" s="664"/>
      <c r="AX310" s="896">
        <f t="shared" ref="AX310:AY310" si="357">AX295</f>
        <v>39843</v>
      </c>
      <c r="AY310" s="897">
        <f t="shared" si="357"/>
        <v>0</v>
      </c>
      <c r="BG310" s="664"/>
      <c r="BJ310" s="896">
        <f t="shared" ref="BJ310:BK310" si="358">BJ295</f>
        <v>39843</v>
      </c>
      <c r="BK310" s="897">
        <f t="shared" si="358"/>
        <v>0</v>
      </c>
      <c r="BS310" s="664"/>
      <c r="BV310" s="896">
        <f t="shared" ref="BV310:BW310" si="359">BV295</f>
        <v>39843</v>
      </c>
      <c r="BW310" s="897">
        <f t="shared" si="359"/>
        <v>0</v>
      </c>
      <c r="CE310" s="664"/>
      <c r="CH310" s="896">
        <f t="shared" ref="CH310:CI310" si="360">CH295</f>
        <v>39843</v>
      </c>
      <c r="CI310" s="897">
        <f t="shared" si="360"/>
        <v>0</v>
      </c>
      <c r="CQ310" s="664"/>
      <c r="CT310" s="896">
        <f t="shared" ref="CT310:CU310" si="361">CT295</f>
        <v>39843</v>
      </c>
      <c r="CU310" s="897">
        <f t="shared" si="361"/>
        <v>0</v>
      </c>
      <c r="DC310" s="664"/>
      <c r="DF310" s="896">
        <f t="shared" ref="DF310:DG310" si="362">DF295</f>
        <v>39843</v>
      </c>
      <c r="DG310" s="897">
        <f t="shared" si="362"/>
        <v>0</v>
      </c>
      <c r="DO310" s="664"/>
    </row>
    <row r="311" spans="2:119" hidden="1" x14ac:dyDescent="0.25">
      <c r="B311" s="896">
        <f t="shared" ref="B311:C311" si="363">B296</f>
        <v>39843</v>
      </c>
      <c r="C311" s="897">
        <f t="shared" si="363"/>
        <v>0</v>
      </c>
      <c r="K311" s="664"/>
      <c r="N311" s="896">
        <f t="shared" ref="N311:O311" si="364">N296</f>
        <v>39843</v>
      </c>
      <c r="O311" s="897">
        <f t="shared" si="364"/>
        <v>0</v>
      </c>
      <c r="U311" s="663"/>
      <c r="W311" s="664"/>
      <c r="Z311" s="896">
        <f t="shared" ref="Z311:AA311" si="365">Z296</f>
        <v>39843</v>
      </c>
      <c r="AA311" s="897">
        <f t="shared" si="365"/>
        <v>0</v>
      </c>
      <c r="AB311" s="663"/>
      <c r="AC311" s="663"/>
      <c r="AD311" s="663"/>
      <c r="AE311" s="663"/>
      <c r="AF311" s="663"/>
      <c r="AG311" s="663"/>
      <c r="AH311" s="663"/>
      <c r="AI311" s="664"/>
      <c r="AL311" s="896">
        <f t="shared" ref="AL311:AM311" si="366">AL296</f>
        <v>39843</v>
      </c>
      <c r="AM311" s="897">
        <f t="shared" si="366"/>
        <v>0</v>
      </c>
      <c r="AN311" s="663"/>
      <c r="AU311" s="664"/>
      <c r="AX311" s="896">
        <f t="shared" ref="AX311:AY311" si="367">AX296</f>
        <v>39843</v>
      </c>
      <c r="AY311" s="897">
        <f t="shared" si="367"/>
        <v>0</v>
      </c>
      <c r="BG311" s="664"/>
      <c r="BJ311" s="896">
        <f t="shared" ref="BJ311:BK311" si="368">BJ296</f>
        <v>39843</v>
      </c>
      <c r="BK311" s="897">
        <f t="shared" si="368"/>
        <v>0</v>
      </c>
      <c r="BS311" s="664"/>
      <c r="BV311" s="896">
        <f t="shared" ref="BV311:BW311" si="369">BV296</f>
        <v>39843</v>
      </c>
      <c r="BW311" s="897">
        <f t="shared" si="369"/>
        <v>0</v>
      </c>
      <c r="CE311" s="664"/>
      <c r="CH311" s="896">
        <f t="shared" ref="CH311:CI311" si="370">CH296</f>
        <v>39843</v>
      </c>
      <c r="CI311" s="897">
        <f t="shared" si="370"/>
        <v>0</v>
      </c>
      <c r="CQ311" s="664"/>
      <c r="CT311" s="896">
        <f t="shared" ref="CT311:CU311" si="371">CT296</f>
        <v>39843</v>
      </c>
      <c r="CU311" s="897">
        <f t="shared" si="371"/>
        <v>0</v>
      </c>
      <c r="DC311" s="664"/>
      <c r="DF311" s="896">
        <f t="shared" ref="DF311:DG311" si="372">DF296</f>
        <v>39843</v>
      </c>
      <c r="DG311" s="897">
        <f t="shared" si="372"/>
        <v>0</v>
      </c>
      <c r="DO311" s="664"/>
    </row>
    <row r="312" spans="2:119" hidden="1" x14ac:dyDescent="0.25">
      <c r="B312" s="896">
        <f t="shared" ref="B312:C312" si="373">B297</f>
        <v>39843</v>
      </c>
      <c r="C312" s="897">
        <f t="shared" si="373"/>
        <v>0</v>
      </c>
      <c r="K312" s="664"/>
      <c r="N312" s="896">
        <f t="shared" ref="N312:O312" si="374">N297</f>
        <v>39843</v>
      </c>
      <c r="O312" s="897">
        <f t="shared" si="374"/>
        <v>0</v>
      </c>
      <c r="U312" s="663"/>
      <c r="W312" s="664"/>
      <c r="Z312" s="896">
        <f t="shared" ref="Z312:AA312" si="375">Z297</f>
        <v>39843</v>
      </c>
      <c r="AA312" s="897">
        <f t="shared" si="375"/>
        <v>0</v>
      </c>
      <c r="AB312" s="663"/>
      <c r="AC312" s="663"/>
      <c r="AD312" s="663"/>
      <c r="AE312" s="663"/>
      <c r="AF312" s="663"/>
      <c r="AG312" s="663"/>
      <c r="AH312" s="663"/>
      <c r="AI312" s="664"/>
      <c r="AL312" s="896">
        <f t="shared" ref="AL312:AM312" si="376">AL297</f>
        <v>39843</v>
      </c>
      <c r="AM312" s="897">
        <f t="shared" si="376"/>
        <v>0</v>
      </c>
      <c r="AN312" s="663"/>
      <c r="AU312" s="664"/>
      <c r="AX312" s="896">
        <f t="shared" ref="AX312:AY312" si="377">AX297</f>
        <v>39843</v>
      </c>
      <c r="AY312" s="897">
        <f t="shared" si="377"/>
        <v>0</v>
      </c>
      <c r="BG312" s="664"/>
      <c r="BJ312" s="896">
        <f t="shared" ref="BJ312:BK312" si="378">BJ297</f>
        <v>39843</v>
      </c>
      <c r="BK312" s="897">
        <f t="shared" si="378"/>
        <v>0</v>
      </c>
      <c r="BS312" s="664"/>
      <c r="BV312" s="896">
        <f t="shared" ref="BV312:BW312" si="379">BV297</f>
        <v>39843</v>
      </c>
      <c r="BW312" s="897">
        <f t="shared" si="379"/>
        <v>0</v>
      </c>
      <c r="CE312" s="664"/>
      <c r="CH312" s="896">
        <f t="shared" ref="CH312:CI312" si="380">CH297</f>
        <v>39843</v>
      </c>
      <c r="CI312" s="897">
        <f t="shared" si="380"/>
        <v>0</v>
      </c>
      <c r="CQ312" s="664"/>
      <c r="CT312" s="896">
        <f t="shared" ref="CT312:CU312" si="381">CT297</f>
        <v>39843</v>
      </c>
      <c r="CU312" s="897">
        <f t="shared" si="381"/>
        <v>0</v>
      </c>
      <c r="DC312" s="664"/>
      <c r="DF312" s="896">
        <f t="shared" ref="DF312:DG312" si="382">DF297</f>
        <v>39843</v>
      </c>
      <c r="DG312" s="897">
        <f t="shared" si="382"/>
        <v>0</v>
      </c>
      <c r="DO312" s="664"/>
    </row>
    <row r="313" spans="2:119" hidden="1" x14ac:dyDescent="0.25">
      <c r="B313" s="896">
        <f t="shared" ref="B313:C313" si="383">B298</f>
        <v>39843</v>
      </c>
      <c r="C313" s="897">
        <f t="shared" si="383"/>
        <v>0</v>
      </c>
      <c r="K313" s="664"/>
      <c r="N313" s="896">
        <f t="shared" ref="N313:O313" si="384">N298</f>
        <v>39843</v>
      </c>
      <c r="O313" s="897">
        <f t="shared" si="384"/>
        <v>0</v>
      </c>
      <c r="U313" s="663"/>
      <c r="W313" s="664"/>
      <c r="Z313" s="896">
        <f t="shared" ref="Z313:AA313" si="385">Z298</f>
        <v>39843</v>
      </c>
      <c r="AA313" s="897">
        <f t="shared" si="385"/>
        <v>0</v>
      </c>
      <c r="AB313" s="663"/>
      <c r="AC313" s="663"/>
      <c r="AD313" s="663"/>
      <c r="AE313" s="663"/>
      <c r="AF313" s="663"/>
      <c r="AG313" s="663"/>
      <c r="AH313" s="663"/>
      <c r="AI313" s="664"/>
      <c r="AL313" s="896">
        <f t="shared" ref="AL313:AM313" si="386">AL298</f>
        <v>39843</v>
      </c>
      <c r="AM313" s="897">
        <f t="shared" si="386"/>
        <v>0</v>
      </c>
      <c r="AN313" s="663"/>
      <c r="AU313" s="664"/>
      <c r="AX313" s="896">
        <f t="shared" ref="AX313:AY313" si="387">AX298</f>
        <v>39843</v>
      </c>
      <c r="AY313" s="897">
        <f t="shared" si="387"/>
        <v>0</v>
      </c>
      <c r="BG313" s="664"/>
      <c r="BJ313" s="896">
        <f t="shared" ref="BJ313:BK313" si="388">BJ298</f>
        <v>39843</v>
      </c>
      <c r="BK313" s="897">
        <f t="shared" si="388"/>
        <v>0</v>
      </c>
      <c r="BS313" s="664"/>
      <c r="BV313" s="896">
        <f t="shared" ref="BV313:BW313" si="389">BV298</f>
        <v>39843</v>
      </c>
      <c r="BW313" s="897">
        <f t="shared" si="389"/>
        <v>0</v>
      </c>
      <c r="CE313" s="664"/>
      <c r="CH313" s="896">
        <f t="shared" ref="CH313:CI313" si="390">CH298</f>
        <v>39843</v>
      </c>
      <c r="CI313" s="897">
        <f t="shared" si="390"/>
        <v>0</v>
      </c>
      <c r="CQ313" s="664"/>
      <c r="CT313" s="896">
        <f t="shared" ref="CT313:CU313" si="391">CT298</f>
        <v>39843</v>
      </c>
      <c r="CU313" s="897">
        <f t="shared" si="391"/>
        <v>0</v>
      </c>
      <c r="DC313" s="664"/>
      <c r="DF313" s="896">
        <f t="shared" ref="DF313:DG313" si="392">DF298</f>
        <v>39843</v>
      </c>
      <c r="DG313" s="897">
        <f t="shared" si="392"/>
        <v>0</v>
      </c>
      <c r="DO313" s="664"/>
    </row>
    <row r="314" spans="2:119" hidden="1" x14ac:dyDescent="0.25">
      <c r="B314" s="896">
        <f t="shared" ref="B314:C314" si="393">B299</f>
        <v>39843</v>
      </c>
      <c r="C314" s="897">
        <f t="shared" si="393"/>
        <v>0</v>
      </c>
      <c r="K314" s="664"/>
      <c r="N314" s="896">
        <f t="shared" ref="N314:O314" si="394">N299</f>
        <v>39843</v>
      </c>
      <c r="O314" s="897">
        <f t="shared" si="394"/>
        <v>0</v>
      </c>
      <c r="U314" s="663"/>
      <c r="W314" s="664"/>
      <c r="Z314" s="896">
        <f t="shared" ref="Z314:AA314" si="395">Z299</f>
        <v>39843</v>
      </c>
      <c r="AA314" s="897">
        <f t="shared" si="395"/>
        <v>0</v>
      </c>
      <c r="AB314" s="663"/>
      <c r="AC314" s="663"/>
      <c r="AD314" s="663"/>
      <c r="AE314" s="663"/>
      <c r="AF314" s="663"/>
      <c r="AG314" s="663"/>
      <c r="AH314" s="663"/>
      <c r="AI314" s="664"/>
      <c r="AL314" s="896">
        <f t="shared" ref="AL314:AM314" si="396">AL299</f>
        <v>39843</v>
      </c>
      <c r="AM314" s="897">
        <f t="shared" si="396"/>
        <v>0</v>
      </c>
      <c r="AN314" s="663"/>
      <c r="AU314" s="664"/>
      <c r="AX314" s="896">
        <f t="shared" ref="AX314:AY314" si="397">AX299</f>
        <v>39843</v>
      </c>
      <c r="AY314" s="897">
        <f t="shared" si="397"/>
        <v>0</v>
      </c>
      <c r="BG314" s="664"/>
      <c r="BJ314" s="896">
        <f t="shared" ref="BJ314:BK314" si="398">BJ299</f>
        <v>39843</v>
      </c>
      <c r="BK314" s="897">
        <f t="shared" si="398"/>
        <v>0</v>
      </c>
      <c r="BS314" s="664"/>
      <c r="BV314" s="896">
        <f t="shared" ref="BV314:BW314" si="399">BV299</f>
        <v>39843</v>
      </c>
      <c r="BW314" s="897">
        <f t="shared" si="399"/>
        <v>0</v>
      </c>
      <c r="CE314" s="664"/>
      <c r="CH314" s="896">
        <f t="shared" ref="CH314:CI314" si="400">CH299</f>
        <v>39843</v>
      </c>
      <c r="CI314" s="897">
        <f t="shared" si="400"/>
        <v>0</v>
      </c>
      <c r="CQ314" s="664"/>
      <c r="CT314" s="896">
        <f t="shared" ref="CT314:CU314" si="401">CT299</f>
        <v>39843</v>
      </c>
      <c r="CU314" s="897">
        <f t="shared" si="401"/>
        <v>0</v>
      </c>
      <c r="DC314" s="664"/>
      <c r="DF314" s="896">
        <f t="shared" ref="DF314:DG314" si="402">DF299</f>
        <v>39843</v>
      </c>
      <c r="DG314" s="897">
        <f t="shared" si="402"/>
        <v>0</v>
      </c>
      <c r="DO314" s="664"/>
    </row>
    <row r="315" spans="2:119" hidden="1" x14ac:dyDescent="0.25">
      <c r="B315" s="896">
        <f t="shared" ref="B315:C315" si="403">B300</f>
        <v>39843</v>
      </c>
      <c r="C315" s="897">
        <f t="shared" si="403"/>
        <v>0</v>
      </c>
      <c r="K315" s="664"/>
      <c r="N315" s="896">
        <f t="shared" ref="N315:O315" si="404">N300</f>
        <v>39843</v>
      </c>
      <c r="O315" s="897">
        <f t="shared" si="404"/>
        <v>0</v>
      </c>
      <c r="U315" s="663"/>
      <c r="W315" s="664"/>
      <c r="Z315" s="896">
        <f t="shared" ref="Z315:AA315" si="405">Z300</f>
        <v>39843</v>
      </c>
      <c r="AA315" s="897">
        <f t="shared" si="405"/>
        <v>0</v>
      </c>
      <c r="AB315" s="663"/>
      <c r="AC315" s="663"/>
      <c r="AD315" s="663"/>
      <c r="AE315" s="663"/>
      <c r="AF315" s="663"/>
      <c r="AG315" s="663"/>
      <c r="AH315" s="663"/>
      <c r="AI315" s="664"/>
      <c r="AL315" s="896">
        <f t="shared" ref="AL315:AM315" si="406">AL300</f>
        <v>39843</v>
      </c>
      <c r="AM315" s="897">
        <f t="shared" si="406"/>
        <v>0</v>
      </c>
      <c r="AN315" s="663"/>
      <c r="AU315" s="664"/>
      <c r="AX315" s="896">
        <f t="shared" ref="AX315:AY315" si="407">AX300</f>
        <v>39843</v>
      </c>
      <c r="AY315" s="897">
        <f t="shared" si="407"/>
        <v>0</v>
      </c>
      <c r="BG315" s="664"/>
      <c r="BJ315" s="896">
        <f t="shared" ref="BJ315:BK315" si="408">BJ300</f>
        <v>39843</v>
      </c>
      <c r="BK315" s="897">
        <f t="shared" si="408"/>
        <v>0</v>
      </c>
      <c r="BS315" s="664"/>
      <c r="BV315" s="896">
        <f t="shared" ref="BV315:BW315" si="409">BV300</f>
        <v>39843</v>
      </c>
      <c r="BW315" s="897">
        <f t="shared" si="409"/>
        <v>0</v>
      </c>
      <c r="CE315" s="664"/>
      <c r="CH315" s="896">
        <f t="shared" ref="CH315:CI315" si="410">CH300</f>
        <v>39843</v>
      </c>
      <c r="CI315" s="897">
        <f t="shared" si="410"/>
        <v>0</v>
      </c>
      <c r="CQ315" s="664"/>
      <c r="CT315" s="896">
        <f t="shared" ref="CT315:CU315" si="411">CT300</f>
        <v>39843</v>
      </c>
      <c r="CU315" s="897">
        <f t="shared" si="411"/>
        <v>0</v>
      </c>
      <c r="DC315" s="664"/>
      <c r="DF315" s="896">
        <f t="shared" ref="DF315:DG315" si="412">DF300</f>
        <v>39843</v>
      </c>
      <c r="DG315" s="897">
        <f t="shared" si="412"/>
        <v>0</v>
      </c>
      <c r="DO315" s="664"/>
    </row>
    <row r="316" spans="2:119" hidden="1" x14ac:dyDescent="0.25">
      <c r="B316" s="896">
        <f t="shared" ref="B316:C316" si="413">B301</f>
        <v>39843</v>
      </c>
      <c r="C316" s="897">
        <f t="shared" si="413"/>
        <v>0</v>
      </c>
      <c r="K316" s="664"/>
      <c r="N316" s="896">
        <f t="shared" ref="N316:O316" si="414">N301</f>
        <v>39843</v>
      </c>
      <c r="O316" s="897">
        <f t="shared" si="414"/>
        <v>0</v>
      </c>
      <c r="U316" s="663"/>
      <c r="W316" s="664"/>
      <c r="Z316" s="896">
        <f t="shared" ref="Z316:AA316" si="415">Z301</f>
        <v>39843</v>
      </c>
      <c r="AA316" s="897">
        <f t="shared" si="415"/>
        <v>0</v>
      </c>
      <c r="AB316" s="663"/>
      <c r="AC316" s="663"/>
      <c r="AD316" s="663"/>
      <c r="AE316" s="663"/>
      <c r="AF316" s="663"/>
      <c r="AG316" s="663"/>
      <c r="AH316" s="663"/>
      <c r="AI316" s="664"/>
      <c r="AL316" s="896">
        <f t="shared" ref="AL316:AM316" si="416">AL301</f>
        <v>39843</v>
      </c>
      <c r="AM316" s="897">
        <f t="shared" si="416"/>
        <v>0</v>
      </c>
      <c r="AN316" s="663"/>
      <c r="AU316" s="664"/>
      <c r="AX316" s="896">
        <f t="shared" ref="AX316:AY316" si="417">AX301</f>
        <v>39843</v>
      </c>
      <c r="AY316" s="897">
        <f t="shared" si="417"/>
        <v>0</v>
      </c>
      <c r="BG316" s="664"/>
      <c r="BJ316" s="896">
        <f t="shared" ref="BJ316:BK316" si="418">BJ301</f>
        <v>39843</v>
      </c>
      <c r="BK316" s="897">
        <f t="shared" si="418"/>
        <v>0</v>
      </c>
      <c r="BS316" s="664"/>
      <c r="BV316" s="896">
        <f t="shared" ref="BV316:BW316" si="419">BV301</f>
        <v>39843</v>
      </c>
      <c r="BW316" s="897">
        <f t="shared" si="419"/>
        <v>0</v>
      </c>
      <c r="CE316" s="664"/>
      <c r="CH316" s="896">
        <f t="shared" ref="CH316:CI316" si="420">CH301</f>
        <v>39843</v>
      </c>
      <c r="CI316" s="897">
        <f t="shared" si="420"/>
        <v>0</v>
      </c>
      <c r="CQ316" s="664"/>
      <c r="CT316" s="896">
        <f t="shared" ref="CT316:CU316" si="421">CT301</f>
        <v>39843</v>
      </c>
      <c r="CU316" s="897">
        <f t="shared" si="421"/>
        <v>0</v>
      </c>
      <c r="DC316" s="664"/>
      <c r="DF316" s="896">
        <f t="shared" ref="DF316:DG316" si="422">DF301</f>
        <v>39843</v>
      </c>
      <c r="DG316" s="897">
        <f t="shared" si="422"/>
        <v>0</v>
      </c>
      <c r="DO316" s="664"/>
    </row>
    <row r="317" spans="2:119" hidden="1" x14ac:dyDescent="0.25">
      <c r="B317" s="896">
        <f t="shared" ref="B317:C317" si="423">B302</f>
        <v>39843</v>
      </c>
      <c r="C317" s="897">
        <f t="shared" si="423"/>
        <v>0</v>
      </c>
      <c r="K317" s="664"/>
      <c r="N317" s="896">
        <f t="shared" ref="N317:O317" si="424">N302</f>
        <v>39843</v>
      </c>
      <c r="O317" s="897">
        <f t="shared" si="424"/>
        <v>0</v>
      </c>
      <c r="U317" s="663"/>
      <c r="W317" s="664"/>
      <c r="Z317" s="896">
        <f t="shared" ref="Z317:AA317" si="425">Z302</f>
        <v>39843</v>
      </c>
      <c r="AA317" s="897">
        <f t="shared" si="425"/>
        <v>0</v>
      </c>
      <c r="AB317" s="663"/>
      <c r="AC317" s="663"/>
      <c r="AD317" s="663"/>
      <c r="AE317" s="663"/>
      <c r="AF317" s="663"/>
      <c r="AG317" s="663"/>
      <c r="AH317" s="663"/>
      <c r="AI317" s="664"/>
      <c r="AL317" s="896">
        <f t="shared" ref="AL317:AM317" si="426">AL302</f>
        <v>39843</v>
      </c>
      <c r="AM317" s="897">
        <f t="shared" si="426"/>
        <v>0</v>
      </c>
      <c r="AN317" s="663"/>
      <c r="AU317" s="664"/>
      <c r="AX317" s="896">
        <f t="shared" ref="AX317:AY317" si="427">AX302</f>
        <v>39843</v>
      </c>
      <c r="AY317" s="897">
        <f t="shared" si="427"/>
        <v>0</v>
      </c>
      <c r="BG317" s="664"/>
      <c r="BJ317" s="896">
        <f t="shared" ref="BJ317:BK317" si="428">BJ302</f>
        <v>39843</v>
      </c>
      <c r="BK317" s="897">
        <f t="shared" si="428"/>
        <v>0</v>
      </c>
      <c r="BS317" s="664"/>
      <c r="BV317" s="896">
        <f t="shared" ref="BV317:BW317" si="429">BV302</f>
        <v>39843</v>
      </c>
      <c r="BW317" s="897">
        <f t="shared" si="429"/>
        <v>0</v>
      </c>
      <c r="CE317" s="664"/>
      <c r="CH317" s="896">
        <f t="shared" ref="CH317:CI317" si="430">CH302</f>
        <v>39843</v>
      </c>
      <c r="CI317" s="897">
        <f t="shared" si="430"/>
        <v>0</v>
      </c>
      <c r="CQ317" s="664"/>
      <c r="CT317" s="896">
        <f t="shared" ref="CT317:CU317" si="431">CT302</f>
        <v>39843</v>
      </c>
      <c r="CU317" s="897">
        <f t="shared" si="431"/>
        <v>0</v>
      </c>
      <c r="DC317" s="664"/>
      <c r="DF317" s="896">
        <f t="shared" ref="DF317:DG317" si="432">DF302</f>
        <v>39843</v>
      </c>
      <c r="DG317" s="897">
        <f t="shared" si="432"/>
        <v>0</v>
      </c>
      <c r="DO317" s="664"/>
    </row>
    <row r="318" spans="2:119" hidden="1" x14ac:dyDescent="0.25">
      <c r="B318" s="896">
        <f>B303+$C$56</f>
        <v>41179</v>
      </c>
      <c r="C318" s="897">
        <f ca="1">C303</f>
        <v>0</v>
      </c>
      <c r="K318" s="664"/>
      <c r="N318" s="896">
        <f>N303+$C$56</f>
        <v>41179</v>
      </c>
      <c r="O318" s="897">
        <f ca="1">O303</f>
        <v>0</v>
      </c>
      <c r="U318" s="663"/>
      <c r="W318" s="664"/>
      <c r="Z318" s="896">
        <f>Z303+$C$56</f>
        <v>41179</v>
      </c>
      <c r="AA318" s="897">
        <f ca="1">AA303</f>
        <v>0</v>
      </c>
      <c r="AB318" s="663"/>
      <c r="AC318" s="663"/>
      <c r="AD318" s="663"/>
      <c r="AE318" s="663"/>
      <c r="AF318" s="663"/>
      <c r="AG318" s="663"/>
      <c r="AH318" s="663"/>
      <c r="AI318" s="664"/>
      <c r="AL318" s="896">
        <f>AL303+$C$56</f>
        <v>41179</v>
      </c>
      <c r="AM318" s="897">
        <f ca="1">AM303</f>
        <v>0</v>
      </c>
      <c r="AN318" s="663"/>
      <c r="AU318" s="664"/>
      <c r="AX318" s="896">
        <f>AX303+$C$56</f>
        <v>41179</v>
      </c>
      <c r="AY318" s="897">
        <f ca="1">AY303</f>
        <v>0</v>
      </c>
      <c r="BG318" s="664"/>
      <c r="BJ318" s="896">
        <f>BJ303+$C$56</f>
        <v>41179</v>
      </c>
      <c r="BK318" s="897">
        <f ca="1">BK303</f>
        <v>0</v>
      </c>
      <c r="BS318" s="664"/>
      <c r="BV318" s="896">
        <f>BV303+$C$56</f>
        <v>41179</v>
      </c>
      <c r="BW318" s="897">
        <f ca="1">BW303</f>
        <v>0</v>
      </c>
      <c r="CE318" s="664"/>
      <c r="CH318" s="896">
        <f>CH303+$C$56</f>
        <v>41179</v>
      </c>
      <c r="CI318" s="897">
        <f ca="1">CI303</f>
        <v>0</v>
      </c>
      <c r="CQ318" s="664"/>
      <c r="CT318" s="896">
        <f>CT303+$C$56</f>
        <v>41179</v>
      </c>
      <c r="CU318" s="897">
        <f ca="1">CU303</f>
        <v>0</v>
      </c>
      <c r="DC318" s="664"/>
      <c r="DF318" s="896">
        <f>DF303+$C$56</f>
        <v>41179</v>
      </c>
      <c r="DG318" s="897">
        <f ca="1">DG303</f>
        <v>0</v>
      </c>
      <c r="DO318" s="664"/>
    </row>
    <row r="319" spans="2:119" hidden="1" x14ac:dyDescent="0.25">
      <c r="B319" s="898">
        <f>IF(C308&lt;&gt;0,ROW(C308),IF(C309&lt;&gt;0,ROW(C309),IF(C310&lt;&gt;0,ROW(C310),IF(C311&lt;&gt;0,ROW(C311),IF(C312&lt;&gt;0,ROW(C312),IF(C313&lt;&gt;0,ROW(C313),IF(C314&lt;&gt;0,ROW(C314),IF(C315&lt;&gt;0,ROW(C315),IF(C316&lt;&gt;0,ROW(C316),IF(C317&lt;&gt;0,ROW(C317)))))))))))</f>
        <v>308</v>
      </c>
      <c r="C319" s="882" t="e">
        <f ca="1">IF(ISERROR(XIRR(INDIRECT(B321):C318,INDIRECT(B320):B318,-20%)),XIRR(INDIRECT(B321):C318,INDIRECT(B320):B318,20%),"N/A")</f>
        <v>#NUM!</v>
      </c>
      <c r="K319" s="664"/>
      <c r="N319" s="898">
        <f>IF(O308&lt;&gt;0,ROW(O308),IF(O309&lt;&gt;0,ROW(O309),IF(O310&lt;&gt;0,ROW(O310),IF(O311&lt;&gt;0,ROW(O311),IF(O312&lt;&gt;0,ROW(O312),IF(O313&lt;&gt;0,ROW(O313),IF(O314&lt;&gt;0,ROW(O314),IF(O315&lt;&gt;0,ROW(O315),IF(O316&lt;&gt;0,ROW(O316),IF(O317&lt;&gt;0,ROW(O317)))))))))))</f>
        <v>308</v>
      </c>
      <c r="O319" s="882" t="e">
        <f ca="1">IF(ISERROR(XIRR(INDIRECT(N321):O318,INDIRECT(N320):N318,-20%)),XIRR(INDIRECT(N321):O318,INDIRECT(N320):N318,20%),"N/A")</f>
        <v>#NUM!</v>
      </c>
      <c r="U319" s="663"/>
      <c r="W319" s="664"/>
      <c r="Z319" s="898">
        <f>IF(AA308&lt;&gt;0,ROW(AA308),IF(AA309&lt;&gt;0,ROW(AA309),IF(AA310&lt;&gt;0,ROW(AA310),IF(AA311&lt;&gt;0,ROW(AA311),IF(AA312&lt;&gt;0,ROW(AA312),IF(AA313&lt;&gt;0,ROW(AA313),IF(AA314&lt;&gt;0,ROW(AA314),IF(AA315&lt;&gt;0,ROW(AA315),IF(AA316&lt;&gt;0,ROW(AA316),IF(AA317&lt;&gt;0,ROW(AA317)))))))))))</f>
        <v>308</v>
      </c>
      <c r="AA319" s="882" t="e">
        <f ca="1">IF(ISERROR(XIRR(INDIRECT(Z321):AA318,INDIRECT(Z320):Z318,-20%)),XIRR(INDIRECT(Z321):AA318,INDIRECT(Z320):Z318,20%),"N/A")</f>
        <v>#NUM!</v>
      </c>
      <c r="AB319" s="663"/>
      <c r="AC319" s="663"/>
      <c r="AD319" s="663"/>
      <c r="AE319" s="663"/>
      <c r="AF319" s="663"/>
      <c r="AG319" s="663"/>
      <c r="AH319" s="663"/>
      <c r="AI319" s="664"/>
      <c r="AL319" s="898">
        <f>IF(AM308&lt;&gt;0,ROW(AM308),IF(AM309&lt;&gt;0,ROW(AM309),IF(AM310&lt;&gt;0,ROW(AM310),IF(AM311&lt;&gt;0,ROW(AM311),IF(AM312&lt;&gt;0,ROW(AM312),IF(AM313&lt;&gt;0,ROW(AM313),IF(AM314&lt;&gt;0,ROW(AM314),IF(AM315&lt;&gt;0,ROW(AM315),IF(AM316&lt;&gt;0,ROW(AM316),IF(AM317&lt;&gt;0,ROW(AM317)))))))))))</f>
        <v>308</v>
      </c>
      <c r="AM319" s="882" t="e">
        <f ca="1">IF(ISERROR(XIRR(INDIRECT(AL321):AM318,INDIRECT(AL320):AL318,-20%)),XIRR(INDIRECT(AL321):AM318,INDIRECT(AL320):AL318,20%),"N/A")</f>
        <v>#NUM!</v>
      </c>
      <c r="AN319" s="663"/>
      <c r="AU319" s="664"/>
      <c r="AX319" s="898">
        <f>IF(AY308&lt;&gt;0,ROW(AY308),IF(AY309&lt;&gt;0,ROW(AY309),IF(AY310&lt;&gt;0,ROW(AY310),IF(AY311&lt;&gt;0,ROW(AY311),IF(AY312&lt;&gt;0,ROW(AY312),IF(AY313&lt;&gt;0,ROW(AY313),IF(AY314&lt;&gt;0,ROW(AY314),IF(AY315&lt;&gt;0,ROW(AY315),IF(AY316&lt;&gt;0,ROW(AY316),IF(AY317&lt;&gt;0,ROW(AY317)))))))))))</f>
        <v>308</v>
      </c>
      <c r="AY319" s="882" t="e">
        <f ca="1">IF(ISERROR(XIRR(INDIRECT(AX321):AY318,INDIRECT(AX320):AX318,-20%)),XIRR(INDIRECT(AX321):AY318,INDIRECT(AX320):AX318,20%),"N/A")</f>
        <v>#NUM!</v>
      </c>
      <c r="BG319" s="664"/>
      <c r="BJ319" s="898">
        <f>IF(BK308&lt;&gt;0,ROW(BK308),IF(BK309&lt;&gt;0,ROW(BK309),IF(BK310&lt;&gt;0,ROW(BK310),IF(BK311&lt;&gt;0,ROW(BK311),IF(BK312&lt;&gt;0,ROW(BK312),IF(BK313&lt;&gt;0,ROW(BK313),IF(BK314&lt;&gt;0,ROW(BK314),IF(BK315&lt;&gt;0,ROW(BK315),IF(BK316&lt;&gt;0,ROW(BK316),IF(BK317&lt;&gt;0,ROW(BK317)))))))))))</f>
        <v>308</v>
      </c>
      <c r="BK319" s="882" t="e">
        <f ca="1">IF(ISERROR(XIRR(INDIRECT(BJ321):BK318,INDIRECT(BJ320):BJ318,-20%)),XIRR(INDIRECT(BJ321):BK318,INDIRECT(BJ320):BJ318,20%),"N/A")</f>
        <v>#NUM!</v>
      </c>
      <c r="BS319" s="664"/>
      <c r="BV319" s="898">
        <f>IF(BW308&lt;&gt;0,ROW(BW308),IF(BW309&lt;&gt;0,ROW(BW309),IF(BW310&lt;&gt;0,ROW(BW310),IF(BW311&lt;&gt;0,ROW(BW311),IF(BW312&lt;&gt;0,ROW(BW312),IF(BW313&lt;&gt;0,ROW(BW313),IF(BW314&lt;&gt;0,ROW(BW314),IF(BW315&lt;&gt;0,ROW(BW315),IF(BW316&lt;&gt;0,ROW(BW316),IF(BW317&lt;&gt;0,ROW(BW317)))))))))))</f>
        <v>308</v>
      </c>
      <c r="BW319" s="882" t="e">
        <f ca="1">IF(ISERROR(XIRR(INDIRECT(BV321):BW318,INDIRECT(BV320):BV318,-20%)),XIRR(INDIRECT(BV321):BW318,INDIRECT(BV320):BV318,20%),"N/A")</f>
        <v>#NUM!</v>
      </c>
      <c r="CE319" s="664"/>
      <c r="CH319" s="898">
        <f>IF(CI308&lt;&gt;0,ROW(CI308),IF(CI309&lt;&gt;0,ROW(CI309),IF(CI310&lt;&gt;0,ROW(CI310),IF(CI311&lt;&gt;0,ROW(CI311),IF(CI312&lt;&gt;0,ROW(CI312),IF(CI313&lt;&gt;0,ROW(CI313),IF(CI314&lt;&gt;0,ROW(CI314),IF(CI315&lt;&gt;0,ROW(CI315),IF(CI316&lt;&gt;0,ROW(CI316),IF(CI317&lt;&gt;0,ROW(CI317)))))))))))</f>
        <v>308</v>
      </c>
      <c r="CI319" s="882" t="e">
        <f ca="1">IF(ISERROR(XIRR(INDIRECT(CH321):CI318,INDIRECT(CH320):CH318,-20%)),XIRR(INDIRECT(CH321):CI318,INDIRECT(CH320):CH318,20%),"N/A")</f>
        <v>#NUM!</v>
      </c>
      <c r="CQ319" s="664"/>
      <c r="CT319" s="898">
        <f>IF(CU308&lt;&gt;0,ROW(CU308),IF(CU309&lt;&gt;0,ROW(CU309),IF(CU310&lt;&gt;0,ROW(CU310),IF(CU311&lt;&gt;0,ROW(CU311),IF(CU312&lt;&gt;0,ROW(CU312),IF(CU313&lt;&gt;0,ROW(CU313),IF(CU314&lt;&gt;0,ROW(CU314),IF(CU315&lt;&gt;0,ROW(CU315),IF(CU316&lt;&gt;0,ROW(CU316),IF(CU317&lt;&gt;0,ROW(CU317)))))))))))</f>
        <v>308</v>
      </c>
      <c r="CU319" s="882" t="e">
        <f ca="1">IF(ISERROR(XIRR(INDIRECT(CT321):CU318,INDIRECT(CT320):CT318,-20%)),XIRR(INDIRECT(CT321):CU318,INDIRECT(CT320):CT318,20%),"N/A")</f>
        <v>#NUM!</v>
      </c>
      <c r="DC319" s="664"/>
      <c r="DF319" s="898">
        <f>IF(DG308&lt;&gt;0,ROW(DG308),IF(DG309&lt;&gt;0,ROW(DG309),IF(DG310&lt;&gt;0,ROW(DG310),IF(DG311&lt;&gt;0,ROW(DG311),IF(DG312&lt;&gt;0,ROW(DG312),IF(DG313&lt;&gt;0,ROW(DG313),IF(DG314&lt;&gt;0,ROW(DG314),IF(DG315&lt;&gt;0,ROW(DG315),IF(DG316&lt;&gt;0,ROW(DG316),IF(DG317&lt;&gt;0,ROW(DG317)))))))))))</f>
        <v>308</v>
      </c>
      <c r="DG319" s="882" t="e">
        <f ca="1">IF(ISERROR(XIRR(INDIRECT(DF321):DG318,INDIRECT(DF320):DF318,-20%)),XIRR(INDIRECT(DF321):DG318,INDIRECT(DF320):DF318,20%),"N/A")</f>
        <v>#NUM!</v>
      </c>
      <c r="DO319" s="664"/>
    </row>
    <row r="320" spans="2:119" hidden="1" x14ac:dyDescent="0.25">
      <c r="B320" s="899" t="str">
        <f>CONCATENATE(CHAR(64+COLUMN(B319)),B319)</f>
        <v>B308</v>
      </c>
      <c r="C320" s="897"/>
      <c r="K320" s="664"/>
      <c r="N320" s="899" t="str">
        <f>CONCATENATE(CHAR(64+COLUMN(N319)),N319)</f>
        <v>N308</v>
      </c>
      <c r="O320" s="897"/>
      <c r="U320" s="663"/>
      <c r="W320" s="664"/>
      <c r="Z320" s="899" t="str">
        <f>CONCATENATE(IF(COLUMN(Z319)&lt;=26,CHAR(96+COLUMN(Z319)),(CHAR(96+(ROUNDDOWN((COLUMN(Z319)-1)/26,0)))&amp;CHAR(96+IF(MOD(COLUMN(Z319),26)=0,26,MOD(COLUMN(Z319),26))))),Z319)</f>
        <v>z308</v>
      </c>
      <c r="AA320" s="897"/>
      <c r="AB320" s="663"/>
      <c r="AC320" s="663"/>
      <c r="AD320" s="663"/>
      <c r="AE320" s="663"/>
      <c r="AF320" s="663"/>
      <c r="AG320" s="663"/>
      <c r="AH320" s="663"/>
      <c r="AI320" s="664"/>
      <c r="AL320" s="899" t="str">
        <f>CONCATENATE(IF(COLUMN(AL319)&lt;=26,CHAR(96+COLUMN(AL319)),(CHAR(96+(ROUNDDOWN((COLUMN(AL319)-1)/26,0)))&amp;CHAR(96+IF(MOD(COLUMN(AL319),26)=0,26,MOD(COLUMN(AL319),26))))),AL319)</f>
        <v>al308</v>
      </c>
      <c r="AM320" s="897"/>
      <c r="AN320" s="663"/>
      <c r="AU320" s="664"/>
      <c r="AX320" s="899" t="str">
        <f>CONCATENATE(IF(COLUMN(AX319)&lt;=26,CHAR(96+COLUMN(AX319)),(CHAR(96+(ROUNDDOWN((COLUMN(AX319)-1)/26,0)))&amp;CHAR(96+IF(MOD(COLUMN(AX319),26)=0,26,MOD(COLUMN(AX319),26))))),AX319)</f>
        <v>ax308</v>
      </c>
      <c r="AY320" s="897"/>
      <c r="BG320" s="664"/>
      <c r="BJ320" s="899" t="str">
        <f>CONCATENATE(IF(COLUMN(BJ319)&lt;=26,CHAR(96+COLUMN(BJ319)),(CHAR(96+(ROUNDDOWN((COLUMN(BJ319)-1)/26,0)))&amp;CHAR(96+IF(MOD(COLUMN(BJ319),26)=0,26,MOD(COLUMN(BJ319),26))))),BJ319)</f>
        <v>bj308</v>
      </c>
      <c r="BK320" s="897"/>
      <c r="BS320" s="664"/>
      <c r="BV320" s="899" t="str">
        <f>CONCATENATE(IF(COLUMN(BV319)&lt;=26,CHAR(96+COLUMN(BV319)),(CHAR(96+(ROUNDDOWN((COLUMN(BV319)-1)/26,0)))&amp;CHAR(96+IF(MOD(COLUMN(BV319),26)=0,26,MOD(COLUMN(BV319),26))))),BV319)</f>
        <v>bv308</v>
      </c>
      <c r="BW320" s="897"/>
      <c r="CE320" s="664"/>
      <c r="CH320" s="899" t="str">
        <f>CONCATENATE(IF(COLUMN(CH319)&lt;=26,CHAR(96+COLUMN(CH319)),(CHAR(96+(ROUNDDOWN((COLUMN(CH319)-1)/26,0)))&amp;CHAR(96+IF(MOD(COLUMN(CH319),26)=0,26,MOD(COLUMN(CH319),26))))),CH319)</f>
        <v>ch308</v>
      </c>
      <c r="CI320" s="897"/>
      <c r="CQ320" s="664"/>
      <c r="CT320" s="899" t="str">
        <f>CONCATENATE(IF(COLUMN(CT319)&lt;=26,CHAR(96+COLUMN(CT319)),(CHAR(96+(ROUNDDOWN((COLUMN(CT319)-1)/26,0)))&amp;CHAR(96+IF(MOD(COLUMN(CT319),26)=0,26,MOD(COLUMN(CT319),26))))),CT319)</f>
        <v>ct308</v>
      </c>
      <c r="CU320" s="897"/>
      <c r="DC320" s="664"/>
      <c r="DF320" s="899" t="str">
        <f>CONCATENATE(IF(COLUMN(DF319)&lt;=26,CHAR(96+COLUMN(DF319)),(CHAR(96+(ROUNDDOWN((COLUMN(DF319)-1)/26,0)))&amp;CHAR(96+IF(MOD(COLUMN(DF319),26)=0,26,MOD(COLUMN(DF319),26))))),DF319)</f>
        <v>df308</v>
      </c>
      <c r="DG320" s="897"/>
      <c r="DO320" s="664"/>
    </row>
    <row r="321" spans="2:119" hidden="1" x14ac:dyDescent="0.25">
      <c r="B321" s="899" t="str">
        <f>CONCATENATE(CHAR(64+COLUMN(C319)),B319)</f>
        <v>C308</v>
      </c>
      <c r="C321" s="897"/>
      <c r="K321" s="664"/>
      <c r="N321" s="899" t="str">
        <f>CONCATENATE(CHAR(64+COLUMN(O319)),N319)</f>
        <v>O308</v>
      </c>
      <c r="O321" s="897"/>
      <c r="U321" s="663"/>
      <c r="W321" s="664"/>
      <c r="Z321" s="899" t="str">
        <f>CONCATENATE(IF(COLUMN(AA319)&lt;=26,CHAR(96+COLUMN(AA319)),(CHAR(96+(ROUNDDOWN((COLUMN(AA319)-1)/26,0)))&amp;CHAR(96+IF(MOD(COLUMN(AA319),26)=0,26,MOD(COLUMN(AA319),26))))),Z319)</f>
        <v>aa308</v>
      </c>
      <c r="AA321" s="897"/>
      <c r="AB321" s="663"/>
      <c r="AC321" s="663"/>
      <c r="AD321" s="663"/>
      <c r="AE321" s="663"/>
      <c r="AF321" s="663"/>
      <c r="AG321" s="663"/>
      <c r="AH321" s="663"/>
      <c r="AI321" s="664"/>
      <c r="AJ321" s="663" t="str">
        <f>IF(COLUMN(AJ320)&lt;=26,CHAR(96+COLUMN(AJ320)),(CHAR(96+(ROUNDDOWN((COLUMN(AJ320)-1)/26,0)))&amp;CHAR(96+IF(MOD(COLUMN(AJ320),26)=0,26,MOD(COLUMN(AJ320),26)))))</f>
        <v>aj</v>
      </c>
      <c r="AL321" s="899" t="str">
        <f>CONCATENATE(IF(COLUMN(AM319)&lt;=26,CHAR(96+COLUMN(AM319)),(CHAR(96+(ROUNDDOWN((COLUMN(AM319)-1)/26,0)))&amp;CHAR(96+IF(MOD(COLUMN(AM319),26)=0,26,MOD(COLUMN(AM319),26))))),AL319)</f>
        <v>am308</v>
      </c>
      <c r="AM321" s="897"/>
      <c r="AN321" s="663"/>
      <c r="AU321" s="664"/>
      <c r="AX321" s="899" t="str">
        <f>CONCATENATE(IF(COLUMN(AY319)&lt;=26,CHAR(96+COLUMN(AY319)),(CHAR(96+(ROUNDDOWN((COLUMN(AY319)-1)/26,0)))&amp;CHAR(96+IF(MOD(COLUMN(AY319),26)=0,26,MOD(COLUMN(AY319),26))))),AX319)</f>
        <v>ay308</v>
      </c>
      <c r="AY321" s="897"/>
      <c r="BG321" s="664"/>
      <c r="BJ321" s="899" t="str">
        <f>CONCATENATE(IF(COLUMN(BK319)&lt;=26,CHAR(96+COLUMN(BK319)),(CHAR(96+(ROUNDDOWN((COLUMN(BK319)-1)/26,0)))&amp;CHAR(96+IF(MOD(COLUMN(BK319),26)=0,26,MOD(COLUMN(BK319),26))))),BJ319)</f>
        <v>bk308</v>
      </c>
      <c r="BK321" s="897"/>
      <c r="BS321" s="664"/>
      <c r="BV321" s="899" t="str">
        <f>CONCATENATE(IF(COLUMN(BW319)&lt;=26,CHAR(96+COLUMN(BW319)),(CHAR(96+(ROUNDDOWN((COLUMN(BW319)-1)/26,0)))&amp;CHAR(96+IF(MOD(COLUMN(BW319),26)=0,26,MOD(COLUMN(BW319),26))))),BV319)</f>
        <v>bw308</v>
      </c>
      <c r="BW321" s="897"/>
      <c r="CE321" s="664"/>
      <c r="CH321" s="899" t="str">
        <f>CONCATENATE(IF(COLUMN(CI319)&lt;=26,CHAR(96+COLUMN(CI319)),(CHAR(96+(ROUNDDOWN((COLUMN(CI319)-1)/26,0)))&amp;CHAR(96+IF(MOD(COLUMN(CI319),26)=0,26,MOD(COLUMN(CI319),26))))),CH319)</f>
        <v>ci308</v>
      </c>
      <c r="CI321" s="897"/>
      <c r="CQ321" s="664"/>
      <c r="CT321" s="899" t="str">
        <f>CONCATENATE(IF(COLUMN(CU319)&lt;=26,CHAR(96+COLUMN(CU319)),(CHAR(96+(ROUNDDOWN((COLUMN(CU319)-1)/26,0)))&amp;CHAR(96+IF(MOD(COLUMN(CU319),26)=0,26,MOD(COLUMN(CU319),26))))),CT319)</f>
        <v>cu308</v>
      </c>
      <c r="CU321" s="897"/>
      <c r="DC321" s="664"/>
      <c r="DF321" s="899" t="str">
        <f>CONCATENATE(IF(COLUMN(DG319)&lt;=26,CHAR(96+COLUMN(DG319)),(CHAR(96+(ROUNDDOWN((COLUMN(DG319)-1)/26,0)))&amp;CHAR(96+IF(MOD(COLUMN(DG319),26)=0,26,MOD(COLUMN(DG319),26))))),DF319)</f>
        <v>dg308</v>
      </c>
      <c r="DG321" s="897"/>
      <c r="DO321" s="664"/>
    </row>
    <row r="322" spans="2:119" hidden="1" x14ac:dyDescent="0.25">
      <c r="B322" s="899"/>
      <c r="C322" s="897"/>
      <c r="K322" s="664"/>
      <c r="N322" s="899"/>
      <c r="O322" s="897"/>
      <c r="U322" s="663"/>
      <c r="W322" s="664"/>
      <c r="Z322" s="899"/>
      <c r="AA322" s="897"/>
      <c r="AB322" s="663"/>
      <c r="AC322" s="663"/>
      <c r="AD322" s="663"/>
      <c r="AE322" s="663"/>
      <c r="AF322" s="663"/>
      <c r="AG322" s="663"/>
      <c r="AH322" s="663"/>
      <c r="AI322" s="664"/>
      <c r="AL322" s="899"/>
      <c r="AM322" s="897"/>
      <c r="AN322" s="663"/>
      <c r="AU322" s="664"/>
      <c r="AX322" s="899"/>
      <c r="AY322" s="897"/>
      <c r="BG322" s="664"/>
      <c r="BJ322" s="899"/>
      <c r="BK322" s="897"/>
      <c r="BS322" s="664"/>
      <c r="BV322" s="899"/>
      <c r="BW322" s="897"/>
      <c r="CE322" s="664"/>
      <c r="CH322" s="899"/>
      <c r="CI322" s="897"/>
      <c r="CQ322" s="664"/>
      <c r="CT322" s="899"/>
      <c r="CU322" s="897"/>
      <c r="DC322" s="664"/>
      <c r="DF322" s="899"/>
      <c r="DG322" s="897"/>
      <c r="DO322" s="664"/>
    </row>
    <row r="323" spans="2:119" hidden="1" x14ac:dyDescent="0.25">
      <c r="B323" s="900">
        <f>B308</f>
        <v>39113</v>
      </c>
      <c r="C323" s="897">
        <f>C308</f>
        <v>-1000000</v>
      </c>
      <c r="K323" s="664"/>
      <c r="N323" s="900">
        <f>N308</f>
        <v>39113</v>
      </c>
      <c r="O323" s="897">
        <f>O308</f>
        <v>-1000000</v>
      </c>
      <c r="U323" s="663"/>
      <c r="W323" s="664"/>
      <c r="Z323" s="900">
        <f>Z308</f>
        <v>39113</v>
      </c>
      <c r="AA323" s="897">
        <f>AA308</f>
        <v>-1000000</v>
      </c>
      <c r="AB323" s="663"/>
      <c r="AC323" s="663"/>
      <c r="AD323" s="663"/>
      <c r="AE323" s="663"/>
      <c r="AF323" s="663"/>
      <c r="AG323" s="663"/>
      <c r="AH323" s="663"/>
      <c r="AI323" s="664"/>
      <c r="AL323" s="900">
        <f>AL308</f>
        <v>39113</v>
      </c>
      <c r="AM323" s="897">
        <f>AM308</f>
        <v>-1000000</v>
      </c>
      <c r="AN323" s="663"/>
      <c r="AU323" s="664"/>
      <c r="AX323" s="900">
        <f>AX308</f>
        <v>39113</v>
      </c>
      <c r="AY323" s="897">
        <f>AY308</f>
        <v>-1000000</v>
      </c>
      <c r="BG323" s="664"/>
      <c r="BJ323" s="900">
        <f>BJ308</f>
        <v>39113</v>
      </c>
      <c r="BK323" s="897">
        <f>BK308</f>
        <v>-1000000</v>
      </c>
      <c r="BS323" s="664"/>
      <c r="BV323" s="900">
        <f>BV308</f>
        <v>39113</v>
      </c>
      <c r="BW323" s="897">
        <f>BW308</f>
        <v>-1000000</v>
      </c>
      <c r="CE323" s="664"/>
      <c r="CH323" s="900">
        <f>CH308</f>
        <v>39113</v>
      </c>
      <c r="CI323" s="897">
        <f>CI308</f>
        <v>-1000000</v>
      </c>
      <c r="CQ323" s="664"/>
      <c r="CT323" s="900">
        <f>CT308</f>
        <v>39113</v>
      </c>
      <c r="CU323" s="897">
        <f>CU308</f>
        <v>-1000000</v>
      </c>
      <c r="DC323" s="664"/>
      <c r="DF323" s="900">
        <f>DF308</f>
        <v>39113</v>
      </c>
      <c r="DG323" s="897">
        <f>DG308</f>
        <v>-1000000</v>
      </c>
      <c r="DO323" s="664"/>
    </row>
    <row r="324" spans="2:119" hidden="1" x14ac:dyDescent="0.25">
      <c r="B324" s="900">
        <f t="shared" ref="B324:C324" si="433">B309</f>
        <v>39478</v>
      </c>
      <c r="C324" s="897">
        <f t="shared" si="433"/>
        <v>-2000000</v>
      </c>
      <c r="K324" s="664"/>
      <c r="N324" s="900">
        <f t="shared" ref="N324:O324" si="434">N309</f>
        <v>39478</v>
      </c>
      <c r="O324" s="897">
        <f t="shared" si="434"/>
        <v>-2000000</v>
      </c>
      <c r="U324" s="663"/>
      <c r="W324" s="664"/>
      <c r="Z324" s="900">
        <f t="shared" ref="Z324:AA324" si="435">Z309</f>
        <v>39478</v>
      </c>
      <c r="AA324" s="897">
        <f t="shared" si="435"/>
        <v>-2000000</v>
      </c>
      <c r="AB324" s="663"/>
      <c r="AC324" s="663"/>
      <c r="AD324" s="663"/>
      <c r="AE324" s="663"/>
      <c r="AF324" s="663"/>
      <c r="AG324" s="663"/>
      <c r="AH324" s="663"/>
      <c r="AI324" s="664"/>
      <c r="AL324" s="900">
        <f t="shared" ref="AL324:AM324" si="436">AL309</f>
        <v>39478</v>
      </c>
      <c r="AM324" s="897">
        <f t="shared" si="436"/>
        <v>-2000000</v>
      </c>
      <c r="AN324" s="663"/>
      <c r="AU324" s="664"/>
      <c r="AX324" s="900">
        <f t="shared" ref="AX324:AY324" si="437">AX309</f>
        <v>39478</v>
      </c>
      <c r="AY324" s="897">
        <f t="shared" si="437"/>
        <v>-2000000</v>
      </c>
      <c r="BG324" s="664"/>
      <c r="BJ324" s="900">
        <f t="shared" ref="BJ324:BK324" si="438">BJ309</f>
        <v>39478</v>
      </c>
      <c r="BK324" s="897">
        <f t="shared" si="438"/>
        <v>-2000000</v>
      </c>
      <c r="BS324" s="664"/>
      <c r="BV324" s="900">
        <f t="shared" ref="BV324:BW324" si="439">BV309</f>
        <v>39478</v>
      </c>
      <c r="BW324" s="897">
        <f t="shared" si="439"/>
        <v>-2000000</v>
      </c>
      <c r="CE324" s="664"/>
      <c r="CH324" s="900">
        <f t="shared" ref="CH324:CI324" si="440">CH309</f>
        <v>39478</v>
      </c>
      <c r="CI324" s="897">
        <f t="shared" si="440"/>
        <v>-2000000</v>
      </c>
      <c r="CQ324" s="664"/>
      <c r="CT324" s="900">
        <f t="shared" ref="CT324:CU324" si="441">CT309</f>
        <v>39478</v>
      </c>
      <c r="CU324" s="897">
        <f t="shared" si="441"/>
        <v>-2000000</v>
      </c>
      <c r="DC324" s="664"/>
      <c r="DF324" s="900">
        <f t="shared" ref="DF324:DG324" si="442">DF309</f>
        <v>39478</v>
      </c>
      <c r="DG324" s="897">
        <f t="shared" si="442"/>
        <v>-2000000</v>
      </c>
      <c r="DO324" s="664"/>
    </row>
    <row r="325" spans="2:119" hidden="1" x14ac:dyDescent="0.25">
      <c r="B325" s="900">
        <f t="shared" ref="B325:C325" si="443">B310</f>
        <v>39843</v>
      </c>
      <c r="C325" s="897">
        <f t="shared" si="443"/>
        <v>0</v>
      </c>
      <c r="K325" s="664"/>
      <c r="N325" s="900">
        <f t="shared" ref="N325:O325" si="444">N310</f>
        <v>39843</v>
      </c>
      <c r="O325" s="897">
        <f t="shared" si="444"/>
        <v>0</v>
      </c>
      <c r="U325" s="663"/>
      <c r="W325" s="664"/>
      <c r="Z325" s="900">
        <f t="shared" ref="Z325:AA325" si="445">Z310</f>
        <v>39843</v>
      </c>
      <c r="AA325" s="897">
        <f t="shared" si="445"/>
        <v>0</v>
      </c>
      <c r="AB325" s="663"/>
      <c r="AC325" s="663"/>
      <c r="AD325" s="663"/>
      <c r="AE325" s="663"/>
      <c r="AF325" s="663"/>
      <c r="AG325" s="663"/>
      <c r="AH325" s="663"/>
      <c r="AI325" s="664"/>
      <c r="AL325" s="900">
        <f t="shared" ref="AL325:AM325" si="446">AL310</f>
        <v>39843</v>
      </c>
      <c r="AM325" s="897">
        <f t="shared" si="446"/>
        <v>0</v>
      </c>
      <c r="AN325" s="663"/>
      <c r="AU325" s="664"/>
      <c r="AX325" s="900">
        <f t="shared" ref="AX325:AY325" si="447">AX310</f>
        <v>39843</v>
      </c>
      <c r="AY325" s="897">
        <f t="shared" si="447"/>
        <v>0</v>
      </c>
      <c r="BG325" s="664"/>
      <c r="BJ325" s="900">
        <f t="shared" ref="BJ325:BK325" si="448">BJ310</f>
        <v>39843</v>
      </c>
      <c r="BK325" s="897">
        <f t="shared" si="448"/>
        <v>0</v>
      </c>
      <c r="BS325" s="664"/>
      <c r="BV325" s="900">
        <f t="shared" ref="BV325:BW325" si="449">BV310</f>
        <v>39843</v>
      </c>
      <c r="BW325" s="897">
        <f t="shared" si="449"/>
        <v>0</v>
      </c>
      <c r="CE325" s="664"/>
      <c r="CH325" s="900">
        <f t="shared" ref="CH325:CI325" si="450">CH310</f>
        <v>39843</v>
      </c>
      <c r="CI325" s="897">
        <f t="shared" si="450"/>
        <v>0</v>
      </c>
      <c r="CQ325" s="664"/>
      <c r="CT325" s="900">
        <f t="shared" ref="CT325:CU325" si="451">CT310</f>
        <v>39843</v>
      </c>
      <c r="CU325" s="897">
        <f t="shared" si="451"/>
        <v>0</v>
      </c>
      <c r="DC325" s="664"/>
      <c r="DF325" s="900">
        <f t="shared" ref="DF325:DG325" si="452">DF310</f>
        <v>39843</v>
      </c>
      <c r="DG325" s="897">
        <f t="shared" si="452"/>
        <v>0</v>
      </c>
      <c r="DO325" s="664"/>
    </row>
    <row r="326" spans="2:119" hidden="1" x14ac:dyDescent="0.25">
      <c r="B326" s="900">
        <f t="shared" ref="B326:C326" si="453">B311</f>
        <v>39843</v>
      </c>
      <c r="C326" s="897">
        <f t="shared" si="453"/>
        <v>0</v>
      </c>
      <c r="K326" s="664"/>
      <c r="N326" s="900">
        <f t="shared" ref="N326:O326" si="454">N311</f>
        <v>39843</v>
      </c>
      <c r="O326" s="897">
        <f t="shared" si="454"/>
        <v>0</v>
      </c>
      <c r="U326" s="663"/>
      <c r="W326" s="664"/>
      <c r="Z326" s="900">
        <f t="shared" ref="Z326:AA326" si="455">Z311</f>
        <v>39843</v>
      </c>
      <c r="AA326" s="897">
        <f t="shared" si="455"/>
        <v>0</v>
      </c>
      <c r="AB326" s="663"/>
      <c r="AC326" s="663"/>
      <c r="AD326" s="663"/>
      <c r="AE326" s="663"/>
      <c r="AF326" s="663"/>
      <c r="AG326" s="663"/>
      <c r="AH326" s="663"/>
      <c r="AI326" s="664"/>
      <c r="AL326" s="900">
        <f t="shared" ref="AL326:AM326" si="456">AL311</f>
        <v>39843</v>
      </c>
      <c r="AM326" s="897">
        <f t="shared" si="456"/>
        <v>0</v>
      </c>
      <c r="AN326" s="663"/>
      <c r="AU326" s="664"/>
      <c r="AX326" s="900">
        <f t="shared" ref="AX326:AY326" si="457">AX311</f>
        <v>39843</v>
      </c>
      <c r="AY326" s="897">
        <f t="shared" si="457"/>
        <v>0</v>
      </c>
      <c r="BG326" s="664"/>
      <c r="BJ326" s="900">
        <f t="shared" ref="BJ326:BK326" si="458">BJ311</f>
        <v>39843</v>
      </c>
      <c r="BK326" s="897">
        <f t="shared" si="458"/>
        <v>0</v>
      </c>
      <c r="BS326" s="664"/>
      <c r="BV326" s="900">
        <f t="shared" ref="BV326:BW326" si="459">BV311</f>
        <v>39843</v>
      </c>
      <c r="BW326" s="897">
        <f t="shared" si="459"/>
        <v>0</v>
      </c>
      <c r="CE326" s="664"/>
      <c r="CH326" s="900">
        <f t="shared" ref="CH326:CI326" si="460">CH311</f>
        <v>39843</v>
      </c>
      <c r="CI326" s="897">
        <f t="shared" si="460"/>
        <v>0</v>
      </c>
      <c r="CQ326" s="664"/>
      <c r="CT326" s="900">
        <f t="shared" ref="CT326:CU326" si="461">CT311</f>
        <v>39843</v>
      </c>
      <c r="CU326" s="897">
        <f t="shared" si="461"/>
        <v>0</v>
      </c>
      <c r="DC326" s="664"/>
      <c r="DF326" s="900">
        <f t="shared" ref="DF326:DG326" si="462">DF311</f>
        <v>39843</v>
      </c>
      <c r="DG326" s="897">
        <f t="shared" si="462"/>
        <v>0</v>
      </c>
      <c r="DO326" s="664"/>
    </row>
    <row r="327" spans="2:119" hidden="1" x14ac:dyDescent="0.25">
      <c r="B327" s="900">
        <f t="shared" ref="B327:C327" si="463">B312</f>
        <v>39843</v>
      </c>
      <c r="C327" s="897">
        <f t="shared" si="463"/>
        <v>0</v>
      </c>
      <c r="K327" s="664"/>
      <c r="N327" s="900">
        <f t="shared" ref="N327:O327" si="464">N312</f>
        <v>39843</v>
      </c>
      <c r="O327" s="897">
        <f t="shared" si="464"/>
        <v>0</v>
      </c>
      <c r="U327" s="663"/>
      <c r="W327" s="664"/>
      <c r="Z327" s="900">
        <f t="shared" ref="Z327:AA327" si="465">Z312</f>
        <v>39843</v>
      </c>
      <c r="AA327" s="897">
        <f t="shared" si="465"/>
        <v>0</v>
      </c>
      <c r="AB327" s="663"/>
      <c r="AC327" s="663"/>
      <c r="AD327" s="663"/>
      <c r="AE327" s="663"/>
      <c r="AF327" s="663"/>
      <c r="AG327" s="663"/>
      <c r="AH327" s="663"/>
      <c r="AI327" s="664"/>
      <c r="AL327" s="900">
        <f t="shared" ref="AL327:AM327" si="466">AL312</f>
        <v>39843</v>
      </c>
      <c r="AM327" s="897">
        <f t="shared" si="466"/>
        <v>0</v>
      </c>
      <c r="AN327" s="663"/>
      <c r="AU327" s="664"/>
      <c r="AX327" s="900">
        <f t="shared" ref="AX327:AY327" si="467">AX312</f>
        <v>39843</v>
      </c>
      <c r="AY327" s="897">
        <f t="shared" si="467"/>
        <v>0</v>
      </c>
      <c r="BG327" s="664"/>
      <c r="BJ327" s="900">
        <f t="shared" ref="BJ327:BK327" si="468">BJ312</f>
        <v>39843</v>
      </c>
      <c r="BK327" s="897">
        <f t="shared" si="468"/>
        <v>0</v>
      </c>
      <c r="BS327" s="664"/>
      <c r="BV327" s="900">
        <f t="shared" ref="BV327:BW327" si="469">BV312</f>
        <v>39843</v>
      </c>
      <c r="BW327" s="897">
        <f t="shared" si="469"/>
        <v>0</v>
      </c>
      <c r="CE327" s="664"/>
      <c r="CH327" s="900">
        <f t="shared" ref="CH327:CI327" si="470">CH312</f>
        <v>39843</v>
      </c>
      <c r="CI327" s="897">
        <f t="shared" si="470"/>
        <v>0</v>
      </c>
      <c r="CQ327" s="664"/>
      <c r="CT327" s="900">
        <f t="shared" ref="CT327:CU327" si="471">CT312</f>
        <v>39843</v>
      </c>
      <c r="CU327" s="897">
        <f t="shared" si="471"/>
        <v>0</v>
      </c>
      <c r="DC327" s="664"/>
      <c r="DF327" s="900">
        <f t="shared" ref="DF327:DG327" si="472">DF312</f>
        <v>39843</v>
      </c>
      <c r="DG327" s="897">
        <f t="shared" si="472"/>
        <v>0</v>
      </c>
      <c r="DO327" s="664"/>
    </row>
    <row r="328" spans="2:119" hidden="1" x14ac:dyDescent="0.25">
      <c r="B328" s="900">
        <f t="shared" ref="B328:C328" si="473">B313</f>
        <v>39843</v>
      </c>
      <c r="C328" s="897">
        <f t="shared" si="473"/>
        <v>0</v>
      </c>
      <c r="K328" s="664"/>
      <c r="N328" s="900">
        <f t="shared" ref="N328:O328" si="474">N313</f>
        <v>39843</v>
      </c>
      <c r="O328" s="897">
        <f t="shared" si="474"/>
        <v>0</v>
      </c>
      <c r="U328" s="663"/>
      <c r="W328" s="664"/>
      <c r="Z328" s="900">
        <f t="shared" ref="Z328:AA328" si="475">Z313</f>
        <v>39843</v>
      </c>
      <c r="AA328" s="897">
        <f t="shared" si="475"/>
        <v>0</v>
      </c>
      <c r="AB328" s="663"/>
      <c r="AC328" s="663"/>
      <c r="AD328" s="663"/>
      <c r="AE328" s="663"/>
      <c r="AF328" s="663"/>
      <c r="AG328" s="663"/>
      <c r="AH328" s="663"/>
      <c r="AI328" s="664"/>
      <c r="AL328" s="900">
        <f t="shared" ref="AL328:AM328" si="476">AL313</f>
        <v>39843</v>
      </c>
      <c r="AM328" s="897">
        <f t="shared" si="476"/>
        <v>0</v>
      </c>
      <c r="AN328" s="663"/>
      <c r="AU328" s="664"/>
      <c r="AX328" s="900">
        <f t="shared" ref="AX328:AY328" si="477">AX313</f>
        <v>39843</v>
      </c>
      <c r="AY328" s="897">
        <f t="shared" si="477"/>
        <v>0</v>
      </c>
      <c r="BG328" s="664"/>
      <c r="BJ328" s="900">
        <f t="shared" ref="BJ328:BK328" si="478">BJ313</f>
        <v>39843</v>
      </c>
      <c r="BK328" s="897">
        <f t="shared" si="478"/>
        <v>0</v>
      </c>
      <c r="BS328" s="664"/>
      <c r="BV328" s="900">
        <f t="shared" ref="BV328:BW328" si="479">BV313</f>
        <v>39843</v>
      </c>
      <c r="BW328" s="897">
        <f t="shared" si="479"/>
        <v>0</v>
      </c>
      <c r="CE328" s="664"/>
      <c r="CH328" s="900">
        <f t="shared" ref="CH328:CI328" si="480">CH313</f>
        <v>39843</v>
      </c>
      <c r="CI328" s="897">
        <f t="shared" si="480"/>
        <v>0</v>
      </c>
      <c r="CQ328" s="664"/>
      <c r="CT328" s="900">
        <f t="shared" ref="CT328:CU328" si="481">CT313</f>
        <v>39843</v>
      </c>
      <c r="CU328" s="897">
        <f t="shared" si="481"/>
        <v>0</v>
      </c>
      <c r="DC328" s="664"/>
      <c r="DF328" s="900">
        <f t="shared" ref="DF328:DG328" si="482">DF313</f>
        <v>39843</v>
      </c>
      <c r="DG328" s="897">
        <f t="shared" si="482"/>
        <v>0</v>
      </c>
      <c r="DO328" s="664"/>
    </row>
    <row r="329" spans="2:119" hidden="1" x14ac:dyDescent="0.25">
      <c r="B329" s="900">
        <f t="shared" ref="B329:C329" si="483">B314</f>
        <v>39843</v>
      </c>
      <c r="C329" s="897">
        <f t="shared" si="483"/>
        <v>0</v>
      </c>
      <c r="K329" s="664"/>
      <c r="N329" s="900">
        <f t="shared" ref="N329:O329" si="484">N314</f>
        <v>39843</v>
      </c>
      <c r="O329" s="897">
        <f t="shared" si="484"/>
        <v>0</v>
      </c>
      <c r="U329" s="663"/>
      <c r="W329" s="664"/>
      <c r="Z329" s="900">
        <f t="shared" ref="Z329:AA329" si="485">Z314</f>
        <v>39843</v>
      </c>
      <c r="AA329" s="897">
        <f t="shared" si="485"/>
        <v>0</v>
      </c>
      <c r="AB329" s="663"/>
      <c r="AC329" s="663"/>
      <c r="AD329" s="663"/>
      <c r="AE329" s="663"/>
      <c r="AF329" s="663"/>
      <c r="AG329" s="663"/>
      <c r="AH329" s="663"/>
      <c r="AI329" s="664"/>
      <c r="AL329" s="900">
        <f t="shared" ref="AL329:AM329" si="486">AL314</f>
        <v>39843</v>
      </c>
      <c r="AM329" s="897">
        <f t="shared" si="486"/>
        <v>0</v>
      </c>
      <c r="AN329" s="663"/>
      <c r="AU329" s="664"/>
      <c r="AX329" s="900">
        <f t="shared" ref="AX329:AY329" si="487">AX314</f>
        <v>39843</v>
      </c>
      <c r="AY329" s="897">
        <f t="shared" si="487"/>
        <v>0</v>
      </c>
      <c r="BG329" s="664"/>
      <c r="BJ329" s="900">
        <f t="shared" ref="BJ329:BK329" si="488">BJ314</f>
        <v>39843</v>
      </c>
      <c r="BK329" s="897">
        <f t="shared" si="488"/>
        <v>0</v>
      </c>
      <c r="BS329" s="664"/>
      <c r="BV329" s="900">
        <f t="shared" ref="BV329:BW329" si="489">BV314</f>
        <v>39843</v>
      </c>
      <c r="BW329" s="897">
        <f t="shared" si="489"/>
        <v>0</v>
      </c>
      <c r="CE329" s="664"/>
      <c r="CH329" s="900">
        <f t="shared" ref="CH329:CI329" si="490">CH314</f>
        <v>39843</v>
      </c>
      <c r="CI329" s="897">
        <f t="shared" si="490"/>
        <v>0</v>
      </c>
      <c r="CQ329" s="664"/>
      <c r="CT329" s="900">
        <f t="shared" ref="CT329:CU329" si="491">CT314</f>
        <v>39843</v>
      </c>
      <c r="CU329" s="897">
        <f t="shared" si="491"/>
        <v>0</v>
      </c>
      <c r="DC329" s="664"/>
      <c r="DF329" s="900">
        <f t="shared" ref="DF329:DG329" si="492">DF314</f>
        <v>39843</v>
      </c>
      <c r="DG329" s="897">
        <f t="shared" si="492"/>
        <v>0</v>
      </c>
      <c r="DO329" s="664"/>
    </row>
    <row r="330" spans="2:119" hidden="1" x14ac:dyDescent="0.25">
      <c r="B330" s="900">
        <f t="shared" ref="B330:C330" si="493">B315</f>
        <v>39843</v>
      </c>
      <c r="C330" s="897">
        <f t="shared" si="493"/>
        <v>0</v>
      </c>
      <c r="K330" s="664"/>
      <c r="N330" s="900">
        <f t="shared" ref="N330:O330" si="494">N315</f>
        <v>39843</v>
      </c>
      <c r="O330" s="897">
        <f t="shared" si="494"/>
        <v>0</v>
      </c>
      <c r="U330" s="663"/>
      <c r="W330" s="664"/>
      <c r="Z330" s="900">
        <f t="shared" ref="Z330:AA330" si="495">Z315</f>
        <v>39843</v>
      </c>
      <c r="AA330" s="897">
        <f t="shared" si="495"/>
        <v>0</v>
      </c>
      <c r="AB330" s="663"/>
      <c r="AC330" s="663"/>
      <c r="AD330" s="663"/>
      <c r="AE330" s="663"/>
      <c r="AF330" s="663"/>
      <c r="AG330" s="663"/>
      <c r="AH330" s="663"/>
      <c r="AI330" s="664"/>
      <c r="AL330" s="900">
        <f t="shared" ref="AL330:AM330" si="496">AL315</f>
        <v>39843</v>
      </c>
      <c r="AM330" s="897">
        <f t="shared" si="496"/>
        <v>0</v>
      </c>
      <c r="AN330" s="663"/>
      <c r="AU330" s="664"/>
      <c r="AX330" s="900">
        <f t="shared" ref="AX330:AY330" si="497">AX315</f>
        <v>39843</v>
      </c>
      <c r="AY330" s="897">
        <f t="shared" si="497"/>
        <v>0</v>
      </c>
      <c r="BG330" s="664"/>
      <c r="BJ330" s="900">
        <f t="shared" ref="BJ330:BK330" si="498">BJ315</f>
        <v>39843</v>
      </c>
      <c r="BK330" s="897">
        <f t="shared" si="498"/>
        <v>0</v>
      </c>
      <c r="BS330" s="664"/>
      <c r="BV330" s="900">
        <f t="shared" ref="BV330:BW330" si="499">BV315</f>
        <v>39843</v>
      </c>
      <c r="BW330" s="897">
        <f t="shared" si="499"/>
        <v>0</v>
      </c>
      <c r="CE330" s="664"/>
      <c r="CH330" s="900">
        <f t="shared" ref="CH330:CI330" si="500">CH315</f>
        <v>39843</v>
      </c>
      <c r="CI330" s="897">
        <f t="shared" si="500"/>
        <v>0</v>
      </c>
      <c r="CQ330" s="664"/>
      <c r="CT330" s="900">
        <f t="shared" ref="CT330:CU330" si="501">CT315</f>
        <v>39843</v>
      </c>
      <c r="CU330" s="897">
        <f t="shared" si="501"/>
        <v>0</v>
      </c>
      <c r="DC330" s="664"/>
      <c r="DF330" s="900">
        <f t="shared" ref="DF330:DG330" si="502">DF315</f>
        <v>39843</v>
      </c>
      <c r="DG330" s="897">
        <f t="shared" si="502"/>
        <v>0</v>
      </c>
      <c r="DO330" s="664"/>
    </row>
    <row r="331" spans="2:119" hidden="1" x14ac:dyDescent="0.25">
      <c r="B331" s="900">
        <f t="shared" ref="B331:C331" si="503">B316</f>
        <v>39843</v>
      </c>
      <c r="C331" s="897">
        <f t="shared" si="503"/>
        <v>0</v>
      </c>
      <c r="K331" s="664"/>
      <c r="N331" s="900">
        <f t="shared" ref="N331:O331" si="504">N316</f>
        <v>39843</v>
      </c>
      <c r="O331" s="897">
        <f t="shared" si="504"/>
        <v>0</v>
      </c>
      <c r="U331" s="663"/>
      <c r="W331" s="664"/>
      <c r="Z331" s="900">
        <f t="shared" ref="Z331:AA331" si="505">Z316</f>
        <v>39843</v>
      </c>
      <c r="AA331" s="897">
        <f t="shared" si="505"/>
        <v>0</v>
      </c>
      <c r="AB331" s="663"/>
      <c r="AC331" s="663"/>
      <c r="AD331" s="663"/>
      <c r="AE331" s="663"/>
      <c r="AF331" s="663"/>
      <c r="AG331" s="663"/>
      <c r="AH331" s="663"/>
      <c r="AI331" s="664"/>
      <c r="AL331" s="900">
        <f t="shared" ref="AL331:AM331" si="506">AL316</f>
        <v>39843</v>
      </c>
      <c r="AM331" s="897">
        <f t="shared" si="506"/>
        <v>0</v>
      </c>
      <c r="AN331" s="663"/>
      <c r="AU331" s="664"/>
      <c r="AX331" s="900">
        <f t="shared" ref="AX331:AY331" si="507">AX316</f>
        <v>39843</v>
      </c>
      <c r="AY331" s="897">
        <f t="shared" si="507"/>
        <v>0</v>
      </c>
      <c r="BG331" s="664"/>
      <c r="BJ331" s="900">
        <f t="shared" ref="BJ331:BK331" si="508">BJ316</f>
        <v>39843</v>
      </c>
      <c r="BK331" s="897">
        <f t="shared" si="508"/>
        <v>0</v>
      </c>
      <c r="BS331" s="664"/>
      <c r="BV331" s="900">
        <f t="shared" ref="BV331:BW331" si="509">BV316</f>
        <v>39843</v>
      </c>
      <c r="BW331" s="897">
        <f t="shared" si="509"/>
        <v>0</v>
      </c>
      <c r="CE331" s="664"/>
      <c r="CH331" s="900">
        <f t="shared" ref="CH331:CI331" si="510">CH316</f>
        <v>39843</v>
      </c>
      <c r="CI331" s="897">
        <f t="shared" si="510"/>
        <v>0</v>
      </c>
      <c r="CQ331" s="664"/>
      <c r="CT331" s="900">
        <f t="shared" ref="CT331:CU331" si="511">CT316</f>
        <v>39843</v>
      </c>
      <c r="CU331" s="897">
        <f t="shared" si="511"/>
        <v>0</v>
      </c>
      <c r="DC331" s="664"/>
      <c r="DF331" s="900">
        <f t="shared" ref="DF331:DG331" si="512">DF316</f>
        <v>39843</v>
      </c>
      <c r="DG331" s="897">
        <f t="shared" si="512"/>
        <v>0</v>
      </c>
      <c r="DO331" s="664"/>
    </row>
    <row r="332" spans="2:119" hidden="1" x14ac:dyDescent="0.25">
      <c r="B332" s="900">
        <f t="shared" ref="B332:C332" si="513">B317</f>
        <v>39843</v>
      </c>
      <c r="C332" s="897">
        <f t="shared" si="513"/>
        <v>0</v>
      </c>
      <c r="K332" s="664"/>
      <c r="N332" s="900">
        <f t="shared" ref="N332:O332" si="514">N317</f>
        <v>39843</v>
      </c>
      <c r="O332" s="897">
        <f t="shared" si="514"/>
        <v>0</v>
      </c>
      <c r="U332" s="663"/>
      <c r="W332" s="664"/>
      <c r="Z332" s="900">
        <f t="shared" ref="Z332:AA332" si="515">Z317</f>
        <v>39843</v>
      </c>
      <c r="AA332" s="897">
        <f t="shared" si="515"/>
        <v>0</v>
      </c>
      <c r="AB332" s="663"/>
      <c r="AC332" s="663"/>
      <c r="AD332" s="663"/>
      <c r="AE332" s="663"/>
      <c r="AF332" s="663"/>
      <c r="AG332" s="663"/>
      <c r="AH332" s="663"/>
      <c r="AI332" s="664"/>
      <c r="AL332" s="900">
        <f t="shared" ref="AL332:AM332" si="516">AL317</f>
        <v>39843</v>
      </c>
      <c r="AM332" s="897">
        <f t="shared" si="516"/>
        <v>0</v>
      </c>
      <c r="AN332" s="663"/>
      <c r="AU332" s="664"/>
      <c r="AX332" s="900">
        <f t="shared" ref="AX332:AY332" si="517">AX317</f>
        <v>39843</v>
      </c>
      <c r="AY332" s="897">
        <f t="shared" si="517"/>
        <v>0</v>
      </c>
      <c r="BG332" s="664"/>
      <c r="BJ332" s="900">
        <f t="shared" ref="BJ332:BK332" si="518">BJ317</f>
        <v>39843</v>
      </c>
      <c r="BK332" s="897">
        <f t="shared" si="518"/>
        <v>0</v>
      </c>
      <c r="BS332" s="664"/>
      <c r="BV332" s="900">
        <f t="shared" ref="BV332:BW332" si="519">BV317</f>
        <v>39843</v>
      </c>
      <c r="BW332" s="897">
        <f t="shared" si="519"/>
        <v>0</v>
      </c>
      <c r="CE332" s="664"/>
      <c r="CH332" s="900">
        <f t="shared" ref="CH332:CI332" si="520">CH317</f>
        <v>39843</v>
      </c>
      <c r="CI332" s="897">
        <f t="shared" si="520"/>
        <v>0</v>
      </c>
      <c r="CQ332" s="664"/>
      <c r="CT332" s="900">
        <f t="shared" ref="CT332:CU332" si="521">CT317</f>
        <v>39843</v>
      </c>
      <c r="CU332" s="897">
        <f t="shared" si="521"/>
        <v>0</v>
      </c>
      <c r="DC332" s="664"/>
      <c r="DF332" s="900">
        <f t="shared" ref="DF332:DG332" si="522">DF317</f>
        <v>39843</v>
      </c>
      <c r="DG332" s="897">
        <f t="shared" si="522"/>
        <v>0</v>
      </c>
      <c r="DO332" s="664"/>
    </row>
    <row r="333" spans="2:119" hidden="1" x14ac:dyDescent="0.25">
      <c r="B333" s="896">
        <f>B318+$C$56</f>
        <v>41359</v>
      </c>
      <c r="C333" s="897">
        <f ca="1">C318</f>
        <v>0</v>
      </c>
      <c r="K333" s="664"/>
      <c r="N333" s="896">
        <f>N318+$C$56</f>
        <v>41359</v>
      </c>
      <c r="O333" s="897">
        <f ca="1">O318</f>
        <v>0</v>
      </c>
      <c r="U333" s="663"/>
      <c r="W333" s="664"/>
      <c r="Z333" s="896">
        <f>Z318+$C$56</f>
        <v>41359</v>
      </c>
      <c r="AA333" s="897">
        <f ca="1">AA318</f>
        <v>0</v>
      </c>
      <c r="AB333" s="663"/>
      <c r="AC333" s="663"/>
      <c r="AD333" s="663"/>
      <c r="AE333" s="663"/>
      <c r="AF333" s="663"/>
      <c r="AG333" s="663"/>
      <c r="AH333" s="663"/>
      <c r="AI333" s="664"/>
      <c r="AL333" s="896">
        <f>AL318+$C$56</f>
        <v>41359</v>
      </c>
      <c r="AM333" s="897">
        <f ca="1">AM318</f>
        <v>0</v>
      </c>
      <c r="AN333" s="663"/>
      <c r="AU333" s="664"/>
      <c r="AX333" s="896">
        <f>AX318+$C$56</f>
        <v>41359</v>
      </c>
      <c r="AY333" s="897">
        <f ca="1">AY318</f>
        <v>0</v>
      </c>
      <c r="BG333" s="664"/>
      <c r="BJ333" s="896">
        <f>BJ318+$C$56</f>
        <v>41359</v>
      </c>
      <c r="BK333" s="897">
        <f ca="1">BK318</f>
        <v>0</v>
      </c>
      <c r="BS333" s="664"/>
      <c r="BV333" s="896">
        <f>BV318+$C$56</f>
        <v>41359</v>
      </c>
      <c r="BW333" s="897">
        <f ca="1">BW318</f>
        <v>0</v>
      </c>
      <c r="CE333" s="664"/>
      <c r="CH333" s="896">
        <f>CH318+$C$56</f>
        <v>41359</v>
      </c>
      <c r="CI333" s="897">
        <f ca="1">CI318</f>
        <v>0</v>
      </c>
      <c r="CQ333" s="664"/>
      <c r="CT333" s="896">
        <f>CT318+$C$56</f>
        <v>41359</v>
      </c>
      <c r="CU333" s="897">
        <f ca="1">CU318</f>
        <v>0</v>
      </c>
      <c r="DC333" s="664"/>
      <c r="DF333" s="896">
        <f>DF318+$C$56</f>
        <v>41359</v>
      </c>
      <c r="DG333" s="897">
        <f ca="1">DG318</f>
        <v>0</v>
      </c>
      <c r="DO333" s="664"/>
    </row>
    <row r="334" spans="2:119" hidden="1" x14ac:dyDescent="0.25">
      <c r="B334" s="898">
        <f>IF(C323&lt;&gt;0,ROW(C323),IF(C324&lt;&gt;0,ROW(C324),IF(C325&lt;&gt;0,ROW(C325),IF(C326&lt;&gt;0,ROW(C326),IF(C327&lt;&gt;0,ROW(C327),IF(C328&lt;&gt;0,ROW(C328),IF(C329&lt;&gt;0,ROW(C329),IF(C330&lt;&gt;0,ROW(C330),IF(C331&lt;&gt;0,ROW(C331),IF(C332&lt;&gt;0,ROW(C332)))))))))))</f>
        <v>323</v>
      </c>
      <c r="C334" s="882" t="e">
        <f ca="1">IF(ISERROR(XIRR(INDIRECT(B336):C333,INDIRECT(B335):B333,-20%)),XIRR(INDIRECT(B336):C333,INDIRECT(B335):B333,20%),"N/A")</f>
        <v>#NUM!</v>
      </c>
      <c r="K334" s="664"/>
      <c r="N334" s="898">
        <f>IF(O323&lt;&gt;0,ROW(O323),IF(O324&lt;&gt;0,ROW(O324),IF(O325&lt;&gt;0,ROW(O325),IF(O326&lt;&gt;0,ROW(O326),IF(O327&lt;&gt;0,ROW(O327),IF(O328&lt;&gt;0,ROW(O328),IF(O329&lt;&gt;0,ROW(O329),IF(O330&lt;&gt;0,ROW(O330),IF(O331&lt;&gt;0,ROW(O331),IF(O332&lt;&gt;0,ROW(O332)))))))))))</f>
        <v>323</v>
      </c>
      <c r="O334" s="882" t="e">
        <f ca="1">IF(ISERROR(XIRR(INDIRECT(N336):O333,INDIRECT(N335):N333,-20%)),XIRR(INDIRECT(N336):O333,INDIRECT(N335):N333,20%),"N/A")</f>
        <v>#NUM!</v>
      </c>
      <c r="U334" s="663"/>
      <c r="W334" s="664"/>
      <c r="Z334" s="898">
        <f>IF(AA323&lt;&gt;0,ROW(AA323),IF(AA324&lt;&gt;0,ROW(AA324),IF(AA325&lt;&gt;0,ROW(AA325),IF(AA326&lt;&gt;0,ROW(AA326),IF(AA327&lt;&gt;0,ROW(AA327),IF(AA328&lt;&gt;0,ROW(AA328),IF(AA329&lt;&gt;0,ROW(AA329),IF(AA330&lt;&gt;0,ROW(AA330),IF(AA331&lt;&gt;0,ROW(AA331),IF(AA332&lt;&gt;0,ROW(AA332)))))))))))</f>
        <v>323</v>
      </c>
      <c r="AA334" s="882" t="e">
        <f ca="1">IF(ISERROR(XIRR(INDIRECT(Z336):AA333,INDIRECT(Z335):Z333,-20%)),XIRR(INDIRECT(Z336):AA333,INDIRECT(Z335):Z333,20%),"N/A")</f>
        <v>#NUM!</v>
      </c>
      <c r="AB334" s="663"/>
      <c r="AC334" s="663"/>
      <c r="AD334" s="663"/>
      <c r="AE334" s="663"/>
      <c r="AF334" s="663"/>
      <c r="AG334" s="663"/>
      <c r="AH334" s="663"/>
      <c r="AI334" s="664"/>
      <c r="AL334" s="898">
        <f>IF(AM323&lt;&gt;0,ROW(AM323),IF(AM324&lt;&gt;0,ROW(AM324),IF(AM325&lt;&gt;0,ROW(AM325),IF(AM326&lt;&gt;0,ROW(AM326),IF(AM327&lt;&gt;0,ROW(AM327),IF(AM328&lt;&gt;0,ROW(AM328),IF(AM329&lt;&gt;0,ROW(AM329),IF(AM330&lt;&gt;0,ROW(AM330),IF(AM331&lt;&gt;0,ROW(AM331),IF(AM332&lt;&gt;0,ROW(AM332)))))))))))</f>
        <v>323</v>
      </c>
      <c r="AM334" s="882" t="e">
        <f ca="1">IF(ISERROR(XIRR(INDIRECT(AL336):AM333,INDIRECT(AL335):AL333,-20%)),XIRR(INDIRECT(AL336):AM333,INDIRECT(AL335):AL333,20%),"N/A")</f>
        <v>#NUM!</v>
      </c>
      <c r="AN334" s="663"/>
      <c r="AU334" s="664"/>
      <c r="AX334" s="898">
        <f>IF(AY323&lt;&gt;0,ROW(AY323),IF(AY324&lt;&gt;0,ROW(AY324),IF(AY325&lt;&gt;0,ROW(AY325),IF(AY326&lt;&gt;0,ROW(AY326),IF(AY327&lt;&gt;0,ROW(AY327),IF(AY328&lt;&gt;0,ROW(AY328),IF(AY329&lt;&gt;0,ROW(AY329),IF(AY330&lt;&gt;0,ROW(AY330),IF(AY331&lt;&gt;0,ROW(AY331),IF(AY332&lt;&gt;0,ROW(AY332)))))))))))</f>
        <v>323</v>
      </c>
      <c r="AY334" s="882" t="e">
        <f ca="1">IF(ISERROR(XIRR(INDIRECT(AX336):AY333,INDIRECT(AX335):AX333,-20%)),XIRR(INDIRECT(AX336):AY333,INDIRECT(AX335):AX333,20%),"N/A")</f>
        <v>#NUM!</v>
      </c>
      <c r="BG334" s="664"/>
      <c r="BJ334" s="898">
        <f>IF(BK323&lt;&gt;0,ROW(BK323),IF(BK324&lt;&gt;0,ROW(BK324),IF(BK325&lt;&gt;0,ROW(BK325),IF(BK326&lt;&gt;0,ROW(BK326),IF(BK327&lt;&gt;0,ROW(BK327),IF(BK328&lt;&gt;0,ROW(BK328),IF(BK329&lt;&gt;0,ROW(BK329),IF(BK330&lt;&gt;0,ROW(BK330),IF(BK331&lt;&gt;0,ROW(BK331),IF(BK332&lt;&gt;0,ROW(BK332)))))))))))</f>
        <v>323</v>
      </c>
      <c r="BK334" s="882" t="e">
        <f ca="1">IF(ISERROR(XIRR(INDIRECT(BJ336):BK333,INDIRECT(BJ335):BJ333,-20%)),XIRR(INDIRECT(BJ336):BK333,INDIRECT(BJ335):BJ333,20%),"N/A")</f>
        <v>#NUM!</v>
      </c>
      <c r="BS334" s="664"/>
      <c r="BV334" s="898">
        <f>IF(BW323&lt;&gt;0,ROW(BW323),IF(BW324&lt;&gt;0,ROW(BW324),IF(BW325&lt;&gt;0,ROW(BW325),IF(BW326&lt;&gt;0,ROW(BW326),IF(BW327&lt;&gt;0,ROW(BW327),IF(BW328&lt;&gt;0,ROW(BW328),IF(BW329&lt;&gt;0,ROW(BW329),IF(BW330&lt;&gt;0,ROW(BW330),IF(BW331&lt;&gt;0,ROW(BW331),IF(BW332&lt;&gt;0,ROW(BW332)))))))))))</f>
        <v>323</v>
      </c>
      <c r="BW334" s="882" t="e">
        <f ca="1">IF(ISERROR(XIRR(INDIRECT(BV336):BW333,INDIRECT(BV335):BV333,-20%)),XIRR(INDIRECT(BV336):BW333,INDIRECT(BV335):BV333,20%),"N/A")</f>
        <v>#NUM!</v>
      </c>
      <c r="CE334" s="664"/>
      <c r="CH334" s="898">
        <f>IF(CI323&lt;&gt;0,ROW(CI323),IF(CI324&lt;&gt;0,ROW(CI324),IF(CI325&lt;&gt;0,ROW(CI325),IF(CI326&lt;&gt;0,ROW(CI326),IF(CI327&lt;&gt;0,ROW(CI327),IF(CI328&lt;&gt;0,ROW(CI328),IF(CI329&lt;&gt;0,ROW(CI329),IF(CI330&lt;&gt;0,ROW(CI330),IF(CI331&lt;&gt;0,ROW(CI331),IF(CI332&lt;&gt;0,ROW(CI332)))))))))))</f>
        <v>323</v>
      </c>
      <c r="CI334" s="882" t="e">
        <f ca="1">IF(ISERROR(XIRR(INDIRECT(CH336):CI333,INDIRECT(CH335):CH333,-20%)),XIRR(INDIRECT(CH336):CI333,INDIRECT(CH335):CH333,20%),"N/A")</f>
        <v>#NUM!</v>
      </c>
      <c r="CQ334" s="664"/>
      <c r="CT334" s="898">
        <f>IF(CU323&lt;&gt;0,ROW(CU323),IF(CU324&lt;&gt;0,ROW(CU324),IF(CU325&lt;&gt;0,ROW(CU325),IF(CU326&lt;&gt;0,ROW(CU326),IF(CU327&lt;&gt;0,ROW(CU327),IF(CU328&lt;&gt;0,ROW(CU328),IF(CU329&lt;&gt;0,ROW(CU329),IF(CU330&lt;&gt;0,ROW(CU330),IF(CU331&lt;&gt;0,ROW(CU331),IF(CU332&lt;&gt;0,ROW(CU332)))))))))))</f>
        <v>323</v>
      </c>
      <c r="CU334" s="882" t="e">
        <f ca="1">IF(ISERROR(XIRR(INDIRECT(CT336):CU333,INDIRECT(CT335):CT333,-20%)),XIRR(INDIRECT(CT336):CU333,INDIRECT(CT335):CT333,20%),"N/A")</f>
        <v>#NUM!</v>
      </c>
      <c r="DC334" s="664"/>
      <c r="DF334" s="898">
        <f>IF(DG323&lt;&gt;0,ROW(DG323),IF(DG324&lt;&gt;0,ROW(DG324),IF(DG325&lt;&gt;0,ROW(DG325),IF(DG326&lt;&gt;0,ROW(DG326),IF(DG327&lt;&gt;0,ROW(DG327),IF(DG328&lt;&gt;0,ROW(DG328),IF(DG329&lt;&gt;0,ROW(DG329),IF(DG330&lt;&gt;0,ROW(DG330),IF(DG331&lt;&gt;0,ROW(DG331),IF(DG332&lt;&gt;0,ROW(DG332)))))))))))</f>
        <v>323</v>
      </c>
      <c r="DG334" s="882" t="e">
        <f ca="1">IF(ISERROR(XIRR(INDIRECT(DF336):DG333,INDIRECT(DF335):DF333,-20%)),XIRR(INDIRECT(DF336):DG333,INDIRECT(DF335):DF333,20%),"N/A")</f>
        <v>#NUM!</v>
      </c>
      <c r="DO334" s="664"/>
    </row>
    <row r="335" spans="2:119" hidden="1" x14ac:dyDescent="0.25">
      <c r="B335" s="899" t="str">
        <f>CONCATENATE(CHAR(64+COLUMN(B334)),B334)</f>
        <v>B323</v>
      </c>
      <c r="C335" s="897"/>
      <c r="K335" s="664"/>
      <c r="N335" s="899" t="str">
        <f>CONCATENATE(CHAR(64+COLUMN(N334)),N334)</f>
        <v>N323</v>
      </c>
      <c r="O335" s="897"/>
      <c r="U335" s="663"/>
      <c r="W335" s="664"/>
      <c r="Z335" s="899" t="str">
        <f>CONCATENATE(IF(COLUMN(Z334)&lt;=26,CHAR(96+COLUMN(Z334)),(CHAR(96+(ROUNDDOWN((COLUMN(Z334)-1)/26,0)))&amp;CHAR(96+IF(MOD(COLUMN(Z334),26)=0,26,MOD(COLUMN(Z334),26))))),Z334)</f>
        <v>z323</v>
      </c>
      <c r="AA335" s="897"/>
      <c r="AB335" s="663"/>
      <c r="AC335" s="663"/>
      <c r="AD335" s="663"/>
      <c r="AE335" s="663"/>
      <c r="AF335" s="663"/>
      <c r="AG335" s="663"/>
      <c r="AH335" s="663"/>
      <c r="AI335" s="664"/>
      <c r="AL335" s="899" t="str">
        <f>CONCATENATE(IF(COLUMN(AL334)&lt;=26,CHAR(96+COLUMN(AL334)),(CHAR(96+(ROUNDDOWN((COLUMN(AL334)-1)/26,0)))&amp;CHAR(96+IF(MOD(COLUMN(AL334),26)=0,26,MOD(COLUMN(AL334),26))))),AL334)</f>
        <v>al323</v>
      </c>
      <c r="AM335" s="897"/>
      <c r="AN335" s="663"/>
      <c r="AU335" s="664"/>
      <c r="AX335" s="899" t="str">
        <f>CONCATENATE(IF(COLUMN(AX334)&lt;=26,CHAR(96+COLUMN(AX334)),(CHAR(96+(ROUNDDOWN((COLUMN(AX334)-1)/26,0)))&amp;CHAR(96+IF(MOD(COLUMN(AX334),26)=0,26,MOD(COLUMN(AX334),26))))),AX334)</f>
        <v>ax323</v>
      </c>
      <c r="AY335" s="897"/>
      <c r="BG335" s="664"/>
      <c r="BJ335" s="899" t="str">
        <f>CONCATENATE(IF(COLUMN(BJ334)&lt;=26,CHAR(96+COLUMN(BJ334)),(CHAR(96+(ROUNDDOWN((COLUMN(BJ334)-1)/26,0)))&amp;CHAR(96+IF(MOD(COLUMN(BJ334),26)=0,26,MOD(COLUMN(BJ334),26))))),BJ334)</f>
        <v>bj323</v>
      </c>
      <c r="BK335" s="897"/>
      <c r="BS335" s="664"/>
      <c r="BV335" s="899" t="str">
        <f>CONCATENATE(IF(COLUMN(BV334)&lt;=26,CHAR(96+COLUMN(BV334)),(CHAR(96+(ROUNDDOWN((COLUMN(BV334)-1)/26,0)))&amp;CHAR(96+IF(MOD(COLUMN(BV334),26)=0,26,MOD(COLUMN(BV334),26))))),BV334)</f>
        <v>bv323</v>
      </c>
      <c r="BW335" s="897"/>
      <c r="CE335" s="664"/>
      <c r="CH335" s="899" t="str">
        <f>CONCATENATE(IF(COLUMN(CH334)&lt;=26,CHAR(96+COLUMN(CH334)),(CHAR(96+(ROUNDDOWN((COLUMN(CH334)-1)/26,0)))&amp;CHAR(96+IF(MOD(COLUMN(CH334),26)=0,26,MOD(COLUMN(CH334),26))))),CH334)</f>
        <v>ch323</v>
      </c>
      <c r="CI335" s="897"/>
      <c r="CQ335" s="664"/>
      <c r="CT335" s="899" t="str">
        <f>CONCATENATE(IF(COLUMN(CT334)&lt;=26,CHAR(96+COLUMN(CT334)),(CHAR(96+(ROUNDDOWN((COLUMN(CT334)-1)/26,0)))&amp;CHAR(96+IF(MOD(COLUMN(CT334),26)=0,26,MOD(COLUMN(CT334),26))))),CT334)</f>
        <v>ct323</v>
      </c>
      <c r="CU335" s="897"/>
      <c r="DC335" s="664"/>
      <c r="DF335" s="899" t="str">
        <f>CONCATENATE(IF(COLUMN(DF334)&lt;=26,CHAR(96+COLUMN(DF334)),(CHAR(96+(ROUNDDOWN((COLUMN(DF334)-1)/26,0)))&amp;CHAR(96+IF(MOD(COLUMN(DF334),26)=0,26,MOD(COLUMN(DF334),26))))),DF334)</f>
        <v>df323</v>
      </c>
      <c r="DG335" s="897"/>
      <c r="DO335" s="664"/>
    </row>
    <row r="336" spans="2:119" hidden="1" x14ac:dyDescent="0.25">
      <c r="B336" s="899" t="str">
        <f>CONCATENATE(CHAR(64+COLUMN(C334)),B334)</f>
        <v>C323</v>
      </c>
      <c r="C336" s="897"/>
      <c r="K336" s="664"/>
      <c r="N336" s="899" t="str">
        <f>CONCATENATE(CHAR(64+COLUMN(O334)),N334)</f>
        <v>O323</v>
      </c>
      <c r="O336" s="897"/>
      <c r="U336" s="663"/>
      <c r="W336" s="664"/>
      <c r="Z336" s="899" t="str">
        <f>CONCATENATE(IF(COLUMN(AA334)&lt;=26,CHAR(96+COLUMN(AA334)),(CHAR(96+(ROUNDDOWN((COLUMN(AA334)-1)/26,0)))&amp;CHAR(96+IF(MOD(COLUMN(AA334),26)=0,26,MOD(COLUMN(AA334),26))))),Z334)</f>
        <v>aa323</v>
      </c>
      <c r="AA336" s="897"/>
      <c r="AB336" s="663"/>
      <c r="AC336" s="663"/>
      <c r="AD336" s="663"/>
      <c r="AE336" s="663"/>
      <c r="AF336" s="663"/>
      <c r="AG336" s="663"/>
      <c r="AH336" s="663"/>
      <c r="AI336" s="664"/>
      <c r="AL336" s="899" t="str">
        <f>CONCATENATE(IF(COLUMN(AM334)&lt;=26,CHAR(96+COLUMN(AM334)),(CHAR(96+(ROUNDDOWN((COLUMN(AM334)-1)/26,0)))&amp;CHAR(96+IF(MOD(COLUMN(AM334),26)=0,26,MOD(COLUMN(AM334),26))))),AL334)</f>
        <v>am323</v>
      </c>
      <c r="AM336" s="897"/>
      <c r="AN336" s="663"/>
      <c r="AU336" s="664"/>
      <c r="AX336" s="899" t="str">
        <f>CONCATENATE(IF(COLUMN(AY334)&lt;=26,CHAR(96+COLUMN(AY334)),(CHAR(96+(ROUNDDOWN((COLUMN(AY334)-1)/26,0)))&amp;CHAR(96+IF(MOD(COLUMN(AY334),26)=0,26,MOD(COLUMN(AY334),26))))),AX334)</f>
        <v>ay323</v>
      </c>
      <c r="AY336" s="897"/>
      <c r="BG336" s="664"/>
      <c r="BJ336" s="899" t="str">
        <f>CONCATENATE(IF(COLUMN(BK334)&lt;=26,CHAR(96+COLUMN(BK334)),(CHAR(96+(ROUNDDOWN((COLUMN(BK334)-1)/26,0)))&amp;CHAR(96+IF(MOD(COLUMN(BK334),26)=0,26,MOD(COLUMN(BK334),26))))),BJ334)</f>
        <v>bk323</v>
      </c>
      <c r="BK336" s="897"/>
      <c r="BS336" s="664"/>
      <c r="BV336" s="899" t="str">
        <f>CONCATENATE(IF(COLUMN(BW334)&lt;=26,CHAR(96+COLUMN(BW334)),(CHAR(96+(ROUNDDOWN((COLUMN(BW334)-1)/26,0)))&amp;CHAR(96+IF(MOD(COLUMN(BW334),26)=0,26,MOD(COLUMN(BW334),26))))),BV334)</f>
        <v>bw323</v>
      </c>
      <c r="BW336" s="897"/>
      <c r="CE336" s="664"/>
      <c r="CH336" s="899" t="str">
        <f>CONCATENATE(IF(COLUMN(CI334)&lt;=26,CHAR(96+COLUMN(CI334)),(CHAR(96+(ROUNDDOWN((COLUMN(CI334)-1)/26,0)))&amp;CHAR(96+IF(MOD(COLUMN(CI334),26)=0,26,MOD(COLUMN(CI334),26))))),CH334)</f>
        <v>ci323</v>
      </c>
      <c r="CI336" s="897"/>
      <c r="CQ336" s="664"/>
      <c r="CT336" s="899" t="str">
        <f>CONCATENATE(IF(COLUMN(CU334)&lt;=26,CHAR(96+COLUMN(CU334)),(CHAR(96+(ROUNDDOWN((COLUMN(CU334)-1)/26,0)))&amp;CHAR(96+IF(MOD(COLUMN(CU334),26)=0,26,MOD(COLUMN(CU334),26))))),CT334)</f>
        <v>cu323</v>
      </c>
      <c r="CU336" s="897"/>
      <c r="DC336" s="664"/>
      <c r="DF336" s="899" t="str">
        <f>CONCATENATE(IF(COLUMN(DG334)&lt;=26,CHAR(96+COLUMN(DG334)),(CHAR(96+(ROUNDDOWN((COLUMN(DG334)-1)/26,0)))&amp;CHAR(96+IF(MOD(COLUMN(DG334),26)=0,26,MOD(COLUMN(DG334),26))))),DF334)</f>
        <v>dg323</v>
      </c>
      <c r="DG336" s="897"/>
      <c r="DO336" s="664"/>
    </row>
    <row r="337" spans="2:119" hidden="1" x14ac:dyDescent="0.25">
      <c r="B337" s="896"/>
      <c r="C337" s="897"/>
      <c r="K337" s="664"/>
      <c r="N337" s="896"/>
      <c r="O337" s="897"/>
      <c r="U337" s="663"/>
      <c r="W337" s="664"/>
      <c r="Z337" s="896"/>
      <c r="AA337" s="897"/>
      <c r="AB337" s="663"/>
      <c r="AC337" s="663"/>
      <c r="AD337" s="663"/>
      <c r="AE337" s="663"/>
      <c r="AF337" s="663"/>
      <c r="AG337" s="663"/>
      <c r="AH337" s="663"/>
      <c r="AI337" s="664"/>
      <c r="AL337" s="896"/>
      <c r="AM337" s="897"/>
      <c r="AN337" s="663"/>
      <c r="AU337" s="664"/>
      <c r="AX337" s="896"/>
      <c r="AY337" s="897"/>
      <c r="BG337" s="664"/>
      <c r="BJ337" s="896"/>
      <c r="BK337" s="897"/>
      <c r="BS337" s="664"/>
      <c r="BV337" s="896"/>
      <c r="BW337" s="897"/>
      <c r="CE337" s="664"/>
      <c r="CH337" s="896"/>
      <c r="CI337" s="897"/>
      <c r="CQ337" s="664"/>
      <c r="CT337" s="896"/>
      <c r="CU337" s="897"/>
      <c r="DC337" s="664"/>
      <c r="DF337" s="896"/>
      <c r="DG337" s="897"/>
      <c r="DO337" s="664"/>
    </row>
    <row r="338" spans="2:119" hidden="1" x14ac:dyDescent="0.25">
      <c r="B338" s="896">
        <f>B323</f>
        <v>39113</v>
      </c>
      <c r="C338" s="897">
        <f>C323</f>
        <v>-1000000</v>
      </c>
      <c r="K338" s="664"/>
      <c r="N338" s="896">
        <f>N323</f>
        <v>39113</v>
      </c>
      <c r="O338" s="897">
        <f>O323</f>
        <v>-1000000</v>
      </c>
      <c r="U338" s="663"/>
      <c r="W338" s="664"/>
      <c r="Z338" s="896">
        <f>Z323</f>
        <v>39113</v>
      </c>
      <c r="AA338" s="897">
        <f>AA323</f>
        <v>-1000000</v>
      </c>
      <c r="AB338" s="663"/>
      <c r="AC338" s="663"/>
      <c r="AD338" s="663"/>
      <c r="AE338" s="663"/>
      <c r="AF338" s="663"/>
      <c r="AG338" s="663"/>
      <c r="AH338" s="663"/>
      <c r="AI338" s="664"/>
      <c r="AL338" s="896">
        <f>AL323</f>
        <v>39113</v>
      </c>
      <c r="AM338" s="897">
        <f>AM323</f>
        <v>-1000000</v>
      </c>
      <c r="AN338" s="663"/>
      <c r="AU338" s="664"/>
      <c r="AX338" s="896">
        <f>AX323</f>
        <v>39113</v>
      </c>
      <c r="AY338" s="897">
        <f>AY323</f>
        <v>-1000000</v>
      </c>
      <c r="BG338" s="664"/>
      <c r="BJ338" s="896">
        <f>BJ323</f>
        <v>39113</v>
      </c>
      <c r="BK338" s="897">
        <f>BK323</f>
        <v>-1000000</v>
      </c>
      <c r="BS338" s="664"/>
      <c r="BV338" s="896">
        <f>BV323</f>
        <v>39113</v>
      </c>
      <c r="BW338" s="897">
        <f>BW323</f>
        <v>-1000000</v>
      </c>
      <c r="CE338" s="664"/>
      <c r="CH338" s="896">
        <f>CH323</f>
        <v>39113</v>
      </c>
      <c r="CI338" s="897">
        <f>CI323</f>
        <v>-1000000</v>
      </c>
      <c r="CQ338" s="664"/>
      <c r="CT338" s="896">
        <f>CT323</f>
        <v>39113</v>
      </c>
      <c r="CU338" s="897">
        <f>CU323</f>
        <v>-1000000</v>
      </c>
      <c r="DC338" s="664"/>
      <c r="DF338" s="896">
        <f>DF323</f>
        <v>39113</v>
      </c>
      <c r="DG338" s="897">
        <f>DG323</f>
        <v>-1000000</v>
      </c>
      <c r="DO338" s="664"/>
    </row>
    <row r="339" spans="2:119" hidden="1" x14ac:dyDescent="0.25">
      <c r="B339" s="896">
        <f t="shared" ref="B339:C339" si="523">B324</f>
        <v>39478</v>
      </c>
      <c r="C339" s="897">
        <f t="shared" si="523"/>
        <v>-2000000</v>
      </c>
      <c r="K339" s="664"/>
      <c r="N339" s="896">
        <f t="shared" ref="N339:O339" si="524">N324</f>
        <v>39478</v>
      </c>
      <c r="O339" s="897">
        <f t="shared" si="524"/>
        <v>-2000000</v>
      </c>
      <c r="U339" s="663"/>
      <c r="W339" s="664"/>
      <c r="Z339" s="896">
        <f t="shared" ref="Z339:AA339" si="525">Z324</f>
        <v>39478</v>
      </c>
      <c r="AA339" s="897">
        <f t="shared" si="525"/>
        <v>-2000000</v>
      </c>
      <c r="AB339" s="663"/>
      <c r="AC339" s="663"/>
      <c r="AD339" s="663"/>
      <c r="AE339" s="663"/>
      <c r="AF339" s="663"/>
      <c r="AG339" s="663"/>
      <c r="AH339" s="663"/>
      <c r="AI339" s="664"/>
      <c r="AL339" s="896">
        <f t="shared" ref="AL339:AM339" si="526">AL324</f>
        <v>39478</v>
      </c>
      <c r="AM339" s="897">
        <f t="shared" si="526"/>
        <v>-2000000</v>
      </c>
      <c r="AN339" s="663"/>
      <c r="AU339" s="664"/>
      <c r="AX339" s="896">
        <f t="shared" ref="AX339:AY339" si="527">AX324</f>
        <v>39478</v>
      </c>
      <c r="AY339" s="897">
        <f t="shared" si="527"/>
        <v>-2000000</v>
      </c>
      <c r="BG339" s="664"/>
      <c r="BJ339" s="896">
        <f t="shared" ref="BJ339:BK339" si="528">BJ324</f>
        <v>39478</v>
      </c>
      <c r="BK339" s="897">
        <f t="shared" si="528"/>
        <v>-2000000</v>
      </c>
      <c r="BS339" s="664"/>
      <c r="BV339" s="896">
        <f t="shared" ref="BV339:BW339" si="529">BV324</f>
        <v>39478</v>
      </c>
      <c r="BW339" s="897">
        <f t="shared" si="529"/>
        <v>-2000000</v>
      </c>
      <c r="CE339" s="664"/>
      <c r="CH339" s="896">
        <f t="shared" ref="CH339:CI339" si="530">CH324</f>
        <v>39478</v>
      </c>
      <c r="CI339" s="897">
        <f t="shared" si="530"/>
        <v>-2000000</v>
      </c>
      <c r="CQ339" s="664"/>
      <c r="CT339" s="896">
        <f t="shared" ref="CT339:CU339" si="531">CT324</f>
        <v>39478</v>
      </c>
      <c r="CU339" s="897">
        <f t="shared" si="531"/>
        <v>-2000000</v>
      </c>
      <c r="DC339" s="664"/>
      <c r="DF339" s="896">
        <f t="shared" ref="DF339:DG339" si="532">DF324</f>
        <v>39478</v>
      </c>
      <c r="DG339" s="897">
        <f t="shared" si="532"/>
        <v>-2000000</v>
      </c>
      <c r="DO339" s="664"/>
    </row>
    <row r="340" spans="2:119" hidden="1" x14ac:dyDescent="0.25">
      <c r="B340" s="896">
        <f t="shared" ref="B340:C340" si="533">B325</f>
        <v>39843</v>
      </c>
      <c r="C340" s="897">
        <f t="shared" si="533"/>
        <v>0</v>
      </c>
      <c r="K340" s="664"/>
      <c r="N340" s="896">
        <f t="shared" ref="N340:O340" si="534">N325</f>
        <v>39843</v>
      </c>
      <c r="O340" s="897">
        <f t="shared" si="534"/>
        <v>0</v>
      </c>
      <c r="U340" s="663"/>
      <c r="W340" s="664"/>
      <c r="Z340" s="896">
        <f t="shared" ref="Z340:AA340" si="535">Z325</f>
        <v>39843</v>
      </c>
      <c r="AA340" s="897">
        <f t="shared" si="535"/>
        <v>0</v>
      </c>
      <c r="AB340" s="663"/>
      <c r="AC340" s="663"/>
      <c r="AD340" s="663"/>
      <c r="AE340" s="663"/>
      <c r="AF340" s="663"/>
      <c r="AG340" s="663"/>
      <c r="AH340" s="663"/>
      <c r="AI340" s="664"/>
      <c r="AL340" s="896">
        <f t="shared" ref="AL340:AM340" si="536">AL325</f>
        <v>39843</v>
      </c>
      <c r="AM340" s="897">
        <f t="shared" si="536"/>
        <v>0</v>
      </c>
      <c r="AN340" s="663"/>
      <c r="AU340" s="664"/>
      <c r="AX340" s="896">
        <f t="shared" ref="AX340:AY340" si="537">AX325</f>
        <v>39843</v>
      </c>
      <c r="AY340" s="897">
        <f t="shared" si="537"/>
        <v>0</v>
      </c>
      <c r="BG340" s="664"/>
      <c r="BJ340" s="896">
        <f t="shared" ref="BJ340:BK340" si="538">BJ325</f>
        <v>39843</v>
      </c>
      <c r="BK340" s="897">
        <f t="shared" si="538"/>
        <v>0</v>
      </c>
      <c r="BS340" s="664"/>
      <c r="BV340" s="896">
        <f t="shared" ref="BV340:BW340" si="539">BV325</f>
        <v>39843</v>
      </c>
      <c r="BW340" s="897">
        <f t="shared" si="539"/>
        <v>0</v>
      </c>
      <c r="CE340" s="664"/>
      <c r="CH340" s="896">
        <f t="shared" ref="CH340:CI340" si="540">CH325</f>
        <v>39843</v>
      </c>
      <c r="CI340" s="897">
        <f t="shared" si="540"/>
        <v>0</v>
      </c>
      <c r="CQ340" s="664"/>
      <c r="CT340" s="896">
        <f t="shared" ref="CT340:CU340" si="541">CT325</f>
        <v>39843</v>
      </c>
      <c r="CU340" s="897">
        <f t="shared" si="541"/>
        <v>0</v>
      </c>
      <c r="DC340" s="664"/>
      <c r="DF340" s="896">
        <f t="shared" ref="DF340:DG340" si="542">DF325</f>
        <v>39843</v>
      </c>
      <c r="DG340" s="897">
        <f t="shared" si="542"/>
        <v>0</v>
      </c>
      <c r="DO340" s="664"/>
    </row>
    <row r="341" spans="2:119" hidden="1" x14ac:dyDescent="0.25">
      <c r="B341" s="896">
        <f t="shared" ref="B341:C341" si="543">B326</f>
        <v>39843</v>
      </c>
      <c r="C341" s="897">
        <f t="shared" si="543"/>
        <v>0</v>
      </c>
      <c r="K341" s="664"/>
      <c r="N341" s="896">
        <f t="shared" ref="N341:O341" si="544">N326</f>
        <v>39843</v>
      </c>
      <c r="O341" s="897">
        <f t="shared" si="544"/>
        <v>0</v>
      </c>
      <c r="U341" s="663"/>
      <c r="W341" s="664"/>
      <c r="Z341" s="896">
        <f t="shared" ref="Z341:AA341" si="545">Z326</f>
        <v>39843</v>
      </c>
      <c r="AA341" s="897">
        <f t="shared" si="545"/>
        <v>0</v>
      </c>
      <c r="AB341" s="663"/>
      <c r="AC341" s="663"/>
      <c r="AD341" s="663"/>
      <c r="AE341" s="663"/>
      <c r="AF341" s="663"/>
      <c r="AG341" s="663"/>
      <c r="AH341" s="663"/>
      <c r="AI341" s="664"/>
      <c r="AL341" s="896">
        <f t="shared" ref="AL341:AM341" si="546">AL326</f>
        <v>39843</v>
      </c>
      <c r="AM341" s="897">
        <f t="shared" si="546"/>
        <v>0</v>
      </c>
      <c r="AN341" s="663"/>
      <c r="AU341" s="664"/>
      <c r="AX341" s="896">
        <f t="shared" ref="AX341:AY341" si="547">AX326</f>
        <v>39843</v>
      </c>
      <c r="AY341" s="897">
        <f t="shared" si="547"/>
        <v>0</v>
      </c>
      <c r="BG341" s="664"/>
      <c r="BJ341" s="896">
        <f t="shared" ref="BJ341:BK341" si="548">BJ326</f>
        <v>39843</v>
      </c>
      <c r="BK341" s="897">
        <f t="shared" si="548"/>
        <v>0</v>
      </c>
      <c r="BS341" s="664"/>
      <c r="BV341" s="896">
        <f t="shared" ref="BV341:BW341" si="549">BV326</f>
        <v>39843</v>
      </c>
      <c r="BW341" s="897">
        <f t="shared" si="549"/>
        <v>0</v>
      </c>
      <c r="CE341" s="664"/>
      <c r="CH341" s="896">
        <f t="shared" ref="CH341:CI341" si="550">CH326</f>
        <v>39843</v>
      </c>
      <c r="CI341" s="897">
        <f t="shared" si="550"/>
        <v>0</v>
      </c>
      <c r="CQ341" s="664"/>
      <c r="CT341" s="896">
        <f t="shared" ref="CT341:CU341" si="551">CT326</f>
        <v>39843</v>
      </c>
      <c r="CU341" s="897">
        <f t="shared" si="551"/>
        <v>0</v>
      </c>
      <c r="DC341" s="664"/>
      <c r="DF341" s="896">
        <f t="shared" ref="DF341:DG341" si="552">DF326</f>
        <v>39843</v>
      </c>
      <c r="DG341" s="897">
        <f t="shared" si="552"/>
        <v>0</v>
      </c>
      <c r="DO341" s="664"/>
    </row>
    <row r="342" spans="2:119" hidden="1" x14ac:dyDescent="0.25">
      <c r="B342" s="896">
        <f t="shared" ref="B342:C342" si="553">B327</f>
        <v>39843</v>
      </c>
      <c r="C342" s="897">
        <f t="shared" si="553"/>
        <v>0</v>
      </c>
      <c r="K342" s="664"/>
      <c r="N342" s="896">
        <f t="shared" ref="N342:O342" si="554">N327</f>
        <v>39843</v>
      </c>
      <c r="O342" s="897">
        <f t="shared" si="554"/>
        <v>0</v>
      </c>
      <c r="U342" s="663"/>
      <c r="W342" s="664"/>
      <c r="Z342" s="896">
        <f t="shared" ref="Z342:AA342" si="555">Z327</f>
        <v>39843</v>
      </c>
      <c r="AA342" s="897">
        <f t="shared" si="555"/>
        <v>0</v>
      </c>
      <c r="AB342" s="663"/>
      <c r="AC342" s="663"/>
      <c r="AD342" s="663"/>
      <c r="AE342" s="663"/>
      <c r="AF342" s="663"/>
      <c r="AG342" s="663"/>
      <c r="AH342" s="663"/>
      <c r="AI342" s="664"/>
      <c r="AL342" s="896">
        <f t="shared" ref="AL342:AM342" si="556">AL327</f>
        <v>39843</v>
      </c>
      <c r="AM342" s="897">
        <f t="shared" si="556"/>
        <v>0</v>
      </c>
      <c r="AN342" s="663"/>
      <c r="AU342" s="664"/>
      <c r="AX342" s="896">
        <f t="shared" ref="AX342:AY342" si="557">AX327</f>
        <v>39843</v>
      </c>
      <c r="AY342" s="897">
        <f t="shared" si="557"/>
        <v>0</v>
      </c>
      <c r="BG342" s="664"/>
      <c r="BJ342" s="896">
        <f t="shared" ref="BJ342:BK342" si="558">BJ327</f>
        <v>39843</v>
      </c>
      <c r="BK342" s="897">
        <f t="shared" si="558"/>
        <v>0</v>
      </c>
      <c r="BS342" s="664"/>
      <c r="BV342" s="896">
        <f t="shared" ref="BV342:BW342" si="559">BV327</f>
        <v>39843</v>
      </c>
      <c r="BW342" s="897">
        <f t="shared" si="559"/>
        <v>0</v>
      </c>
      <c r="CE342" s="664"/>
      <c r="CH342" s="896">
        <f t="shared" ref="CH342:CI342" si="560">CH327</f>
        <v>39843</v>
      </c>
      <c r="CI342" s="897">
        <f t="shared" si="560"/>
        <v>0</v>
      </c>
      <c r="CQ342" s="664"/>
      <c r="CT342" s="896">
        <f t="shared" ref="CT342:CU342" si="561">CT327</f>
        <v>39843</v>
      </c>
      <c r="CU342" s="897">
        <f t="shared" si="561"/>
        <v>0</v>
      </c>
      <c r="DC342" s="664"/>
      <c r="DF342" s="896">
        <f t="shared" ref="DF342:DG342" si="562">DF327</f>
        <v>39843</v>
      </c>
      <c r="DG342" s="897">
        <f t="shared" si="562"/>
        <v>0</v>
      </c>
      <c r="DO342" s="664"/>
    </row>
    <row r="343" spans="2:119" hidden="1" x14ac:dyDescent="0.25">
      <c r="B343" s="896">
        <f t="shared" ref="B343:C343" si="563">B328</f>
        <v>39843</v>
      </c>
      <c r="C343" s="897">
        <f t="shared" si="563"/>
        <v>0</v>
      </c>
      <c r="K343" s="664"/>
      <c r="N343" s="896">
        <f t="shared" ref="N343:O343" si="564">N328</f>
        <v>39843</v>
      </c>
      <c r="O343" s="897">
        <f t="shared" si="564"/>
        <v>0</v>
      </c>
      <c r="U343" s="663"/>
      <c r="W343" s="664"/>
      <c r="Z343" s="896">
        <f t="shared" ref="Z343:AA343" si="565">Z328</f>
        <v>39843</v>
      </c>
      <c r="AA343" s="897">
        <f t="shared" si="565"/>
        <v>0</v>
      </c>
      <c r="AB343" s="663"/>
      <c r="AC343" s="663"/>
      <c r="AD343" s="663"/>
      <c r="AE343" s="663"/>
      <c r="AF343" s="663"/>
      <c r="AG343" s="663"/>
      <c r="AH343" s="663"/>
      <c r="AI343" s="664"/>
      <c r="AL343" s="896">
        <f t="shared" ref="AL343:AM343" si="566">AL328</f>
        <v>39843</v>
      </c>
      <c r="AM343" s="897">
        <f t="shared" si="566"/>
        <v>0</v>
      </c>
      <c r="AN343" s="663"/>
      <c r="AU343" s="664"/>
      <c r="AX343" s="896">
        <f t="shared" ref="AX343:AY343" si="567">AX328</f>
        <v>39843</v>
      </c>
      <c r="AY343" s="897">
        <f t="shared" si="567"/>
        <v>0</v>
      </c>
      <c r="BG343" s="664"/>
      <c r="BJ343" s="896">
        <f t="shared" ref="BJ343:BK343" si="568">BJ328</f>
        <v>39843</v>
      </c>
      <c r="BK343" s="897">
        <f t="shared" si="568"/>
        <v>0</v>
      </c>
      <c r="BS343" s="664"/>
      <c r="BV343" s="896">
        <f t="shared" ref="BV343:BW343" si="569">BV328</f>
        <v>39843</v>
      </c>
      <c r="BW343" s="897">
        <f t="shared" si="569"/>
        <v>0</v>
      </c>
      <c r="CE343" s="664"/>
      <c r="CH343" s="896">
        <f t="shared" ref="CH343:CI343" si="570">CH328</f>
        <v>39843</v>
      </c>
      <c r="CI343" s="897">
        <f t="shared" si="570"/>
        <v>0</v>
      </c>
      <c r="CQ343" s="664"/>
      <c r="CT343" s="896">
        <f t="shared" ref="CT343:CU343" si="571">CT328</f>
        <v>39843</v>
      </c>
      <c r="CU343" s="897">
        <f t="shared" si="571"/>
        <v>0</v>
      </c>
      <c r="DC343" s="664"/>
      <c r="DF343" s="896">
        <f t="shared" ref="DF343:DG343" si="572">DF328</f>
        <v>39843</v>
      </c>
      <c r="DG343" s="897">
        <f t="shared" si="572"/>
        <v>0</v>
      </c>
      <c r="DO343" s="664"/>
    </row>
    <row r="344" spans="2:119" hidden="1" x14ac:dyDescent="0.25">
      <c r="B344" s="896">
        <f t="shared" ref="B344:C344" si="573">B329</f>
        <v>39843</v>
      </c>
      <c r="C344" s="897">
        <f t="shared" si="573"/>
        <v>0</v>
      </c>
      <c r="K344" s="664"/>
      <c r="N344" s="896">
        <f t="shared" ref="N344:O344" si="574">N329</f>
        <v>39843</v>
      </c>
      <c r="O344" s="897">
        <f t="shared" si="574"/>
        <v>0</v>
      </c>
      <c r="U344" s="663"/>
      <c r="W344" s="664"/>
      <c r="Z344" s="896">
        <f t="shared" ref="Z344:AA344" si="575">Z329</f>
        <v>39843</v>
      </c>
      <c r="AA344" s="897">
        <f t="shared" si="575"/>
        <v>0</v>
      </c>
      <c r="AB344" s="663"/>
      <c r="AC344" s="663"/>
      <c r="AD344" s="663"/>
      <c r="AE344" s="663"/>
      <c r="AF344" s="663"/>
      <c r="AG344" s="663"/>
      <c r="AH344" s="663"/>
      <c r="AI344" s="664"/>
      <c r="AL344" s="896">
        <f t="shared" ref="AL344:AM344" si="576">AL329</f>
        <v>39843</v>
      </c>
      <c r="AM344" s="897">
        <f t="shared" si="576"/>
        <v>0</v>
      </c>
      <c r="AN344" s="663"/>
      <c r="AU344" s="664"/>
      <c r="AX344" s="896">
        <f t="shared" ref="AX344:AY344" si="577">AX329</f>
        <v>39843</v>
      </c>
      <c r="AY344" s="897">
        <f t="shared" si="577"/>
        <v>0</v>
      </c>
      <c r="BG344" s="664"/>
      <c r="BJ344" s="896">
        <f t="shared" ref="BJ344:BK344" si="578">BJ329</f>
        <v>39843</v>
      </c>
      <c r="BK344" s="897">
        <f t="shared" si="578"/>
        <v>0</v>
      </c>
      <c r="BS344" s="664"/>
      <c r="BV344" s="896">
        <f t="shared" ref="BV344:BW344" si="579">BV329</f>
        <v>39843</v>
      </c>
      <c r="BW344" s="897">
        <f t="shared" si="579"/>
        <v>0</v>
      </c>
      <c r="CE344" s="664"/>
      <c r="CH344" s="896">
        <f t="shared" ref="CH344:CI344" si="580">CH329</f>
        <v>39843</v>
      </c>
      <c r="CI344" s="897">
        <f t="shared" si="580"/>
        <v>0</v>
      </c>
      <c r="CQ344" s="664"/>
      <c r="CT344" s="896">
        <f t="shared" ref="CT344:CU344" si="581">CT329</f>
        <v>39843</v>
      </c>
      <c r="CU344" s="897">
        <f t="shared" si="581"/>
        <v>0</v>
      </c>
      <c r="DC344" s="664"/>
      <c r="DF344" s="896">
        <f t="shared" ref="DF344:DG344" si="582">DF329</f>
        <v>39843</v>
      </c>
      <c r="DG344" s="897">
        <f t="shared" si="582"/>
        <v>0</v>
      </c>
      <c r="DO344" s="664"/>
    </row>
    <row r="345" spans="2:119" hidden="1" x14ac:dyDescent="0.25">
      <c r="B345" s="896">
        <f t="shared" ref="B345:C345" si="583">B330</f>
        <v>39843</v>
      </c>
      <c r="C345" s="897">
        <f t="shared" si="583"/>
        <v>0</v>
      </c>
      <c r="K345" s="664"/>
      <c r="N345" s="896">
        <f t="shared" ref="N345:O345" si="584">N330</f>
        <v>39843</v>
      </c>
      <c r="O345" s="897">
        <f t="shared" si="584"/>
        <v>0</v>
      </c>
      <c r="U345" s="663"/>
      <c r="W345" s="664"/>
      <c r="Z345" s="896">
        <f t="shared" ref="Z345:AA345" si="585">Z330</f>
        <v>39843</v>
      </c>
      <c r="AA345" s="897">
        <f t="shared" si="585"/>
        <v>0</v>
      </c>
      <c r="AB345" s="663"/>
      <c r="AC345" s="663"/>
      <c r="AD345" s="663"/>
      <c r="AE345" s="663"/>
      <c r="AF345" s="663"/>
      <c r="AG345" s="663"/>
      <c r="AH345" s="663"/>
      <c r="AI345" s="664"/>
      <c r="AL345" s="896">
        <f t="shared" ref="AL345:AM345" si="586">AL330</f>
        <v>39843</v>
      </c>
      <c r="AM345" s="897">
        <f t="shared" si="586"/>
        <v>0</v>
      </c>
      <c r="AN345" s="663"/>
      <c r="AU345" s="664"/>
      <c r="AX345" s="896">
        <f t="shared" ref="AX345:AY345" si="587">AX330</f>
        <v>39843</v>
      </c>
      <c r="AY345" s="897">
        <f t="shared" si="587"/>
        <v>0</v>
      </c>
      <c r="BG345" s="664"/>
      <c r="BJ345" s="896">
        <f t="shared" ref="BJ345:BK345" si="588">BJ330</f>
        <v>39843</v>
      </c>
      <c r="BK345" s="897">
        <f t="shared" si="588"/>
        <v>0</v>
      </c>
      <c r="BS345" s="664"/>
      <c r="BV345" s="896">
        <f t="shared" ref="BV345:BW345" si="589">BV330</f>
        <v>39843</v>
      </c>
      <c r="BW345" s="897">
        <f t="shared" si="589"/>
        <v>0</v>
      </c>
      <c r="CE345" s="664"/>
      <c r="CH345" s="896">
        <f t="shared" ref="CH345:CI345" si="590">CH330</f>
        <v>39843</v>
      </c>
      <c r="CI345" s="897">
        <f t="shared" si="590"/>
        <v>0</v>
      </c>
      <c r="CQ345" s="664"/>
      <c r="CT345" s="896">
        <f t="shared" ref="CT345:CU345" si="591">CT330</f>
        <v>39843</v>
      </c>
      <c r="CU345" s="897">
        <f t="shared" si="591"/>
        <v>0</v>
      </c>
      <c r="DC345" s="664"/>
      <c r="DF345" s="896">
        <f t="shared" ref="DF345:DG345" si="592">DF330</f>
        <v>39843</v>
      </c>
      <c r="DG345" s="897">
        <f t="shared" si="592"/>
        <v>0</v>
      </c>
      <c r="DO345" s="664"/>
    </row>
    <row r="346" spans="2:119" hidden="1" x14ac:dyDescent="0.25">
      <c r="B346" s="896">
        <f t="shared" ref="B346:C346" si="593">B331</f>
        <v>39843</v>
      </c>
      <c r="C346" s="897">
        <f t="shared" si="593"/>
        <v>0</v>
      </c>
      <c r="K346" s="664"/>
      <c r="N346" s="896">
        <f t="shared" ref="N346:O346" si="594">N331</f>
        <v>39843</v>
      </c>
      <c r="O346" s="897">
        <f t="shared" si="594"/>
        <v>0</v>
      </c>
      <c r="U346" s="663"/>
      <c r="W346" s="664"/>
      <c r="Z346" s="896">
        <f t="shared" ref="Z346:AA346" si="595">Z331</f>
        <v>39843</v>
      </c>
      <c r="AA346" s="897">
        <f t="shared" si="595"/>
        <v>0</v>
      </c>
      <c r="AB346" s="663"/>
      <c r="AC346" s="663"/>
      <c r="AD346" s="663"/>
      <c r="AE346" s="663"/>
      <c r="AF346" s="663"/>
      <c r="AG346" s="663"/>
      <c r="AH346" s="663"/>
      <c r="AI346" s="664"/>
      <c r="AL346" s="896">
        <f t="shared" ref="AL346:AM346" si="596">AL331</f>
        <v>39843</v>
      </c>
      <c r="AM346" s="897">
        <f t="shared" si="596"/>
        <v>0</v>
      </c>
      <c r="AN346" s="663"/>
      <c r="AU346" s="664"/>
      <c r="AX346" s="896">
        <f t="shared" ref="AX346:AY346" si="597">AX331</f>
        <v>39843</v>
      </c>
      <c r="AY346" s="897">
        <f t="shared" si="597"/>
        <v>0</v>
      </c>
      <c r="BG346" s="664"/>
      <c r="BJ346" s="896">
        <f t="shared" ref="BJ346:BK346" si="598">BJ331</f>
        <v>39843</v>
      </c>
      <c r="BK346" s="897">
        <f t="shared" si="598"/>
        <v>0</v>
      </c>
      <c r="BS346" s="664"/>
      <c r="BV346" s="896">
        <f t="shared" ref="BV346:BW346" si="599">BV331</f>
        <v>39843</v>
      </c>
      <c r="BW346" s="897">
        <f t="shared" si="599"/>
        <v>0</v>
      </c>
      <c r="CE346" s="664"/>
      <c r="CH346" s="896">
        <f t="shared" ref="CH346:CI346" si="600">CH331</f>
        <v>39843</v>
      </c>
      <c r="CI346" s="897">
        <f t="shared" si="600"/>
        <v>0</v>
      </c>
      <c r="CQ346" s="664"/>
      <c r="CT346" s="896">
        <f t="shared" ref="CT346:CU346" si="601">CT331</f>
        <v>39843</v>
      </c>
      <c r="CU346" s="897">
        <f t="shared" si="601"/>
        <v>0</v>
      </c>
      <c r="DC346" s="664"/>
      <c r="DF346" s="896">
        <f t="shared" ref="DF346:DG346" si="602">DF331</f>
        <v>39843</v>
      </c>
      <c r="DG346" s="897">
        <f t="shared" si="602"/>
        <v>0</v>
      </c>
      <c r="DO346" s="664"/>
    </row>
    <row r="347" spans="2:119" hidden="1" x14ac:dyDescent="0.25">
      <c r="B347" s="896">
        <f t="shared" ref="B347:C347" si="603">B332</f>
        <v>39843</v>
      </c>
      <c r="C347" s="897">
        <f t="shared" si="603"/>
        <v>0</v>
      </c>
      <c r="K347" s="664"/>
      <c r="N347" s="896">
        <f t="shared" ref="N347:O347" si="604">N332</f>
        <v>39843</v>
      </c>
      <c r="O347" s="897">
        <f t="shared" si="604"/>
        <v>0</v>
      </c>
      <c r="U347" s="663"/>
      <c r="W347" s="664"/>
      <c r="Z347" s="896">
        <f t="shared" ref="Z347:AA347" si="605">Z332</f>
        <v>39843</v>
      </c>
      <c r="AA347" s="897">
        <f t="shared" si="605"/>
        <v>0</v>
      </c>
      <c r="AB347" s="663"/>
      <c r="AC347" s="663"/>
      <c r="AD347" s="663"/>
      <c r="AE347" s="663"/>
      <c r="AF347" s="663"/>
      <c r="AG347" s="663"/>
      <c r="AH347" s="663"/>
      <c r="AI347" s="664"/>
      <c r="AL347" s="896">
        <f t="shared" ref="AL347:AM347" si="606">AL332</f>
        <v>39843</v>
      </c>
      <c r="AM347" s="897">
        <f t="shared" si="606"/>
        <v>0</v>
      </c>
      <c r="AN347" s="663"/>
      <c r="AU347" s="664"/>
      <c r="AX347" s="896">
        <f t="shared" ref="AX347:AY347" si="607">AX332</f>
        <v>39843</v>
      </c>
      <c r="AY347" s="897">
        <f t="shared" si="607"/>
        <v>0</v>
      </c>
      <c r="BG347" s="664"/>
      <c r="BJ347" s="896">
        <f t="shared" ref="BJ347:BK347" si="608">BJ332</f>
        <v>39843</v>
      </c>
      <c r="BK347" s="897">
        <f t="shared" si="608"/>
        <v>0</v>
      </c>
      <c r="BS347" s="664"/>
      <c r="BV347" s="896">
        <f t="shared" ref="BV347:BW347" si="609">BV332</f>
        <v>39843</v>
      </c>
      <c r="BW347" s="897">
        <f t="shared" si="609"/>
        <v>0</v>
      </c>
      <c r="CE347" s="664"/>
      <c r="CH347" s="896">
        <f t="shared" ref="CH347:CI347" si="610">CH332</f>
        <v>39843</v>
      </c>
      <c r="CI347" s="897">
        <f t="shared" si="610"/>
        <v>0</v>
      </c>
      <c r="CQ347" s="664"/>
      <c r="CT347" s="896">
        <f t="shared" ref="CT347:CU347" si="611">CT332</f>
        <v>39843</v>
      </c>
      <c r="CU347" s="897">
        <f t="shared" si="611"/>
        <v>0</v>
      </c>
      <c r="DC347" s="664"/>
      <c r="DF347" s="896">
        <f t="shared" ref="DF347:DG347" si="612">DF332</f>
        <v>39843</v>
      </c>
      <c r="DG347" s="897">
        <f t="shared" si="612"/>
        <v>0</v>
      </c>
      <c r="DO347" s="664"/>
    </row>
    <row r="348" spans="2:119" hidden="1" x14ac:dyDescent="0.25">
      <c r="B348" s="896">
        <f>B333+$C$56</f>
        <v>41539</v>
      </c>
      <c r="C348" s="897">
        <f ca="1">C333</f>
        <v>0</v>
      </c>
      <c r="K348" s="664"/>
      <c r="N348" s="896">
        <f>N333+$C$56</f>
        <v>41539</v>
      </c>
      <c r="O348" s="897">
        <f ca="1">O333</f>
        <v>0</v>
      </c>
      <c r="U348" s="663"/>
      <c r="W348" s="664"/>
      <c r="Z348" s="896">
        <f>Z333+$C$56</f>
        <v>41539</v>
      </c>
      <c r="AA348" s="897">
        <f ca="1">AA333</f>
        <v>0</v>
      </c>
      <c r="AB348" s="663"/>
      <c r="AC348" s="663"/>
      <c r="AD348" s="663"/>
      <c r="AE348" s="663"/>
      <c r="AF348" s="663"/>
      <c r="AG348" s="663"/>
      <c r="AH348" s="663"/>
      <c r="AI348" s="664"/>
      <c r="AL348" s="896">
        <f>AL333+$C$56</f>
        <v>41539</v>
      </c>
      <c r="AM348" s="897">
        <f ca="1">AM333</f>
        <v>0</v>
      </c>
      <c r="AN348" s="663"/>
      <c r="AU348" s="664"/>
      <c r="AX348" s="896">
        <f>AX333+$C$56</f>
        <v>41539</v>
      </c>
      <c r="AY348" s="897">
        <f ca="1">AY333</f>
        <v>0</v>
      </c>
      <c r="BG348" s="664"/>
      <c r="BJ348" s="896">
        <f>BJ333+$C$56</f>
        <v>41539</v>
      </c>
      <c r="BK348" s="897">
        <f ca="1">BK333</f>
        <v>0</v>
      </c>
      <c r="BS348" s="664"/>
      <c r="BV348" s="896">
        <f>BV333+$C$56</f>
        <v>41539</v>
      </c>
      <c r="BW348" s="897">
        <f ca="1">BW333</f>
        <v>0</v>
      </c>
      <c r="CE348" s="664"/>
      <c r="CH348" s="896">
        <f>CH333+$C$56</f>
        <v>41539</v>
      </c>
      <c r="CI348" s="897">
        <f ca="1">CI333</f>
        <v>0</v>
      </c>
      <c r="CQ348" s="664"/>
      <c r="CT348" s="896">
        <f>CT333+$C$56</f>
        <v>41539</v>
      </c>
      <c r="CU348" s="897">
        <f ca="1">CU333</f>
        <v>0</v>
      </c>
      <c r="DC348" s="664"/>
      <c r="DF348" s="896">
        <f>DF333+$C$56</f>
        <v>41539</v>
      </c>
      <c r="DG348" s="897">
        <f ca="1">DG333</f>
        <v>0</v>
      </c>
      <c r="DO348" s="664"/>
    </row>
    <row r="349" spans="2:119" hidden="1" x14ac:dyDescent="0.25">
      <c r="B349" s="898">
        <f>IF(C338&lt;&gt;0,ROW(C338),IF(C339&lt;&gt;0,ROW(C339),IF(C340&lt;&gt;0,ROW(C340),IF(C341&lt;&gt;0,ROW(C341),IF(C342&lt;&gt;0,ROW(C342),IF(C343&lt;&gt;0,ROW(C343),IF(C344&lt;&gt;0,ROW(C344),IF(C345&lt;&gt;0,ROW(C345),IF(C346&lt;&gt;0,ROW(C346),IF(C347&lt;&gt;0,ROW(C347)))))))))))</f>
        <v>338</v>
      </c>
      <c r="C349" s="882" t="e">
        <f ca="1">IF(ISERROR(XIRR(INDIRECT(B351):C348,INDIRECT(B350):B348,-20%)),XIRR(INDIRECT(B351):C348,INDIRECT(B350):B348,20%),"N/A")</f>
        <v>#NUM!</v>
      </c>
      <c r="K349" s="664"/>
      <c r="N349" s="898">
        <f>IF(O338&lt;&gt;0,ROW(O338),IF(O339&lt;&gt;0,ROW(O339),IF(O340&lt;&gt;0,ROW(O340),IF(O341&lt;&gt;0,ROW(O341),IF(O342&lt;&gt;0,ROW(O342),IF(O343&lt;&gt;0,ROW(O343),IF(O344&lt;&gt;0,ROW(O344),IF(O345&lt;&gt;0,ROW(O345),IF(O346&lt;&gt;0,ROW(O346),IF(O347&lt;&gt;0,ROW(O347)))))))))))</f>
        <v>338</v>
      </c>
      <c r="O349" s="882" t="e">
        <f ca="1">IF(ISERROR(XIRR(INDIRECT(N351):O348,INDIRECT(N350):N348,-20%)),XIRR(INDIRECT(N351):O348,INDIRECT(N350):N348,20%),"N/A")</f>
        <v>#NUM!</v>
      </c>
      <c r="U349" s="663"/>
      <c r="W349" s="664"/>
      <c r="Z349" s="898">
        <f>IF(AA338&lt;&gt;0,ROW(AA338),IF(AA339&lt;&gt;0,ROW(AA339),IF(AA340&lt;&gt;0,ROW(AA340),IF(AA341&lt;&gt;0,ROW(AA341),IF(AA342&lt;&gt;0,ROW(AA342),IF(AA343&lt;&gt;0,ROW(AA343),IF(AA344&lt;&gt;0,ROW(AA344),IF(AA345&lt;&gt;0,ROW(AA345),IF(AA346&lt;&gt;0,ROW(AA346),IF(AA347&lt;&gt;0,ROW(AA347)))))))))))</f>
        <v>338</v>
      </c>
      <c r="AA349" s="882" t="e">
        <f ca="1">IF(ISERROR(XIRR(INDIRECT(Z351):AA348,INDIRECT(Z350):Z348,-20%)),XIRR(INDIRECT(Z351):AA348,INDIRECT(Z350):Z348,20%),"N/A")</f>
        <v>#NUM!</v>
      </c>
      <c r="AB349" s="663"/>
      <c r="AC349" s="663"/>
      <c r="AD349" s="663"/>
      <c r="AE349" s="663"/>
      <c r="AF349" s="663"/>
      <c r="AG349" s="663"/>
      <c r="AH349" s="663"/>
      <c r="AI349" s="664"/>
      <c r="AL349" s="898">
        <f>IF(AM338&lt;&gt;0,ROW(AM338),IF(AM339&lt;&gt;0,ROW(AM339),IF(AM340&lt;&gt;0,ROW(AM340),IF(AM341&lt;&gt;0,ROW(AM341),IF(AM342&lt;&gt;0,ROW(AM342),IF(AM343&lt;&gt;0,ROW(AM343),IF(AM344&lt;&gt;0,ROW(AM344),IF(AM345&lt;&gt;0,ROW(AM345),IF(AM346&lt;&gt;0,ROW(AM346),IF(AM347&lt;&gt;0,ROW(AM347)))))))))))</f>
        <v>338</v>
      </c>
      <c r="AM349" s="882" t="e">
        <f ca="1">IF(ISERROR(XIRR(INDIRECT(AL351):AM348,INDIRECT(AL350):AL348,-20%)),XIRR(INDIRECT(AL351):AM348,INDIRECT(AL350):AL348,20%),"N/A")</f>
        <v>#NUM!</v>
      </c>
      <c r="AN349" s="663"/>
      <c r="AU349" s="664"/>
      <c r="AX349" s="898">
        <f>IF(AY338&lt;&gt;0,ROW(AY338),IF(AY339&lt;&gt;0,ROW(AY339),IF(AY340&lt;&gt;0,ROW(AY340),IF(AY341&lt;&gt;0,ROW(AY341),IF(AY342&lt;&gt;0,ROW(AY342),IF(AY343&lt;&gt;0,ROW(AY343),IF(AY344&lt;&gt;0,ROW(AY344),IF(AY345&lt;&gt;0,ROW(AY345),IF(AY346&lt;&gt;0,ROW(AY346),IF(AY347&lt;&gt;0,ROW(AY347)))))))))))</f>
        <v>338</v>
      </c>
      <c r="AY349" s="882" t="e">
        <f ca="1">IF(ISERROR(XIRR(INDIRECT(AX351):AY348,INDIRECT(AX350):AX348,-20%)),XIRR(INDIRECT(AX351):AY348,INDIRECT(AX350):AX348,20%),"N/A")</f>
        <v>#NUM!</v>
      </c>
      <c r="BG349" s="664"/>
      <c r="BJ349" s="898">
        <f>IF(BK338&lt;&gt;0,ROW(BK338),IF(BK339&lt;&gt;0,ROW(BK339),IF(BK340&lt;&gt;0,ROW(BK340),IF(BK341&lt;&gt;0,ROW(BK341),IF(BK342&lt;&gt;0,ROW(BK342),IF(BK343&lt;&gt;0,ROW(BK343),IF(BK344&lt;&gt;0,ROW(BK344),IF(BK345&lt;&gt;0,ROW(BK345),IF(BK346&lt;&gt;0,ROW(BK346),IF(BK347&lt;&gt;0,ROW(BK347)))))))))))</f>
        <v>338</v>
      </c>
      <c r="BK349" s="882" t="e">
        <f ca="1">IF(ISERROR(XIRR(INDIRECT(BJ351):BK348,INDIRECT(BJ350):BJ348,-20%)),XIRR(INDIRECT(BJ351):BK348,INDIRECT(BJ350):BJ348,20%),"N/A")</f>
        <v>#NUM!</v>
      </c>
      <c r="BS349" s="664"/>
      <c r="BV349" s="898">
        <f>IF(BW338&lt;&gt;0,ROW(BW338),IF(BW339&lt;&gt;0,ROW(BW339),IF(BW340&lt;&gt;0,ROW(BW340),IF(BW341&lt;&gt;0,ROW(BW341),IF(BW342&lt;&gt;0,ROW(BW342),IF(BW343&lt;&gt;0,ROW(BW343),IF(BW344&lt;&gt;0,ROW(BW344),IF(BW345&lt;&gt;0,ROW(BW345),IF(BW346&lt;&gt;0,ROW(BW346),IF(BW347&lt;&gt;0,ROW(BW347)))))))))))</f>
        <v>338</v>
      </c>
      <c r="BW349" s="882" t="e">
        <f ca="1">IF(ISERROR(XIRR(INDIRECT(BV351):BW348,INDIRECT(BV350):BV348,-20%)),XIRR(INDIRECT(BV351):BW348,INDIRECT(BV350):BV348,20%),"N/A")</f>
        <v>#NUM!</v>
      </c>
      <c r="CE349" s="664"/>
      <c r="CH349" s="898">
        <f>IF(CI338&lt;&gt;0,ROW(CI338),IF(CI339&lt;&gt;0,ROW(CI339),IF(CI340&lt;&gt;0,ROW(CI340),IF(CI341&lt;&gt;0,ROW(CI341),IF(CI342&lt;&gt;0,ROW(CI342),IF(CI343&lt;&gt;0,ROW(CI343),IF(CI344&lt;&gt;0,ROW(CI344),IF(CI345&lt;&gt;0,ROW(CI345),IF(CI346&lt;&gt;0,ROW(CI346),IF(CI347&lt;&gt;0,ROW(CI347)))))))))))</f>
        <v>338</v>
      </c>
      <c r="CI349" s="882" t="e">
        <f ca="1">IF(ISERROR(XIRR(INDIRECT(CH351):CI348,INDIRECT(CH350):CH348,-20%)),XIRR(INDIRECT(CH351):CI348,INDIRECT(CH350):CH348,20%),"N/A")</f>
        <v>#NUM!</v>
      </c>
      <c r="CQ349" s="664"/>
      <c r="CT349" s="898">
        <f>IF(CU338&lt;&gt;0,ROW(CU338),IF(CU339&lt;&gt;0,ROW(CU339),IF(CU340&lt;&gt;0,ROW(CU340),IF(CU341&lt;&gt;0,ROW(CU341),IF(CU342&lt;&gt;0,ROW(CU342),IF(CU343&lt;&gt;0,ROW(CU343),IF(CU344&lt;&gt;0,ROW(CU344),IF(CU345&lt;&gt;0,ROW(CU345),IF(CU346&lt;&gt;0,ROW(CU346),IF(CU347&lt;&gt;0,ROW(CU347)))))))))))</f>
        <v>338</v>
      </c>
      <c r="CU349" s="882" t="e">
        <f ca="1">IF(ISERROR(XIRR(INDIRECT(CT351):CU348,INDIRECT(CT350):CT348,-20%)),XIRR(INDIRECT(CT351):CU348,INDIRECT(CT350):CT348,20%),"N/A")</f>
        <v>#NUM!</v>
      </c>
      <c r="DC349" s="664"/>
      <c r="DF349" s="898">
        <f>IF(DG338&lt;&gt;0,ROW(DG338),IF(DG339&lt;&gt;0,ROW(DG339),IF(DG340&lt;&gt;0,ROW(DG340),IF(DG341&lt;&gt;0,ROW(DG341),IF(DG342&lt;&gt;0,ROW(DG342),IF(DG343&lt;&gt;0,ROW(DG343),IF(DG344&lt;&gt;0,ROW(DG344),IF(DG345&lt;&gt;0,ROW(DG345),IF(DG346&lt;&gt;0,ROW(DG346),IF(DG347&lt;&gt;0,ROW(DG347)))))))))))</f>
        <v>338</v>
      </c>
      <c r="DG349" s="882" t="e">
        <f ca="1">IF(ISERROR(XIRR(INDIRECT(DF351):DG348,INDIRECT(DF350):DF348,-20%)),XIRR(INDIRECT(DF351):DG348,INDIRECT(DF350):DF348,20%),"N/A")</f>
        <v>#NUM!</v>
      </c>
      <c r="DO349" s="664"/>
    </row>
    <row r="350" spans="2:119" hidden="1" x14ac:dyDescent="0.25">
      <c r="B350" s="899" t="str">
        <f>CONCATENATE(CHAR(64+COLUMN(B349)),B349)</f>
        <v>B338</v>
      </c>
      <c r="C350" s="897"/>
      <c r="K350" s="664"/>
      <c r="N350" s="899" t="str">
        <f>CONCATENATE(CHAR(64+COLUMN(N349)),N349)</f>
        <v>N338</v>
      </c>
      <c r="O350" s="897"/>
      <c r="U350" s="663"/>
      <c r="W350" s="664"/>
      <c r="Z350" s="899" t="str">
        <f>CONCATENATE(IF(COLUMN(Z349)&lt;=26,CHAR(96+COLUMN(Z349)),(CHAR(96+(ROUNDDOWN((COLUMN(Z349)-1)/26,0)))&amp;CHAR(96+IF(MOD(COLUMN(Z349),26)=0,26,MOD(COLUMN(Z349),26))))),Z349)</f>
        <v>z338</v>
      </c>
      <c r="AA350" s="897"/>
      <c r="AB350" s="663"/>
      <c r="AC350" s="663"/>
      <c r="AD350" s="663"/>
      <c r="AE350" s="663"/>
      <c r="AF350" s="663"/>
      <c r="AG350" s="663"/>
      <c r="AH350" s="663"/>
      <c r="AI350" s="664"/>
      <c r="AL350" s="899" t="str">
        <f>CONCATENATE(IF(COLUMN(AL349)&lt;=26,CHAR(96+COLUMN(AL349)),(CHAR(96+(ROUNDDOWN((COLUMN(AL349)-1)/26,0)))&amp;CHAR(96+IF(MOD(COLUMN(AL349),26)=0,26,MOD(COLUMN(AL349),26))))),AL349)</f>
        <v>al338</v>
      </c>
      <c r="AM350" s="897"/>
      <c r="AN350" s="663"/>
      <c r="AU350" s="664"/>
      <c r="AX350" s="899" t="str">
        <f>CONCATENATE(IF(COLUMN(AX349)&lt;=26,CHAR(96+COLUMN(AX349)),(CHAR(96+(ROUNDDOWN((COLUMN(AX349)-1)/26,0)))&amp;CHAR(96+IF(MOD(COLUMN(AX349),26)=0,26,MOD(COLUMN(AX349),26))))),AX349)</f>
        <v>ax338</v>
      </c>
      <c r="AY350" s="897"/>
      <c r="BG350" s="664"/>
      <c r="BJ350" s="899" t="str">
        <f>CONCATENATE(IF(COLUMN(BJ349)&lt;=26,CHAR(96+COLUMN(BJ349)),(CHAR(96+(ROUNDDOWN((COLUMN(BJ349)-1)/26,0)))&amp;CHAR(96+IF(MOD(COLUMN(BJ349),26)=0,26,MOD(COLUMN(BJ349),26))))),BJ349)</f>
        <v>bj338</v>
      </c>
      <c r="BK350" s="897"/>
      <c r="BS350" s="664"/>
      <c r="BV350" s="899" t="str">
        <f>CONCATENATE(IF(COLUMN(BV349)&lt;=26,CHAR(96+COLUMN(BV349)),(CHAR(96+(ROUNDDOWN((COLUMN(BV349)-1)/26,0)))&amp;CHAR(96+IF(MOD(COLUMN(BV349),26)=0,26,MOD(COLUMN(BV349),26))))),BV349)</f>
        <v>bv338</v>
      </c>
      <c r="BW350" s="897"/>
      <c r="CE350" s="664"/>
      <c r="CH350" s="899" t="str">
        <f>CONCATENATE(IF(COLUMN(CH349)&lt;=26,CHAR(96+COLUMN(CH349)),(CHAR(96+(ROUNDDOWN((COLUMN(CH349)-1)/26,0)))&amp;CHAR(96+IF(MOD(COLUMN(CH349),26)=0,26,MOD(COLUMN(CH349),26))))),CH349)</f>
        <v>ch338</v>
      </c>
      <c r="CI350" s="897"/>
      <c r="CQ350" s="664"/>
      <c r="CT350" s="899" t="str">
        <f>CONCATENATE(IF(COLUMN(CT349)&lt;=26,CHAR(96+COLUMN(CT349)),(CHAR(96+(ROUNDDOWN((COLUMN(CT349)-1)/26,0)))&amp;CHAR(96+IF(MOD(COLUMN(CT349),26)=0,26,MOD(COLUMN(CT349),26))))),CT349)</f>
        <v>ct338</v>
      </c>
      <c r="CU350" s="897"/>
      <c r="DC350" s="664"/>
      <c r="DF350" s="899" t="str">
        <f>CONCATENATE(IF(COLUMN(DF349)&lt;=26,CHAR(96+COLUMN(DF349)),(CHAR(96+(ROUNDDOWN((COLUMN(DF349)-1)/26,0)))&amp;CHAR(96+IF(MOD(COLUMN(DF349),26)=0,26,MOD(COLUMN(DF349),26))))),DF349)</f>
        <v>df338</v>
      </c>
      <c r="DG350" s="897"/>
      <c r="DO350" s="664"/>
    </row>
    <row r="351" spans="2:119" hidden="1" x14ac:dyDescent="0.25">
      <c r="B351" s="899" t="str">
        <f>CONCATENATE(CHAR(64+COLUMN(C349)),B349)</f>
        <v>C338</v>
      </c>
      <c r="C351" s="897"/>
      <c r="K351" s="664"/>
      <c r="N351" s="899" t="str">
        <f>CONCATENATE(CHAR(64+COLUMN(O349)),N349)</f>
        <v>O338</v>
      </c>
      <c r="O351" s="897"/>
      <c r="U351" s="663"/>
      <c r="W351" s="664"/>
      <c r="Z351" s="899" t="str">
        <f>CONCATENATE(IF(COLUMN(AA349)&lt;=26,CHAR(96+COLUMN(AA349)),(CHAR(96+(ROUNDDOWN((COLUMN(AA349)-1)/26,0)))&amp;CHAR(96+IF(MOD(COLUMN(AA349),26)=0,26,MOD(COLUMN(AA349),26))))),Z349)</f>
        <v>aa338</v>
      </c>
      <c r="AA351" s="897"/>
      <c r="AB351" s="663"/>
      <c r="AC351" s="663"/>
      <c r="AD351" s="663"/>
      <c r="AE351" s="663"/>
      <c r="AF351" s="663"/>
      <c r="AG351" s="663"/>
      <c r="AH351" s="663"/>
      <c r="AI351" s="664"/>
      <c r="AL351" s="899" t="str">
        <f>CONCATENATE(IF(COLUMN(AM349)&lt;=26,CHAR(96+COLUMN(AM349)),(CHAR(96+(ROUNDDOWN((COLUMN(AM349)-1)/26,0)))&amp;CHAR(96+IF(MOD(COLUMN(AM349),26)=0,26,MOD(COLUMN(AM349),26))))),AL349)</f>
        <v>am338</v>
      </c>
      <c r="AM351" s="897"/>
      <c r="AN351" s="663"/>
      <c r="AU351" s="664"/>
      <c r="AX351" s="899" t="str">
        <f>CONCATENATE(IF(COLUMN(AY349)&lt;=26,CHAR(96+COLUMN(AY349)),(CHAR(96+(ROUNDDOWN((COLUMN(AY349)-1)/26,0)))&amp;CHAR(96+IF(MOD(COLUMN(AY349),26)=0,26,MOD(COLUMN(AY349),26))))),AX349)</f>
        <v>ay338</v>
      </c>
      <c r="AY351" s="897"/>
      <c r="BG351" s="664"/>
      <c r="BJ351" s="899" t="str">
        <f>CONCATENATE(IF(COLUMN(BK349)&lt;=26,CHAR(96+COLUMN(BK349)),(CHAR(96+(ROUNDDOWN((COLUMN(BK349)-1)/26,0)))&amp;CHAR(96+IF(MOD(COLUMN(BK349),26)=0,26,MOD(COLUMN(BK349),26))))),BJ349)</f>
        <v>bk338</v>
      </c>
      <c r="BK351" s="897"/>
      <c r="BS351" s="664"/>
      <c r="BV351" s="899" t="str">
        <f>CONCATENATE(IF(COLUMN(BW349)&lt;=26,CHAR(96+COLUMN(BW349)),(CHAR(96+(ROUNDDOWN((COLUMN(BW349)-1)/26,0)))&amp;CHAR(96+IF(MOD(COLUMN(BW349),26)=0,26,MOD(COLUMN(BW349),26))))),BV349)</f>
        <v>bw338</v>
      </c>
      <c r="BW351" s="897"/>
      <c r="CE351" s="664"/>
      <c r="CH351" s="899" t="str">
        <f>CONCATENATE(IF(COLUMN(CI349)&lt;=26,CHAR(96+COLUMN(CI349)),(CHAR(96+(ROUNDDOWN((COLUMN(CI349)-1)/26,0)))&amp;CHAR(96+IF(MOD(COLUMN(CI349),26)=0,26,MOD(COLUMN(CI349),26))))),CH349)</f>
        <v>ci338</v>
      </c>
      <c r="CI351" s="897"/>
      <c r="CQ351" s="664"/>
      <c r="CT351" s="899" t="str">
        <f>CONCATENATE(IF(COLUMN(CU349)&lt;=26,CHAR(96+COLUMN(CU349)),(CHAR(96+(ROUNDDOWN((COLUMN(CU349)-1)/26,0)))&amp;CHAR(96+IF(MOD(COLUMN(CU349),26)=0,26,MOD(COLUMN(CU349),26))))),CT349)</f>
        <v>cu338</v>
      </c>
      <c r="CU351" s="897"/>
      <c r="DC351" s="664"/>
      <c r="DF351" s="899" t="str">
        <f>CONCATENATE(IF(COLUMN(DG349)&lt;=26,CHAR(96+COLUMN(DG349)),(CHAR(96+(ROUNDDOWN((COLUMN(DG349)-1)/26,0)))&amp;CHAR(96+IF(MOD(COLUMN(DG349),26)=0,26,MOD(COLUMN(DG349),26))))),DF349)</f>
        <v>dg338</v>
      </c>
      <c r="DG351" s="897"/>
      <c r="DO351" s="664"/>
    </row>
    <row r="352" spans="2:119" hidden="1" x14ac:dyDescent="0.25">
      <c r="B352" s="894"/>
      <c r="C352" s="881"/>
      <c r="K352" s="664"/>
      <c r="N352" s="894"/>
      <c r="O352" s="881"/>
      <c r="U352" s="663"/>
      <c r="W352" s="664"/>
      <c r="Z352" s="894"/>
      <c r="AA352" s="881"/>
      <c r="AB352" s="663"/>
      <c r="AC352" s="663"/>
      <c r="AD352" s="663"/>
      <c r="AE352" s="663"/>
      <c r="AF352" s="663"/>
      <c r="AG352" s="663"/>
      <c r="AH352" s="663"/>
      <c r="AI352" s="664"/>
      <c r="AL352" s="894"/>
      <c r="AM352" s="881"/>
      <c r="AN352" s="663"/>
      <c r="AU352" s="664"/>
      <c r="AX352" s="894"/>
      <c r="AY352" s="881"/>
      <c r="BG352" s="664"/>
      <c r="BJ352" s="894"/>
      <c r="BK352" s="881"/>
      <c r="BS352" s="664"/>
      <c r="BV352" s="894"/>
      <c r="BW352" s="881"/>
      <c r="CE352" s="664"/>
      <c r="CH352" s="894"/>
      <c r="CI352" s="881"/>
      <c r="CQ352" s="664"/>
      <c r="CT352" s="894"/>
      <c r="CU352" s="881"/>
      <c r="DC352" s="664"/>
      <c r="DF352" s="894"/>
      <c r="DG352" s="881"/>
      <c r="DO352" s="664"/>
    </row>
    <row r="353" spans="2:119" hidden="1" x14ac:dyDescent="0.25">
      <c r="B353" s="894"/>
      <c r="C353" s="881"/>
      <c r="K353" s="664"/>
      <c r="N353" s="894"/>
      <c r="O353" s="881"/>
      <c r="U353" s="663"/>
      <c r="W353" s="664"/>
      <c r="Z353" s="894"/>
      <c r="AA353" s="881"/>
      <c r="AB353" s="663"/>
      <c r="AC353" s="663"/>
      <c r="AD353" s="663"/>
      <c r="AE353" s="663"/>
      <c r="AF353" s="663"/>
      <c r="AG353" s="663"/>
      <c r="AH353" s="663"/>
      <c r="AI353" s="664"/>
      <c r="AL353" s="894"/>
      <c r="AM353" s="881"/>
      <c r="AN353" s="663"/>
      <c r="AU353" s="664"/>
      <c r="AX353" s="894"/>
      <c r="AY353" s="881"/>
      <c r="BG353" s="664"/>
      <c r="BJ353" s="894"/>
      <c r="BK353" s="881"/>
      <c r="BS353" s="664"/>
      <c r="BV353" s="894"/>
      <c r="BW353" s="881"/>
      <c r="CE353" s="664"/>
      <c r="CH353" s="894"/>
      <c r="CI353" s="881"/>
      <c r="CQ353" s="664"/>
      <c r="CT353" s="894"/>
      <c r="CU353" s="881"/>
      <c r="DC353" s="664"/>
      <c r="DF353" s="894"/>
      <c r="DG353" s="881"/>
      <c r="DO353" s="664"/>
    </row>
    <row r="354" spans="2:119" hidden="1" x14ac:dyDescent="0.25">
      <c r="B354" s="894" t="str">
        <f>CONCATENATE(B204," Gross Return Analysis")</f>
        <v>Inv C Gross Return Analysis</v>
      </c>
      <c r="C354" s="881"/>
      <c r="K354" s="664"/>
      <c r="N354" s="894" t="str">
        <f>CONCATENATE(N204," Gross Return Analysis")</f>
        <v>Inv C Gross Return Analysis</v>
      </c>
      <c r="O354" s="881"/>
      <c r="U354" s="663"/>
      <c r="W354" s="664"/>
      <c r="Z354" s="894" t="str">
        <f>CONCATENATE(Z204," Gross Return Analysis")</f>
        <v>Inv C Gross Return Analysis</v>
      </c>
      <c r="AA354" s="881"/>
      <c r="AB354" s="663"/>
      <c r="AC354" s="663"/>
      <c r="AD354" s="663"/>
      <c r="AE354" s="663"/>
      <c r="AF354" s="663"/>
      <c r="AG354" s="663"/>
      <c r="AH354" s="663"/>
      <c r="AI354" s="664"/>
      <c r="AL354" s="894" t="str">
        <f>CONCATENATE(AL204," Gross Return Analysis")</f>
        <v>Inv C Gross Return Analysis</v>
      </c>
      <c r="AM354" s="881"/>
      <c r="AN354" s="663"/>
      <c r="AU354" s="664"/>
      <c r="AX354" s="894" t="str">
        <f>CONCATENATE(AX204," Gross Return Analysis")</f>
        <v>Inv C Gross Return Analysis</v>
      </c>
      <c r="AY354" s="881"/>
      <c r="BG354" s="664"/>
      <c r="BJ354" s="894" t="str">
        <f>CONCATENATE(BJ204," Gross Return Analysis")</f>
        <v>Inv C Gross Return Analysis</v>
      </c>
      <c r="BK354" s="881"/>
      <c r="BS354" s="664"/>
      <c r="BV354" s="894" t="str">
        <f>CONCATENATE(BV204," Gross Return Analysis")</f>
        <v>Inv C Gross Return Analysis</v>
      </c>
      <c r="BW354" s="881"/>
      <c r="CE354" s="664"/>
      <c r="CH354" s="894" t="str">
        <f>CONCATENATE(CH204," Gross Return Analysis")</f>
        <v>Inv C Gross Return Analysis</v>
      </c>
      <c r="CI354" s="881"/>
      <c r="CQ354" s="664"/>
      <c r="CT354" s="894" t="str">
        <f>CONCATENATE(CT204," Gross Return Analysis")</f>
        <v>Inv C Gross Return Analysis</v>
      </c>
      <c r="CU354" s="881"/>
      <c r="DC354" s="664"/>
      <c r="DF354" s="894" t="str">
        <f>CONCATENATE(DF204," Gross Return Analysis")</f>
        <v>Inv C Gross Return Analysis</v>
      </c>
      <c r="DG354" s="881"/>
      <c r="DO354" s="664"/>
    </row>
    <row r="355" spans="2:119" hidden="1" x14ac:dyDescent="0.25">
      <c r="B355" s="668" t="s">
        <v>114</v>
      </c>
      <c r="C355" s="666">
        <f ca="1">C204</f>
        <v>0</v>
      </c>
      <c r="K355" s="664"/>
      <c r="N355" s="668" t="s">
        <v>114</v>
      </c>
      <c r="O355" s="666">
        <f ca="1">O204</f>
        <v>0</v>
      </c>
      <c r="U355" s="663"/>
      <c r="W355" s="664"/>
      <c r="Z355" s="668" t="s">
        <v>114</v>
      </c>
      <c r="AA355" s="666">
        <f ca="1">AA204</f>
        <v>0</v>
      </c>
      <c r="AB355" s="663"/>
      <c r="AC355" s="663"/>
      <c r="AD355" s="663"/>
      <c r="AE355" s="663"/>
      <c r="AF355" s="663"/>
      <c r="AG355" s="663"/>
      <c r="AH355" s="663"/>
      <c r="AI355" s="664"/>
      <c r="AL355" s="668" t="s">
        <v>114</v>
      </c>
      <c r="AM355" s="666">
        <f ca="1">AM204</f>
        <v>0</v>
      </c>
      <c r="AN355" s="663"/>
      <c r="AU355" s="664"/>
      <c r="AX355" s="668" t="s">
        <v>114</v>
      </c>
      <c r="AY355" s="666">
        <f ca="1">AY204</f>
        <v>0</v>
      </c>
      <c r="BG355" s="664"/>
      <c r="BJ355" s="668" t="s">
        <v>114</v>
      </c>
      <c r="BK355" s="666">
        <f ca="1">BK204</f>
        <v>0</v>
      </c>
      <c r="BS355" s="664"/>
      <c r="BV355" s="668" t="s">
        <v>114</v>
      </c>
      <c r="BW355" s="666">
        <f ca="1">BW204</f>
        <v>0</v>
      </c>
      <c r="CE355" s="664"/>
      <c r="CH355" s="668" t="s">
        <v>114</v>
      </c>
      <c r="CI355" s="666">
        <f ca="1">CI204</f>
        <v>0</v>
      </c>
      <c r="CQ355" s="664"/>
      <c r="CT355" s="668" t="s">
        <v>114</v>
      </c>
      <c r="CU355" s="666">
        <f ca="1">CU204</f>
        <v>0</v>
      </c>
      <c r="DC355" s="664"/>
      <c r="DF355" s="668" t="s">
        <v>114</v>
      </c>
      <c r="DG355" s="666">
        <f ca="1">DG204</f>
        <v>0</v>
      </c>
      <c r="DO355" s="664"/>
    </row>
    <row r="356" spans="2:119" hidden="1" x14ac:dyDescent="0.25">
      <c r="B356" s="668" t="s">
        <v>115</v>
      </c>
      <c r="C356" s="895">
        <f ca="1">IF($P$31=0,0,C204/$P$31)</f>
        <v>0</v>
      </c>
      <c r="K356" s="664"/>
      <c r="N356" s="668" t="s">
        <v>115</v>
      </c>
      <c r="O356" s="895">
        <f ca="1">IF($P$31=0,0,O204/$P$31)</f>
        <v>0</v>
      </c>
      <c r="U356" s="663"/>
      <c r="W356" s="664"/>
      <c r="Z356" s="668" t="s">
        <v>115</v>
      </c>
      <c r="AA356" s="895">
        <f ca="1">IF($P$31=0,0,AA204/$P$31)</f>
        <v>0</v>
      </c>
      <c r="AB356" s="663"/>
      <c r="AC356" s="663"/>
      <c r="AD356" s="663"/>
      <c r="AE356" s="663"/>
      <c r="AF356" s="663"/>
      <c r="AG356" s="663"/>
      <c r="AH356" s="663"/>
      <c r="AI356" s="664"/>
      <c r="AL356" s="668" t="s">
        <v>115</v>
      </c>
      <c r="AM356" s="895">
        <f ca="1">IF($P$31=0,0,AM204/$P$31)</f>
        <v>0</v>
      </c>
      <c r="AN356" s="663"/>
      <c r="AU356" s="664"/>
      <c r="AX356" s="668" t="s">
        <v>115</v>
      </c>
      <c r="AY356" s="895">
        <f ca="1">IF($P$31=0,0,AY204/$P$31)</f>
        <v>0</v>
      </c>
      <c r="BG356" s="664"/>
      <c r="BJ356" s="668" t="s">
        <v>115</v>
      </c>
      <c r="BK356" s="895">
        <f ca="1">IF($P$31=0,0,BK204/$P$31)</f>
        <v>0</v>
      </c>
      <c r="BS356" s="664"/>
      <c r="BV356" s="668" t="s">
        <v>115</v>
      </c>
      <c r="BW356" s="895">
        <f ca="1">IF($P$31=0,0,BW204/$P$31)</f>
        <v>0</v>
      </c>
      <c r="CE356" s="664"/>
      <c r="CH356" s="668" t="s">
        <v>115</v>
      </c>
      <c r="CI356" s="895">
        <f ca="1">IF($P$31=0,0,CI204/$P$31)</f>
        <v>0</v>
      </c>
      <c r="CQ356" s="664"/>
      <c r="CT356" s="668" t="s">
        <v>115</v>
      </c>
      <c r="CU356" s="895">
        <f ca="1">IF($P$31=0,0,CU204/$P$31)</f>
        <v>0</v>
      </c>
      <c r="DC356" s="664"/>
      <c r="DF356" s="668" t="s">
        <v>115</v>
      </c>
      <c r="DG356" s="895">
        <f ca="1">IF($P$31=0,0,DG204/$P$31)</f>
        <v>0</v>
      </c>
      <c r="DO356" s="664"/>
    </row>
    <row r="357" spans="2:119" hidden="1" x14ac:dyDescent="0.25">
      <c r="B357" s="896">
        <f>$F$5</f>
        <v>39113</v>
      </c>
      <c r="C357" s="897">
        <f>-$F$31</f>
        <v>-1000000</v>
      </c>
      <c r="K357" s="664"/>
      <c r="N357" s="896">
        <f>$F$5</f>
        <v>39113</v>
      </c>
      <c r="O357" s="897">
        <f>-$F$31</f>
        <v>-1000000</v>
      </c>
      <c r="U357" s="663"/>
      <c r="W357" s="664"/>
      <c r="Z357" s="896">
        <f>$F$5</f>
        <v>39113</v>
      </c>
      <c r="AA357" s="897">
        <f>-$F$31</f>
        <v>-1000000</v>
      </c>
      <c r="AB357" s="663"/>
      <c r="AC357" s="663"/>
      <c r="AD357" s="663"/>
      <c r="AE357" s="663"/>
      <c r="AF357" s="663"/>
      <c r="AG357" s="663"/>
      <c r="AH357" s="663"/>
      <c r="AI357" s="664"/>
      <c r="AL357" s="896">
        <f>$F$5</f>
        <v>39113</v>
      </c>
      <c r="AM357" s="897">
        <f>-$F$31</f>
        <v>-1000000</v>
      </c>
      <c r="AN357" s="663"/>
      <c r="AU357" s="664"/>
      <c r="AX357" s="896">
        <f>$F$5</f>
        <v>39113</v>
      </c>
      <c r="AY357" s="897">
        <f>-$F$31</f>
        <v>-1000000</v>
      </c>
      <c r="BG357" s="664"/>
      <c r="BJ357" s="896">
        <f>$F$5</f>
        <v>39113</v>
      </c>
      <c r="BK357" s="897">
        <f>-$F$31</f>
        <v>-1000000</v>
      </c>
      <c r="BS357" s="664"/>
      <c r="BV357" s="896">
        <f>$F$5</f>
        <v>39113</v>
      </c>
      <c r="BW357" s="897">
        <f>-$F$31</f>
        <v>-1000000</v>
      </c>
      <c r="CE357" s="664"/>
      <c r="CH357" s="896">
        <f>$F$5</f>
        <v>39113</v>
      </c>
      <c r="CI357" s="897">
        <f>-$F$31</f>
        <v>-1000000</v>
      </c>
      <c r="CQ357" s="664"/>
      <c r="CT357" s="896">
        <f>$F$5</f>
        <v>39113</v>
      </c>
      <c r="CU357" s="897">
        <f>-$F$31</f>
        <v>-1000000</v>
      </c>
      <c r="DC357" s="664"/>
      <c r="DF357" s="896">
        <f>$F$5</f>
        <v>39113</v>
      </c>
      <c r="DG357" s="897">
        <f>-$F$31</f>
        <v>-1000000</v>
      </c>
      <c r="DO357" s="664"/>
    </row>
    <row r="358" spans="2:119" hidden="1" x14ac:dyDescent="0.25">
      <c r="B358" s="896">
        <f>$G$5</f>
        <v>39478</v>
      </c>
      <c r="C358" s="897">
        <f>-$G$31</f>
        <v>-2000000</v>
      </c>
      <c r="K358" s="664"/>
      <c r="N358" s="896">
        <f>$G$5</f>
        <v>39478</v>
      </c>
      <c r="O358" s="897">
        <f>-$G$31</f>
        <v>-2000000</v>
      </c>
      <c r="U358" s="663"/>
      <c r="W358" s="664"/>
      <c r="Z358" s="896">
        <f>$G$5</f>
        <v>39478</v>
      </c>
      <c r="AA358" s="897">
        <f>-$G$31</f>
        <v>-2000000</v>
      </c>
      <c r="AB358" s="663"/>
      <c r="AC358" s="663"/>
      <c r="AD358" s="663"/>
      <c r="AE358" s="663"/>
      <c r="AF358" s="663"/>
      <c r="AG358" s="663"/>
      <c r="AH358" s="663"/>
      <c r="AI358" s="664"/>
      <c r="AL358" s="896">
        <f>$G$5</f>
        <v>39478</v>
      </c>
      <c r="AM358" s="897">
        <f>-$G$31</f>
        <v>-2000000</v>
      </c>
      <c r="AN358" s="663"/>
      <c r="AU358" s="664"/>
      <c r="AX358" s="896">
        <f>$G$5</f>
        <v>39478</v>
      </c>
      <c r="AY358" s="897">
        <f>-$G$31</f>
        <v>-2000000</v>
      </c>
      <c r="BG358" s="664"/>
      <c r="BJ358" s="896">
        <f>$G$5</f>
        <v>39478</v>
      </c>
      <c r="BK358" s="897">
        <f>-$G$31</f>
        <v>-2000000</v>
      </c>
      <c r="BS358" s="664"/>
      <c r="BV358" s="896">
        <f>$G$5</f>
        <v>39478</v>
      </c>
      <c r="BW358" s="897">
        <f>-$G$31</f>
        <v>-2000000</v>
      </c>
      <c r="CE358" s="664"/>
      <c r="CH358" s="896">
        <f>$G$5</f>
        <v>39478</v>
      </c>
      <c r="CI358" s="897">
        <f>-$G$31</f>
        <v>-2000000</v>
      </c>
      <c r="CQ358" s="664"/>
      <c r="CT358" s="896">
        <f>$G$5</f>
        <v>39478</v>
      </c>
      <c r="CU358" s="897">
        <f>-$G$31</f>
        <v>-2000000</v>
      </c>
      <c r="DC358" s="664"/>
      <c r="DF358" s="896">
        <f>$G$5</f>
        <v>39478</v>
      </c>
      <c r="DG358" s="897">
        <f>-$G$31</f>
        <v>-2000000</v>
      </c>
      <c r="DO358" s="664"/>
    </row>
    <row r="359" spans="2:119" hidden="1" x14ac:dyDescent="0.25">
      <c r="B359" s="896">
        <f>$H$5</f>
        <v>39843</v>
      </c>
      <c r="C359" s="897">
        <f>-$H$31</f>
        <v>-2500000</v>
      </c>
      <c r="K359" s="664"/>
      <c r="N359" s="896">
        <f>$H$5</f>
        <v>39843</v>
      </c>
      <c r="O359" s="897">
        <f>-$H$31</f>
        <v>-2500000</v>
      </c>
      <c r="U359" s="663"/>
      <c r="W359" s="664"/>
      <c r="Z359" s="896">
        <f>$H$5</f>
        <v>39843</v>
      </c>
      <c r="AA359" s="897">
        <f>-$H$31</f>
        <v>-2500000</v>
      </c>
      <c r="AB359" s="663"/>
      <c r="AC359" s="663"/>
      <c r="AD359" s="663"/>
      <c r="AE359" s="663"/>
      <c r="AF359" s="663"/>
      <c r="AG359" s="663"/>
      <c r="AH359" s="663"/>
      <c r="AI359" s="664"/>
      <c r="AL359" s="896">
        <f>$H$5</f>
        <v>39843</v>
      </c>
      <c r="AM359" s="897">
        <f>-$H$31</f>
        <v>-2500000</v>
      </c>
      <c r="AN359" s="663"/>
      <c r="AU359" s="664"/>
      <c r="AX359" s="896">
        <f>$H$5</f>
        <v>39843</v>
      </c>
      <c r="AY359" s="897">
        <f>-$H$31</f>
        <v>-2500000</v>
      </c>
      <c r="BG359" s="664"/>
      <c r="BJ359" s="896">
        <f>$H$5</f>
        <v>39843</v>
      </c>
      <c r="BK359" s="897">
        <f>-$H$31</f>
        <v>-2500000</v>
      </c>
      <c r="BS359" s="664"/>
      <c r="BV359" s="896">
        <f>$H$5</f>
        <v>39843</v>
      </c>
      <c r="BW359" s="897">
        <f>-$H$31</f>
        <v>-2500000</v>
      </c>
      <c r="CE359" s="664"/>
      <c r="CH359" s="896">
        <f>$H$5</f>
        <v>39843</v>
      </c>
      <c r="CI359" s="897">
        <f>-$H$31</f>
        <v>-2500000</v>
      </c>
      <c r="CQ359" s="664"/>
      <c r="CT359" s="896">
        <f>$H$5</f>
        <v>39843</v>
      </c>
      <c r="CU359" s="897">
        <f>-$H$31</f>
        <v>-2500000</v>
      </c>
      <c r="DC359" s="664"/>
      <c r="DF359" s="896">
        <f>$H$5</f>
        <v>39843</v>
      </c>
      <c r="DG359" s="897">
        <f>-$H$31</f>
        <v>-2500000</v>
      </c>
      <c r="DO359" s="664"/>
    </row>
    <row r="360" spans="2:119" hidden="1" x14ac:dyDescent="0.25">
      <c r="B360" s="896">
        <f>$I$5</f>
        <v>39843</v>
      </c>
      <c r="C360" s="897">
        <f>-$I$31</f>
        <v>0</v>
      </c>
      <c r="K360" s="664"/>
      <c r="N360" s="896">
        <f>$I$5</f>
        <v>39843</v>
      </c>
      <c r="O360" s="897">
        <f>-$I$31</f>
        <v>0</v>
      </c>
      <c r="U360" s="663"/>
      <c r="W360" s="664"/>
      <c r="Z360" s="896">
        <f>$I$5</f>
        <v>39843</v>
      </c>
      <c r="AA360" s="897">
        <f>-$I$31</f>
        <v>0</v>
      </c>
      <c r="AB360" s="663"/>
      <c r="AC360" s="663"/>
      <c r="AD360" s="663"/>
      <c r="AE360" s="663"/>
      <c r="AF360" s="663"/>
      <c r="AG360" s="663"/>
      <c r="AH360" s="663"/>
      <c r="AI360" s="664"/>
      <c r="AL360" s="896">
        <f>$I$5</f>
        <v>39843</v>
      </c>
      <c r="AM360" s="897">
        <f>-$I$31</f>
        <v>0</v>
      </c>
      <c r="AN360" s="663"/>
      <c r="AU360" s="664"/>
      <c r="AX360" s="896">
        <f>$I$5</f>
        <v>39843</v>
      </c>
      <c r="AY360" s="897">
        <f>-$I$31</f>
        <v>0</v>
      </c>
      <c r="BG360" s="664"/>
      <c r="BJ360" s="896">
        <f>$I$5</f>
        <v>39843</v>
      </c>
      <c r="BK360" s="897">
        <f>-$I$31</f>
        <v>0</v>
      </c>
      <c r="BS360" s="664"/>
      <c r="BV360" s="896">
        <f>$I$5</f>
        <v>39843</v>
      </c>
      <c r="BW360" s="897">
        <f>-$I$31</f>
        <v>0</v>
      </c>
      <c r="CE360" s="664"/>
      <c r="CH360" s="896">
        <f>$I$5</f>
        <v>39843</v>
      </c>
      <c r="CI360" s="897">
        <f>-$I$31</f>
        <v>0</v>
      </c>
      <c r="CQ360" s="664"/>
      <c r="CT360" s="896">
        <f>$I$5</f>
        <v>39843</v>
      </c>
      <c r="CU360" s="897">
        <f>-$I$31</f>
        <v>0</v>
      </c>
      <c r="DC360" s="664"/>
      <c r="DF360" s="896">
        <f>$I$5</f>
        <v>39843</v>
      </c>
      <c r="DG360" s="897">
        <f>-$I$31</f>
        <v>0</v>
      </c>
      <c r="DO360" s="664"/>
    </row>
    <row r="361" spans="2:119" hidden="1" x14ac:dyDescent="0.25">
      <c r="B361" s="896">
        <f>$J$5</f>
        <v>39843</v>
      </c>
      <c r="C361" s="897">
        <f>-$J$31</f>
        <v>0</v>
      </c>
      <c r="K361" s="664"/>
      <c r="N361" s="896">
        <f>$J$5</f>
        <v>39843</v>
      </c>
      <c r="O361" s="897">
        <f>-$J$31</f>
        <v>0</v>
      </c>
      <c r="U361" s="663"/>
      <c r="W361" s="664"/>
      <c r="Z361" s="896">
        <f>$J$5</f>
        <v>39843</v>
      </c>
      <c r="AA361" s="897">
        <f>-$J$31</f>
        <v>0</v>
      </c>
      <c r="AB361" s="663"/>
      <c r="AC361" s="663"/>
      <c r="AD361" s="663"/>
      <c r="AE361" s="663"/>
      <c r="AF361" s="663"/>
      <c r="AG361" s="663"/>
      <c r="AH361" s="663"/>
      <c r="AI361" s="664"/>
      <c r="AL361" s="896">
        <f>$J$5</f>
        <v>39843</v>
      </c>
      <c r="AM361" s="897">
        <f>-$J$31</f>
        <v>0</v>
      </c>
      <c r="AN361" s="663"/>
      <c r="AU361" s="664"/>
      <c r="AX361" s="896">
        <f>$J$5</f>
        <v>39843</v>
      </c>
      <c r="AY361" s="897">
        <f>-$J$31</f>
        <v>0</v>
      </c>
      <c r="BG361" s="664"/>
      <c r="BJ361" s="896">
        <f>$J$5</f>
        <v>39843</v>
      </c>
      <c r="BK361" s="897">
        <f>-$J$31</f>
        <v>0</v>
      </c>
      <c r="BS361" s="664"/>
      <c r="BV361" s="896">
        <f>$J$5</f>
        <v>39843</v>
      </c>
      <c r="BW361" s="897">
        <f>-$J$31</f>
        <v>0</v>
      </c>
      <c r="CE361" s="664"/>
      <c r="CH361" s="896">
        <f>$J$5</f>
        <v>39843</v>
      </c>
      <c r="CI361" s="897">
        <f>-$J$31</f>
        <v>0</v>
      </c>
      <c r="CQ361" s="664"/>
      <c r="CT361" s="896">
        <f>$J$5</f>
        <v>39843</v>
      </c>
      <c r="CU361" s="897">
        <f>-$J$31</f>
        <v>0</v>
      </c>
      <c r="DC361" s="664"/>
      <c r="DF361" s="896">
        <f>$J$5</f>
        <v>39843</v>
      </c>
      <c r="DG361" s="897">
        <f>-$J$31</f>
        <v>0</v>
      </c>
      <c r="DO361" s="664"/>
    </row>
    <row r="362" spans="2:119" hidden="1" x14ac:dyDescent="0.25">
      <c r="B362" s="896">
        <f>$K$5</f>
        <v>39843</v>
      </c>
      <c r="C362" s="897">
        <f>-$K$31</f>
        <v>0</v>
      </c>
      <c r="K362" s="664"/>
      <c r="N362" s="896">
        <f>$K$5</f>
        <v>39843</v>
      </c>
      <c r="O362" s="897">
        <f>-$K$31</f>
        <v>0</v>
      </c>
      <c r="U362" s="663"/>
      <c r="W362" s="664"/>
      <c r="Z362" s="896">
        <f>$K$5</f>
        <v>39843</v>
      </c>
      <c r="AA362" s="897">
        <f>-$K$31</f>
        <v>0</v>
      </c>
      <c r="AB362" s="663"/>
      <c r="AC362" s="663"/>
      <c r="AD362" s="663"/>
      <c r="AE362" s="663"/>
      <c r="AF362" s="663"/>
      <c r="AG362" s="663"/>
      <c r="AH362" s="663"/>
      <c r="AI362" s="664"/>
      <c r="AL362" s="896">
        <f>$K$5</f>
        <v>39843</v>
      </c>
      <c r="AM362" s="897">
        <f>-$K$31</f>
        <v>0</v>
      </c>
      <c r="AN362" s="663"/>
      <c r="AU362" s="664"/>
      <c r="AX362" s="896">
        <f>$K$5</f>
        <v>39843</v>
      </c>
      <c r="AY362" s="897">
        <f>-$K$31</f>
        <v>0</v>
      </c>
      <c r="BG362" s="664"/>
      <c r="BJ362" s="896">
        <f>$K$5</f>
        <v>39843</v>
      </c>
      <c r="BK362" s="897">
        <f>-$K$31</f>
        <v>0</v>
      </c>
      <c r="BS362" s="664"/>
      <c r="BV362" s="896">
        <f>$K$5</f>
        <v>39843</v>
      </c>
      <c r="BW362" s="897">
        <f>-$K$31</f>
        <v>0</v>
      </c>
      <c r="CE362" s="664"/>
      <c r="CH362" s="896">
        <f>$K$5</f>
        <v>39843</v>
      </c>
      <c r="CI362" s="897">
        <f>-$K$31</f>
        <v>0</v>
      </c>
      <c r="CQ362" s="664"/>
      <c r="CT362" s="896">
        <f>$K$5</f>
        <v>39843</v>
      </c>
      <c r="CU362" s="897">
        <f>-$K$31</f>
        <v>0</v>
      </c>
      <c r="DC362" s="664"/>
      <c r="DF362" s="896">
        <f>$K$5</f>
        <v>39843</v>
      </c>
      <c r="DG362" s="897">
        <f>-$K$31</f>
        <v>0</v>
      </c>
      <c r="DO362" s="664"/>
    </row>
    <row r="363" spans="2:119" hidden="1" x14ac:dyDescent="0.25">
      <c r="B363" s="896">
        <f>$L$5</f>
        <v>39843</v>
      </c>
      <c r="C363" s="897">
        <f>-$L$31</f>
        <v>0</v>
      </c>
      <c r="K363" s="664"/>
      <c r="N363" s="896">
        <f>$L$5</f>
        <v>39843</v>
      </c>
      <c r="O363" s="897">
        <f>-$L$31</f>
        <v>0</v>
      </c>
      <c r="U363" s="663"/>
      <c r="W363" s="664"/>
      <c r="Z363" s="896">
        <f>$L$5</f>
        <v>39843</v>
      </c>
      <c r="AA363" s="897">
        <f>-$L$31</f>
        <v>0</v>
      </c>
      <c r="AB363" s="663"/>
      <c r="AC363" s="663"/>
      <c r="AD363" s="663"/>
      <c r="AE363" s="663"/>
      <c r="AF363" s="663"/>
      <c r="AG363" s="663"/>
      <c r="AH363" s="663"/>
      <c r="AI363" s="664"/>
      <c r="AL363" s="896">
        <f>$L$5</f>
        <v>39843</v>
      </c>
      <c r="AM363" s="897">
        <f>-$L$31</f>
        <v>0</v>
      </c>
      <c r="AN363" s="663"/>
      <c r="AU363" s="664"/>
      <c r="AX363" s="896">
        <f>$L$5</f>
        <v>39843</v>
      </c>
      <c r="AY363" s="897">
        <f>-$L$31</f>
        <v>0</v>
      </c>
      <c r="BG363" s="664"/>
      <c r="BJ363" s="896">
        <f>$L$5</f>
        <v>39843</v>
      </c>
      <c r="BK363" s="897">
        <f>-$L$31</f>
        <v>0</v>
      </c>
      <c r="BS363" s="664"/>
      <c r="BV363" s="896">
        <f>$L$5</f>
        <v>39843</v>
      </c>
      <c r="BW363" s="897">
        <f>-$L$31</f>
        <v>0</v>
      </c>
      <c r="CE363" s="664"/>
      <c r="CH363" s="896">
        <f>$L$5</f>
        <v>39843</v>
      </c>
      <c r="CI363" s="897">
        <f>-$L$31</f>
        <v>0</v>
      </c>
      <c r="CQ363" s="664"/>
      <c r="CT363" s="896">
        <f>$L$5</f>
        <v>39843</v>
      </c>
      <c r="CU363" s="897">
        <f>-$L$31</f>
        <v>0</v>
      </c>
      <c r="DC363" s="664"/>
      <c r="DF363" s="896">
        <f>$L$5</f>
        <v>39843</v>
      </c>
      <c r="DG363" s="897">
        <f>-$L$31</f>
        <v>0</v>
      </c>
      <c r="DO363" s="664"/>
    </row>
    <row r="364" spans="2:119" hidden="1" x14ac:dyDescent="0.25">
      <c r="B364" s="896">
        <f>$M$5</f>
        <v>39843</v>
      </c>
      <c r="C364" s="897">
        <f>-$M$31</f>
        <v>0</v>
      </c>
      <c r="K364" s="664"/>
      <c r="N364" s="896">
        <f>$M$5</f>
        <v>39843</v>
      </c>
      <c r="O364" s="897">
        <f>-$M$31</f>
        <v>0</v>
      </c>
      <c r="U364" s="663"/>
      <c r="W364" s="664"/>
      <c r="Z364" s="896">
        <f>$M$5</f>
        <v>39843</v>
      </c>
      <c r="AA364" s="897">
        <f>-$M$31</f>
        <v>0</v>
      </c>
      <c r="AB364" s="663"/>
      <c r="AC364" s="663"/>
      <c r="AD364" s="663"/>
      <c r="AE364" s="663"/>
      <c r="AF364" s="663"/>
      <c r="AG364" s="663"/>
      <c r="AH364" s="663"/>
      <c r="AI364" s="664"/>
      <c r="AL364" s="896">
        <f>$M$5</f>
        <v>39843</v>
      </c>
      <c r="AM364" s="897">
        <f>-$M$31</f>
        <v>0</v>
      </c>
      <c r="AN364" s="663"/>
      <c r="AU364" s="664"/>
      <c r="AX364" s="896">
        <f>$M$5</f>
        <v>39843</v>
      </c>
      <c r="AY364" s="897">
        <f>-$M$31</f>
        <v>0</v>
      </c>
      <c r="BG364" s="664"/>
      <c r="BJ364" s="896">
        <f>$M$5</f>
        <v>39843</v>
      </c>
      <c r="BK364" s="897">
        <f>-$M$31</f>
        <v>0</v>
      </c>
      <c r="BS364" s="664"/>
      <c r="BV364" s="896">
        <f>$M$5</f>
        <v>39843</v>
      </c>
      <c r="BW364" s="897">
        <f>-$M$31</f>
        <v>0</v>
      </c>
      <c r="CE364" s="664"/>
      <c r="CH364" s="896">
        <f>$M$5</f>
        <v>39843</v>
      </c>
      <c r="CI364" s="897">
        <f>-$M$31</f>
        <v>0</v>
      </c>
      <c r="CQ364" s="664"/>
      <c r="CT364" s="896">
        <f>$M$5</f>
        <v>39843</v>
      </c>
      <c r="CU364" s="897">
        <f>-$M$31</f>
        <v>0</v>
      </c>
      <c r="DC364" s="664"/>
      <c r="DF364" s="896">
        <f>$M$5</f>
        <v>39843</v>
      </c>
      <c r="DG364" s="897">
        <f>-$M$31</f>
        <v>0</v>
      </c>
      <c r="DO364" s="664"/>
    </row>
    <row r="365" spans="2:119" hidden="1" x14ac:dyDescent="0.25">
      <c r="B365" s="896">
        <f>$N$5</f>
        <v>39843</v>
      </c>
      <c r="C365" s="897">
        <f>-$N$31</f>
        <v>0</v>
      </c>
      <c r="K365" s="664"/>
      <c r="N365" s="896">
        <f>$N$5</f>
        <v>39843</v>
      </c>
      <c r="O365" s="897">
        <f>-$N$31</f>
        <v>0</v>
      </c>
      <c r="U365" s="663"/>
      <c r="W365" s="664"/>
      <c r="Z365" s="896">
        <f>$N$5</f>
        <v>39843</v>
      </c>
      <c r="AA365" s="897">
        <f>-$N$31</f>
        <v>0</v>
      </c>
      <c r="AB365" s="663"/>
      <c r="AC365" s="663"/>
      <c r="AD365" s="663"/>
      <c r="AE365" s="663"/>
      <c r="AF365" s="663"/>
      <c r="AG365" s="663"/>
      <c r="AH365" s="663"/>
      <c r="AI365" s="664"/>
      <c r="AL365" s="896">
        <f>$N$5</f>
        <v>39843</v>
      </c>
      <c r="AM365" s="897">
        <f>-$N$31</f>
        <v>0</v>
      </c>
      <c r="AN365" s="663"/>
      <c r="AU365" s="664"/>
      <c r="AX365" s="896">
        <f>$N$5</f>
        <v>39843</v>
      </c>
      <c r="AY365" s="897">
        <f>-$N$31</f>
        <v>0</v>
      </c>
      <c r="BG365" s="664"/>
      <c r="BJ365" s="896">
        <f>$N$5</f>
        <v>39843</v>
      </c>
      <c r="BK365" s="897">
        <f>-$N$31</f>
        <v>0</v>
      </c>
      <c r="BS365" s="664"/>
      <c r="BV365" s="896">
        <f>$N$5</f>
        <v>39843</v>
      </c>
      <c r="BW365" s="897">
        <f>-$N$31</f>
        <v>0</v>
      </c>
      <c r="CE365" s="664"/>
      <c r="CH365" s="896">
        <f>$N$5</f>
        <v>39843</v>
      </c>
      <c r="CI365" s="897">
        <f>-$N$31</f>
        <v>0</v>
      </c>
      <c r="CQ365" s="664"/>
      <c r="CT365" s="896">
        <f>$N$5</f>
        <v>39843</v>
      </c>
      <c r="CU365" s="897">
        <f>-$N$31</f>
        <v>0</v>
      </c>
      <c r="DC365" s="664"/>
      <c r="DF365" s="896">
        <f>$N$5</f>
        <v>39843</v>
      </c>
      <c r="DG365" s="897">
        <f>-$N$31</f>
        <v>0</v>
      </c>
      <c r="DO365" s="664"/>
    </row>
    <row r="366" spans="2:119" hidden="1" x14ac:dyDescent="0.25">
      <c r="B366" s="896">
        <f>$O$5</f>
        <v>39843</v>
      </c>
      <c r="C366" s="897">
        <f>-$O$31</f>
        <v>0</v>
      </c>
      <c r="K366" s="664"/>
      <c r="N366" s="896">
        <f>$O$5</f>
        <v>39843</v>
      </c>
      <c r="O366" s="897">
        <f>-$O$31</f>
        <v>0</v>
      </c>
      <c r="U366" s="663"/>
      <c r="W366" s="664"/>
      <c r="Z366" s="896">
        <f>$O$5</f>
        <v>39843</v>
      </c>
      <c r="AA366" s="897">
        <f>-$O$31</f>
        <v>0</v>
      </c>
      <c r="AB366" s="663"/>
      <c r="AC366" s="663"/>
      <c r="AD366" s="663"/>
      <c r="AE366" s="663"/>
      <c r="AF366" s="663"/>
      <c r="AG366" s="663"/>
      <c r="AH366" s="663"/>
      <c r="AI366" s="664"/>
      <c r="AL366" s="896">
        <f>$O$5</f>
        <v>39843</v>
      </c>
      <c r="AM366" s="897">
        <f>-$O$31</f>
        <v>0</v>
      </c>
      <c r="AN366" s="663"/>
      <c r="AU366" s="664"/>
      <c r="AX366" s="896">
        <f>$O$5</f>
        <v>39843</v>
      </c>
      <c r="AY366" s="897">
        <f>-$O$31</f>
        <v>0</v>
      </c>
      <c r="BG366" s="664"/>
      <c r="BJ366" s="896">
        <f>$O$5</f>
        <v>39843</v>
      </c>
      <c r="BK366" s="897">
        <f>-$O$31</f>
        <v>0</v>
      </c>
      <c r="BS366" s="664"/>
      <c r="BV366" s="896">
        <f>$O$5</f>
        <v>39843</v>
      </c>
      <c r="BW366" s="897">
        <f>-$O$31</f>
        <v>0</v>
      </c>
      <c r="CE366" s="664"/>
      <c r="CH366" s="896">
        <f>$O$5</f>
        <v>39843</v>
      </c>
      <c r="CI366" s="897">
        <f>-$O$31</f>
        <v>0</v>
      </c>
      <c r="CQ366" s="664"/>
      <c r="CT366" s="896">
        <f>$O$5</f>
        <v>39843</v>
      </c>
      <c r="CU366" s="897">
        <f>-$O$31</f>
        <v>0</v>
      </c>
      <c r="DC366" s="664"/>
      <c r="DF366" s="896">
        <f>$O$5</f>
        <v>39843</v>
      </c>
      <c r="DG366" s="897">
        <f>-$O$31</f>
        <v>0</v>
      </c>
      <c r="DO366" s="664"/>
    </row>
    <row r="367" spans="2:119" hidden="1" x14ac:dyDescent="0.25">
      <c r="B367" s="896">
        <f>$C$55</f>
        <v>40999</v>
      </c>
      <c r="C367" s="897">
        <f ca="1">C355</f>
        <v>0</v>
      </c>
      <c r="K367" s="664"/>
      <c r="N367" s="896">
        <f>$C$55</f>
        <v>40999</v>
      </c>
      <c r="O367" s="897">
        <f ca="1">O355</f>
        <v>0</v>
      </c>
      <c r="U367" s="663"/>
      <c r="W367" s="664"/>
      <c r="Z367" s="896">
        <f>$C$55</f>
        <v>40999</v>
      </c>
      <c r="AA367" s="897">
        <f ca="1">AA355</f>
        <v>0</v>
      </c>
      <c r="AB367" s="663"/>
      <c r="AC367" s="663"/>
      <c r="AD367" s="663"/>
      <c r="AE367" s="663"/>
      <c r="AF367" s="663"/>
      <c r="AG367" s="663"/>
      <c r="AH367" s="663"/>
      <c r="AI367" s="664"/>
      <c r="AL367" s="896">
        <f>$C$55</f>
        <v>40999</v>
      </c>
      <c r="AM367" s="897">
        <f ca="1">AM355</f>
        <v>0</v>
      </c>
      <c r="AN367" s="663"/>
      <c r="AU367" s="664"/>
      <c r="AX367" s="896">
        <f>$C$55</f>
        <v>40999</v>
      </c>
      <c r="AY367" s="897">
        <f ca="1">AY355</f>
        <v>0</v>
      </c>
      <c r="BG367" s="664"/>
      <c r="BJ367" s="896">
        <f>$C$55</f>
        <v>40999</v>
      </c>
      <c r="BK367" s="897">
        <f ca="1">BK355</f>
        <v>0</v>
      </c>
      <c r="BS367" s="664"/>
      <c r="BV367" s="896">
        <f>$C$55</f>
        <v>40999</v>
      </c>
      <c r="BW367" s="897">
        <f ca="1">BW355</f>
        <v>0</v>
      </c>
      <c r="CE367" s="664"/>
      <c r="CH367" s="896">
        <f>$C$55</f>
        <v>40999</v>
      </c>
      <c r="CI367" s="897">
        <f ca="1">CI355</f>
        <v>0</v>
      </c>
      <c r="CQ367" s="664"/>
      <c r="CT367" s="896">
        <f>$C$55</f>
        <v>40999</v>
      </c>
      <c r="CU367" s="897">
        <f ca="1">CU355</f>
        <v>0</v>
      </c>
      <c r="DC367" s="664"/>
      <c r="DF367" s="896">
        <f>$C$55</f>
        <v>40999</v>
      </c>
      <c r="DG367" s="897">
        <f ca="1">DG355</f>
        <v>0</v>
      </c>
      <c r="DO367" s="664"/>
    </row>
    <row r="368" spans="2:119" hidden="1" x14ac:dyDescent="0.25">
      <c r="B368" s="898">
        <f>IF(C357&lt;&gt;0,ROW(C357),IF(C358&lt;&gt;0,ROW(C358),IF(C359&lt;&gt;0,ROW(C359),IF(C360&lt;&gt;0,ROW(C360),IF(C361&lt;&gt;0,ROW(C361),IF(C362&lt;&gt;0,ROW(C362),IF(C363&lt;&gt;0,ROW(C363),IF(C364&lt;&gt;0,ROW(C364),IF(C365&lt;&gt;0,ROW(C365),IF(C366&lt;&gt;0,ROW(C366),0))))))))))</f>
        <v>357</v>
      </c>
      <c r="C368" s="882" t="e">
        <f ca="1">IF(ISERROR(XIRR(INDIRECT(B370):C367,INDIRECT(B369):B367,-20%)),XIRR(INDIRECT(B370):C367,INDIRECT(B369):B367,20%),"N/A")</f>
        <v>#NUM!</v>
      </c>
      <c r="K368" s="664"/>
      <c r="N368" s="898">
        <f>IF(O357&lt;&gt;0,ROW(O357),IF(O358&lt;&gt;0,ROW(O358),IF(O359&lt;&gt;0,ROW(O359),IF(O360&lt;&gt;0,ROW(O360),IF(O361&lt;&gt;0,ROW(O361),IF(O362&lt;&gt;0,ROW(O362),IF(O363&lt;&gt;0,ROW(O363),IF(O364&lt;&gt;0,ROW(O364),IF(O365&lt;&gt;0,ROW(O365),IF(O366&lt;&gt;0,ROW(O366),0))))))))))</f>
        <v>357</v>
      </c>
      <c r="O368" s="882" t="e">
        <f ca="1">IF(ISERROR(XIRR(INDIRECT(N370):O367,INDIRECT(N369):N367,-20%)),XIRR(INDIRECT(N370):O367,INDIRECT(N369):N367,20%),"N/A")</f>
        <v>#NUM!</v>
      </c>
      <c r="U368" s="663"/>
      <c r="W368" s="664"/>
      <c r="Z368" s="898">
        <f>IF(AA357&lt;&gt;0,ROW(AA357),IF(AA358&lt;&gt;0,ROW(AA358),IF(AA359&lt;&gt;0,ROW(AA359),IF(AA360&lt;&gt;0,ROW(AA360),IF(AA361&lt;&gt;0,ROW(AA361),IF(AA362&lt;&gt;0,ROW(AA362),IF(AA363&lt;&gt;0,ROW(AA363),IF(AA364&lt;&gt;0,ROW(AA364),IF(AA365&lt;&gt;0,ROW(AA365),IF(AA366&lt;&gt;0,ROW(AA366),0))))))))))</f>
        <v>357</v>
      </c>
      <c r="AA368" s="882" t="e">
        <f ca="1">IF(ISERROR(XIRR(INDIRECT(Z370):AA367,INDIRECT(Z369):Z367,-20%)),XIRR(INDIRECT(Z370):AA367,INDIRECT(Z369):Z367,20%),"N/A")</f>
        <v>#NUM!</v>
      </c>
      <c r="AB368" s="663"/>
      <c r="AC368" s="663"/>
      <c r="AD368" s="663"/>
      <c r="AE368" s="663"/>
      <c r="AF368" s="663"/>
      <c r="AG368" s="663"/>
      <c r="AH368" s="663"/>
      <c r="AI368" s="664"/>
      <c r="AL368" s="898">
        <f>IF(AM357&lt;&gt;0,ROW(AM357),IF(AM358&lt;&gt;0,ROW(AM358),IF(AM359&lt;&gt;0,ROW(AM359),IF(AM360&lt;&gt;0,ROW(AM360),IF(AM361&lt;&gt;0,ROW(AM361),IF(AM362&lt;&gt;0,ROW(AM362),IF(AM363&lt;&gt;0,ROW(AM363),IF(AM364&lt;&gt;0,ROW(AM364),IF(AM365&lt;&gt;0,ROW(AM365),IF(AM366&lt;&gt;0,ROW(AM366),0))))))))))</f>
        <v>357</v>
      </c>
      <c r="AM368" s="882" t="e">
        <f ca="1">IF(ISERROR(XIRR(INDIRECT(AL370):AM367,INDIRECT(AL369):AL367,-20%)),XIRR(INDIRECT(AL370):AM367,INDIRECT(AL369):AL367,20%),"N/A")</f>
        <v>#NUM!</v>
      </c>
      <c r="AN368" s="663"/>
      <c r="AU368" s="664"/>
      <c r="AX368" s="898">
        <f>IF(AY357&lt;&gt;0,ROW(AY357),IF(AY358&lt;&gt;0,ROW(AY358),IF(AY359&lt;&gt;0,ROW(AY359),IF(AY360&lt;&gt;0,ROW(AY360),IF(AY361&lt;&gt;0,ROW(AY361),IF(AY362&lt;&gt;0,ROW(AY362),IF(AY363&lt;&gt;0,ROW(AY363),IF(AY364&lt;&gt;0,ROW(AY364),IF(AY365&lt;&gt;0,ROW(AY365),IF(AY366&lt;&gt;0,ROW(AY366),0))))))))))</f>
        <v>357</v>
      </c>
      <c r="AY368" s="882" t="e">
        <f ca="1">IF(ISERROR(XIRR(INDIRECT(AX370):AY367,INDIRECT(AX369):AX367,-20%)),XIRR(INDIRECT(AX370):AY367,INDIRECT(AX369):AX367,20%),"N/A")</f>
        <v>#NUM!</v>
      </c>
      <c r="BG368" s="664"/>
      <c r="BJ368" s="898">
        <f>IF(BK357&lt;&gt;0,ROW(BK357),IF(BK358&lt;&gt;0,ROW(BK358),IF(BK359&lt;&gt;0,ROW(BK359),IF(BK360&lt;&gt;0,ROW(BK360),IF(BK361&lt;&gt;0,ROW(BK361),IF(BK362&lt;&gt;0,ROW(BK362),IF(BK363&lt;&gt;0,ROW(BK363),IF(BK364&lt;&gt;0,ROW(BK364),IF(BK365&lt;&gt;0,ROW(BK365),IF(BK366&lt;&gt;0,ROW(BK366),0))))))))))</f>
        <v>357</v>
      </c>
      <c r="BK368" s="882" t="e">
        <f ca="1">IF(ISERROR(XIRR(INDIRECT(BJ370):BK367,INDIRECT(BJ369):BJ367,-20%)),XIRR(INDIRECT(BJ370):BK367,INDIRECT(BJ369):BJ367,20%),"N/A")</f>
        <v>#NUM!</v>
      </c>
      <c r="BS368" s="664"/>
      <c r="BV368" s="898">
        <f>IF(BW357&lt;&gt;0,ROW(BW357),IF(BW358&lt;&gt;0,ROW(BW358),IF(BW359&lt;&gt;0,ROW(BW359),IF(BW360&lt;&gt;0,ROW(BW360),IF(BW361&lt;&gt;0,ROW(BW361),IF(BW362&lt;&gt;0,ROW(BW362),IF(BW363&lt;&gt;0,ROW(BW363),IF(BW364&lt;&gt;0,ROW(BW364),IF(BW365&lt;&gt;0,ROW(BW365),IF(BW366&lt;&gt;0,ROW(BW366),0))))))))))</f>
        <v>357</v>
      </c>
      <c r="BW368" s="882" t="e">
        <f ca="1">IF(ISERROR(XIRR(INDIRECT(BV370):BW367,INDIRECT(BV369):BV367,-20%)),XIRR(INDIRECT(BV370):BW367,INDIRECT(BV369):BV367,20%),"N/A")</f>
        <v>#NUM!</v>
      </c>
      <c r="CE368" s="664"/>
      <c r="CH368" s="898">
        <f>IF(CI357&lt;&gt;0,ROW(CI357),IF(CI358&lt;&gt;0,ROW(CI358),IF(CI359&lt;&gt;0,ROW(CI359),IF(CI360&lt;&gt;0,ROW(CI360),IF(CI361&lt;&gt;0,ROW(CI361),IF(CI362&lt;&gt;0,ROW(CI362),IF(CI363&lt;&gt;0,ROW(CI363),IF(CI364&lt;&gt;0,ROW(CI364),IF(CI365&lt;&gt;0,ROW(CI365),IF(CI366&lt;&gt;0,ROW(CI366),0))))))))))</f>
        <v>357</v>
      </c>
      <c r="CI368" s="882" t="e">
        <f ca="1">IF(ISERROR(XIRR(INDIRECT(CH370):CI367,INDIRECT(CH369):CH367,-20%)),XIRR(INDIRECT(CH370):CI367,INDIRECT(CH369):CH367,20%),"N/A")</f>
        <v>#NUM!</v>
      </c>
      <c r="CQ368" s="664"/>
      <c r="CT368" s="898">
        <f>IF(CU357&lt;&gt;0,ROW(CU357),IF(CU358&lt;&gt;0,ROW(CU358),IF(CU359&lt;&gt;0,ROW(CU359),IF(CU360&lt;&gt;0,ROW(CU360),IF(CU361&lt;&gt;0,ROW(CU361),IF(CU362&lt;&gt;0,ROW(CU362),IF(CU363&lt;&gt;0,ROW(CU363),IF(CU364&lt;&gt;0,ROW(CU364),IF(CU365&lt;&gt;0,ROW(CU365),IF(CU366&lt;&gt;0,ROW(CU366),0))))))))))</f>
        <v>357</v>
      </c>
      <c r="CU368" s="882" t="e">
        <f ca="1">IF(ISERROR(XIRR(INDIRECT(CT370):CU367,INDIRECT(CT369):CT367,-20%)),XIRR(INDIRECT(CT370):CU367,INDIRECT(CT369):CT367,20%),"N/A")</f>
        <v>#NUM!</v>
      </c>
      <c r="DC368" s="664"/>
      <c r="DF368" s="898">
        <f>IF(DG357&lt;&gt;0,ROW(DG357),IF(DG358&lt;&gt;0,ROW(DG358),IF(DG359&lt;&gt;0,ROW(DG359),IF(DG360&lt;&gt;0,ROW(DG360),IF(DG361&lt;&gt;0,ROW(DG361),IF(DG362&lt;&gt;0,ROW(DG362),IF(DG363&lt;&gt;0,ROW(DG363),IF(DG364&lt;&gt;0,ROW(DG364),IF(DG365&lt;&gt;0,ROW(DG365),IF(DG366&lt;&gt;0,ROW(DG366),0))))))))))</f>
        <v>357</v>
      </c>
      <c r="DG368" s="882" t="e">
        <f ca="1">IF(ISERROR(XIRR(INDIRECT(DF370):DG367,INDIRECT(DF369):DF367,-20%)),XIRR(INDIRECT(DF370):DG367,INDIRECT(DF369):DF367,20%),"N/A")</f>
        <v>#NUM!</v>
      </c>
      <c r="DO368" s="664"/>
    </row>
    <row r="369" spans="2:119" hidden="1" x14ac:dyDescent="0.25">
      <c r="B369" s="899" t="str">
        <f>CONCATENATE(CHAR(64+COLUMN(B368)),B368)</f>
        <v>B357</v>
      </c>
      <c r="C369" s="897"/>
      <c r="K369" s="664"/>
      <c r="N369" s="899" t="str">
        <f>CONCATENATE(CHAR(64+COLUMN(N368)),N368)</f>
        <v>N357</v>
      </c>
      <c r="O369" s="897"/>
      <c r="U369" s="663"/>
      <c r="W369" s="664"/>
      <c r="Z369" s="899" t="str">
        <f>CONCATENATE(IF(COLUMN(Z368)&lt;=26,CHAR(96+COLUMN(Z368)),(CHAR(96+(ROUNDDOWN((COLUMN(Z368)-1)/26,0)))&amp;CHAR(96+IF(MOD(COLUMN(Z368),26)=0,26,MOD(COLUMN(Z368),26))))),Z368)</f>
        <v>z357</v>
      </c>
      <c r="AA369" s="897"/>
      <c r="AB369" s="663"/>
      <c r="AC369" s="663"/>
      <c r="AD369" s="663"/>
      <c r="AE369" s="663"/>
      <c r="AF369" s="663"/>
      <c r="AG369" s="663"/>
      <c r="AH369" s="663"/>
      <c r="AI369" s="664"/>
      <c r="AL369" s="899" t="str">
        <f>CONCATENATE(IF(COLUMN(AL368)&lt;=26,CHAR(96+COLUMN(AL368)),(CHAR(96+(ROUNDDOWN((COLUMN(AL368)-1)/26,0)))&amp;CHAR(96+IF(MOD(COLUMN(AL368),26)=0,26,MOD(COLUMN(AL368),26))))),AL368)</f>
        <v>al357</v>
      </c>
      <c r="AM369" s="897"/>
      <c r="AN369" s="663"/>
      <c r="AU369" s="664"/>
      <c r="AX369" s="899" t="str">
        <f>CONCATENATE(IF(COLUMN(AX368)&lt;=26,CHAR(96+COLUMN(AX368)),(CHAR(96+(ROUNDDOWN((COLUMN(AX368)-1)/26,0)))&amp;CHAR(96+IF(MOD(COLUMN(AX368),26)=0,26,MOD(COLUMN(AX368),26))))),AX368)</f>
        <v>ax357</v>
      </c>
      <c r="AY369" s="897"/>
      <c r="BG369" s="664"/>
      <c r="BJ369" s="899" t="str">
        <f>CONCATENATE(IF(COLUMN(BJ368)&lt;=26,CHAR(96+COLUMN(BJ368)),(CHAR(96+(ROUNDDOWN((COLUMN(BJ368)-1)/26,0)))&amp;CHAR(96+IF(MOD(COLUMN(BJ368),26)=0,26,MOD(COLUMN(BJ368),26))))),BJ368)</f>
        <v>bj357</v>
      </c>
      <c r="BK369" s="897"/>
      <c r="BS369" s="664"/>
      <c r="BV369" s="899" t="str">
        <f>CONCATENATE(IF(COLUMN(BV368)&lt;=26,CHAR(96+COLUMN(BV368)),(CHAR(96+(ROUNDDOWN((COLUMN(BV368)-1)/26,0)))&amp;CHAR(96+IF(MOD(COLUMN(BV368),26)=0,26,MOD(COLUMN(BV368),26))))),BV368)</f>
        <v>bv357</v>
      </c>
      <c r="BW369" s="897"/>
      <c r="CE369" s="664"/>
      <c r="CH369" s="899" t="str">
        <f>CONCATENATE(IF(COLUMN(CH368)&lt;=26,CHAR(96+COLUMN(CH368)),(CHAR(96+(ROUNDDOWN((COLUMN(CH368)-1)/26,0)))&amp;CHAR(96+IF(MOD(COLUMN(CH368),26)=0,26,MOD(COLUMN(CH368),26))))),CH368)</f>
        <v>ch357</v>
      </c>
      <c r="CI369" s="897"/>
      <c r="CQ369" s="664"/>
      <c r="CT369" s="899" t="str">
        <f>CONCATENATE(IF(COLUMN(CT368)&lt;=26,CHAR(96+COLUMN(CT368)),(CHAR(96+(ROUNDDOWN((COLUMN(CT368)-1)/26,0)))&amp;CHAR(96+IF(MOD(COLUMN(CT368),26)=0,26,MOD(COLUMN(CT368),26))))),CT368)</f>
        <v>ct357</v>
      </c>
      <c r="CU369" s="897"/>
      <c r="DC369" s="664"/>
      <c r="DF369" s="899" t="str">
        <f>CONCATENATE(IF(COLUMN(DF368)&lt;=26,CHAR(96+COLUMN(DF368)),(CHAR(96+(ROUNDDOWN((COLUMN(DF368)-1)/26,0)))&amp;CHAR(96+IF(MOD(COLUMN(DF368),26)=0,26,MOD(COLUMN(DF368),26))))),DF368)</f>
        <v>df357</v>
      </c>
      <c r="DG369" s="897"/>
      <c r="DO369" s="664"/>
    </row>
    <row r="370" spans="2:119" hidden="1" x14ac:dyDescent="0.25">
      <c r="B370" s="899" t="str">
        <f>CONCATENATE(CHAR(64+COLUMN(C368)),B368)</f>
        <v>C357</v>
      </c>
      <c r="C370" s="897"/>
      <c r="K370" s="664"/>
      <c r="N370" s="899" t="str">
        <f>CONCATENATE(CHAR(64+COLUMN(O368)),N368)</f>
        <v>O357</v>
      </c>
      <c r="O370" s="897"/>
      <c r="U370" s="663"/>
      <c r="W370" s="664"/>
      <c r="Z370" s="899" t="str">
        <f>CONCATENATE(IF(COLUMN(AA368)&lt;=26,CHAR(96+COLUMN(AA368)),(CHAR(96+(ROUNDDOWN((COLUMN(AA368)-1)/26,0)))&amp;CHAR(96+IF(MOD(COLUMN(AA368),26)=0,26,MOD(COLUMN(AA368),26))))),Z368)</f>
        <v>aa357</v>
      </c>
      <c r="AA370" s="897"/>
      <c r="AB370" s="663"/>
      <c r="AC370" s="663"/>
      <c r="AD370" s="663"/>
      <c r="AE370" s="663"/>
      <c r="AF370" s="663"/>
      <c r="AG370" s="663"/>
      <c r="AH370" s="663"/>
      <c r="AI370" s="664"/>
      <c r="AL370" s="899" t="str">
        <f>CONCATENATE(IF(COLUMN(AM368)&lt;=26,CHAR(96+COLUMN(AM368)),(CHAR(96+(ROUNDDOWN((COLUMN(AM368)-1)/26,0)))&amp;CHAR(96+IF(MOD(COLUMN(AM368),26)=0,26,MOD(COLUMN(AM368),26))))),AL368)</f>
        <v>am357</v>
      </c>
      <c r="AM370" s="897"/>
      <c r="AN370" s="663"/>
      <c r="AU370" s="664"/>
      <c r="AX370" s="899" t="str">
        <f>CONCATENATE(IF(COLUMN(AY368)&lt;=26,CHAR(96+COLUMN(AY368)),(CHAR(96+(ROUNDDOWN((COLUMN(AY368)-1)/26,0)))&amp;CHAR(96+IF(MOD(COLUMN(AY368),26)=0,26,MOD(COLUMN(AY368),26))))),AX368)</f>
        <v>ay357</v>
      </c>
      <c r="AY370" s="897"/>
      <c r="BG370" s="664"/>
      <c r="BJ370" s="899" t="str">
        <f>CONCATENATE(IF(COLUMN(BK368)&lt;=26,CHAR(96+COLUMN(BK368)),(CHAR(96+(ROUNDDOWN((COLUMN(BK368)-1)/26,0)))&amp;CHAR(96+IF(MOD(COLUMN(BK368),26)=0,26,MOD(COLUMN(BK368),26))))),BJ368)</f>
        <v>bk357</v>
      </c>
      <c r="BK370" s="897"/>
      <c r="BS370" s="664"/>
      <c r="BV370" s="899" t="str">
        <f>CONCATENATE(IF(COLUMN(BW368)&lt;=26,CHAR(96+COLUMN(BW368)),(CHAR(96+(ROUNDDOWN((COLUMN(BW368)-1)/26,0)))&amp;CHAR(96+IF(MOD(COLUMN(BW368),26)=0,26,MOD(COLUMN(BW368),26))))),BV368)</f>
        <v>bw357</v>
      </c>
      <c r="BW370" s="897"/>
      <c r="CE370" s="664"/>
      <c r="CH370" s="899" t="str">
        <f>CONCATENATE(IF(COLUMN(CI368)&lt;=26,CHAR(96+COLUMN(CI368)),(CHAR(96+(ROUNDDOWN((COLUMN(CI368)-1)/26,0)))&amp;CHAR(96+IF(MOD(COLUMN(CI368),26)=0,26,MOD(COLUMN(CI368),26))))),CH368)</f>
        <v>ci357</v>
      </c>
      <c r="CI370" s="897"/>
      <c r="CQ370" s="664"/>
      <c r="CT370" s="899" t="str">
        <f>CONCATENATE(IF(COLUMN(CU368)&lt;=26,CHAR(96+COLUMN(CU368)),(CHAR(96+(ROUNDDOWN((COLUMN(CU368)-1)/26,0)))&amp;CHAR(96+IF(MOD(COLUMN(CU368),26)=0,26,MOD(COLUMN(CU368),26))))),CT368)</f>
        <v>cu357</v>
      </c>
      <c r="CU370" s="897"/>
      <c r="DC370" s="664"/>
      <c r="DF370" s="899" t="str">
        <f>CONCATENATE(IF(COLUMN(DG368)&lt;=26,CHAR(96+COLUMN(DG368)),(CHAR(96+(ROUNDDOWN((COLUMN(DG368)-1)/26,0)))&amp;CHAR(96+IF(MOD(COLUMN(DG368),26)=0,26,MOD(COLUMN(DG368),26))))),DF368)</f>
        <v>dg357</v>
      </c>
      <c r="DG370" s="897"/>
      <c r="DO370" s="664"/>
    </row>
    <row r="371" spans="2:119" hidden="1" x14ac:dyDescent="0.25">
      <c r="B371" s="668"/>
      <c r="C371" s="895"/>
      <c r="K371" s="664"/>
      <c r="N371" s="668"/>
      <c r="O371" s="895"/>
      <c r="U371" s="663"/>
      <c r="W371" s="664"/>
      <c r="Z371" s="668"/>
      <c r="AA371" s="895"/>
      <c r="AB371" s="663"/>
      <c r="AC371" s="663"/>
      <c r="AD371" s="663"/>
      <c r="AE371" s="663"/>
      <c r="AF371" s="663"/>
      <c r="AG371" s="663"/>
      <c r="AH371" s="663"/>
      <c r="AI371" s="664"/>
      <c r="AL371" s="668"/>
      <c r="AM371" s="895"/>
      <c r="AN371" s="663"/>
      <c r="AU371" s="664"/>
      <c r="AX371" s="668"/>
      <c r="AY371" s="895"/>
      <c r="BG371" s="664"/>
      <c r="BJ371" s="668"/>
      <c r="BK371" s="895"/>
      <c r="BS371" s="664"/>
      <c r="BV371" s="668"/>
      <c r="BW371" s="895"/>
      <c r="CE371" s="664"/>
      <c r="CH371" s="668"/>
      <c r="CI371" s="895"/>
      <c r="CQ371" s="664"/>
      <c r="CT371" s="668"/>
      <c r="CU371" s="895"/>
      <c r="DC371" s="664"/>
      <c r="DF371" s="668"/>
      <c r="DG371" s="895"/>
      <c r="DO371" s="664"/>
    </row>
    <row r="372" spans="2:119" hidden="1" x14ac:dyDescent="0.25">
      <c r="B372" s="896">
        <f>B357</f>
        <v>39113</v>
      </c>
      <c r="C372" s="897">
        <f>C357</f>
        <v>-1000000</v>
      </c>
      <c r="K372" s="664"/>
      <c r="N372" s="896">
        <f>N357</f>
        <v>39113</v>
      </c>
      <c r="O372" s="897">
        <f>O357</f>
        <v>-1000000</v>
      </c>
      <c r="U372" s="663"/>
      <c r="W372" s="664"/>
      <c r="Z372" s="896">
        <f>Z357</f>
        <v>39113</v>
      </c>
      <c r="AA372" s="897">
        <f>AA357</f>
        <v>-1000000</v>
      </c>
      <c r="AB372" s="663"/>
      <c r="AC372" s="663"/>
      <c r="AD372" s="663"/>
      <c r="AE372" s="663"/>
      <c r="AF372" s="663"/>
      <c r="AG372" s="663"/>
      <c r="AH372" s="663"/>
      <c r="AI372" s="664"/>
      <c r="AL372" s="896">
        <f>AL357</f>
        <v>39113</v>
      </c>
      <c r="AM372" s="897">
        <f>AM357</f>
        <v>-1000000</v>
      </c>
      <c r="AN372" s="663"/>
      <c r="AU372" s="664"/>
      <c r="AX372" s="896">
        <f>AX357</f>
        <v>39113</v>
      </c>
      <c r="AY372" s="897">
        <f>AY357</f>
        <v>-1000000</v>
      </c>
      <c r="BG372" s="664"/>
      <c r="BJ372" s="896">
        <f>BJ357</f>
        <v>39113</v>
      </c>
      <c r="BK372" s="897">
        <f>BK357</f>
        <v>-1000000</v>
      </c>
      <c r="BS372" s="664"/>
      <c r="BV372" s="896">
        <f>BV357</f>
        <v>39113</v>
      </c>
      <c r="BW372" s="897">
        <f>BW357</f>
        <v>-1000000</v>
      </c>
      <c r="CE372" s="664"/>
      <c r="CH372" s="896">
        <f>CH357</f>
        <v>39113</v>
      </c>
      <c r="CI372" s="897">
        <f>CI357</f>
        <v>-1000000</v>
      </c>
      <c r="CQ372" s="664"/>
      <c r="CT372" s="896">
        <f>CT357</f>
        <v>39113</v>
      </c>
      <c r="CU372" s="897">
        <f>CU357</f>
        <v>-1000000</v>
      </c>
      <c r="DC372" s="664"/>
      <c r="DF372" s="896">
        <f>DF357</f>
        <v>39113</v>
      </c>
      <c r="DG372" s="897">
        <f>DG357</f>
        <v>-1000000</v>
      </c>
      <c r="DO372" s="664"/>
    </row>
    <row r="373" spans="2:119" hidden="1" x14ac:dyDescent="0.25">
      <c r="B373" s="896">
        <f t="shared" ref="B373:C373" si="613">B358</f>
        <v>39478</v>
      </c>
      <c r="C373" s="897">
        <f t="shared" si="613"/>
        <v>-2000000</v>
      </c>
      <c r="K373" s="664"/>
      <c r="N373" s="896">
        <f t="shared" ref="N373:O373" si="614">N358</f>
        <v>39478</v>
      </c>
      <c r="O373" s="897">
        <f t="shared" si="614"/>
        <v>-2000000</v>
      </c>
      <c r="U373" s="663"/>
      <c r="W373" s="664"/>
      <c r="Z373" s="896">
        <f t="shared" ref="Z373:AA373" si="615">Z358</f>
        <v>39478</v>
      </c>
      <c r="AA373" s="897">
        <f t="shared" si="615"/>
        <v>-2000000</v>
      </c>
      <c r="AB373" s="663"/>
      <c r="AC373" s="663"/>
      <c r="AD373" s="663"/>
      <c r="AE373" s="663"/>
      <c r="AF373" s="663"/>
      <c r="AG373" s="663"/>
      <c r="AH373" s="663"/>
      <c r="AI373" s="664"/>
      <c r="AL373" s="896">
        <f t="shared" ref="AL373:AM373" si="616">AL358</f>
        <v>39478</v>
      </c>
      <c r="AM373" s="897">
        <f t="shared" si="616"/>
        <v>-2000000</v>
      </c>
      <c r="AN373" s="663"/>
      <c r="AU373" s="664"/>
      <c r="AX373" s="896">
        <f t="shared" ref="AX373:AY373" si="617">AX358</f>
        <v>39478</v>
      </c>
      <c r="AY373" s="897">
        <f t="shared" si="617"/>
        <v>-2000000</v>
      </c>
      <c r="BG373" s="664"/>
      <c r="BJ373" s="896">
        <f t="shared" ref="BJ373:BK373" si="618">BJ358</f>
        <v>39478</v>
      </c>
      <c r="BK373" s="897">
        <f t="shared" si="618"/>
        <v>-2000000</v>
      </c>
      <c r="BS373" s="664"/>
      <c r="BV373" s="896">
        <f t="shared" ref="BV373:BW373" si="619">BV358</f>
        <v>39478</v>
      </c>
      <c r="BW373" s="897">
        <f t="shared" si="619"/>
        <v>-2000000</v>
      </c>
      <c r="CE373" s="664"/>
      <c r="CH373" s="896">
        <f t="shared" ref="CH373:CI373" si="620">CH358</f>
        <v>39478</v>
      </c>
      <c r="CI373" s="897">
        <f t="shared" si="620"/>
        <v>-2000000</v>
      </c>
      <c r="CQ373" s="664"/>
      <c r="CT373" s="896">
        <f t="shared" ref="CT373:CU373" si="621">CT358</f>
        <v>39478</v>
      </c>
      <c r="CU373" s="897">
        <f t="shared" si="621"/>
        <v>-2000000</v>
      </c>
      <c r="DC373" s="664"/>
      <c r="DF373" s="896">
        <f t="shared" ref="DF373:DG373" si="622">DF358</f>
        <v>39478</v>
      </c>
      <c r="DG373" s="897">
        <f t="shared" si="622"/>
        <v>-2000000</v>
      </c>
      <c r="DO373" s="664"/>
    </row>
    <row r="374" spans="2:119" hidden="1" x14ac:dyDescent="0.25">
      <c r="B374" s="896">
        <f t="shared" ref="B374:C374" si="623">B359</f>
        <v>39843</v>
      </c>
      <c r="C374" s="897">
        <f t="shared" si="623"/>
        <v>-2500000</v>
      </c>
      <c r="K374" s="664"/>
      <c r="N374" s="896">
        <f t="shared" ref="N374:O374" si="624">N359</f>
        <v>39843</v>
      </c>
      <c r="O374" s="897">
        <f t="shared" si="624"/>
        <v>-2500000</v>
      </c>
      <c r="U374" s="663"/>
      <c r="W374" s="664"/>
      <c r="Z374" s="896">
        <f t="shared" ref="Z374:AA374" si="625">Z359</f>
        <v>39843</v>
      </c>
      <c r="AA374" s="897">
        <f t="shared" si="625"/>
        <v>-2500000</v>
      </c>
      <c r="AB374" s="663"/>
      <c r="AC374" s="663"/>
      <c r="AD374" s="663"/>
      <c r="AE374" s="663"/>
      <c r="AF374" s="663"/>
      <c r="AG374" s="663"/>
      <c r="AH374" s="663"/>
      <c r="AI374" s="664"/>
      <c r="AL374" s="896">
        <f t="shared" ref="AL374:AM374" si="626">AL359</f>
        <v>39843</v>
      </c>
      <c r="AM374" s="897">
        <f t="shared" si="626"/>
        <v>-2500000</v>
      </c>
      <c r="AN374" s="663"/>
      <c r="AU374" s="664"/>
      <c r="AX374" s="896">
        <f t="shared" ref="AX374:AY374" si="627">AX359</f>
        <v>39843</v>
      </c>
      <c r="AY374" s="897">
        <f t="shared" si="627"/>
        <v>-2500000</v>
      </c>
      <c r="BG374" s="664"/>
      <c r="BJ374" s="896">
        <f t="shared" ref="BJ374:BK374" si="628">BJ359</f>
        <v>39843</v>
      </c>
      <c r="BK374" s="897">
        <f t="shared" si="628"/>
        <v>-2500000</v>
      </c>
      <c r="BS374" s="664"/>
      <c r="BV374" s="896">
        <f t="shared" ref="BV374:BW374" si="629">BV359</f>
        <v>39843</v>
      </c>
      <c r="BW374" s="897">
        <f t="shared" si="629"/>
        <v>-2500000</v>
      </c>
      <c r="CE374" s="664"/>
      <c r="CH374" s="896">
        <f t="shared" ref="CH374:CI374" si="630">CH359</f>
        <v>39843</v>
      </c>
      <c r="CI374" s="897">
        <f t="shared" si="630"/>
        <v>-2500000</v>
      </c>
      <c r="CQ374" s="664"/>
      <c r="CT374" s="896">
        <f t="shared" ref="CT374:CU374" si="631">CT359</f>
        <v>39843</v>
      </c>
      <c r="CU374" s="897">
        <f t="shared" si="631"/>
        <v>-2500000</v>
      </c>
      <c r="DC374" s="664"/>
      <c r="DF374" s="896">
        <f t="shared" ref="DF374:DG374" si="632">DF359</f>
        <v>39843</v>
      </c>
      <c r="DG374" s="897">
        <f t="shared" si="632"/>
        <v>-2500000</v>
      </c>
      <c r="DO374" s="664"/>
    </row>
    <row r="375" spans="2:119" hidden="1" x14ac:dyDescent="0.25">
      <c r="B375" s="896">
        <f t="shared" ref="B375:C375" si="633">B360</f>
        <v>39843</v>
      </c>
      <c r="C375" s="897">
        <f t="shared" si="633"/>
        <v>0</v>
      </c>
      <c r="K375" s="664"/>
      <c r="N375" s="896">
        <f t="shared" ref="N375:O375" si="634">N360</f>
        <v>39843</v>
      </c>
      <c r="O375" s="897">
        <f t="shared" si="634"/>
        <v>0</v>
      </c>
      <c r="U375" s="663"/>
      <c r="W375" s="664"/>
      <c r="Z375" s="896">
        <f t="shared" ref="Z375:AA375" si="635">Z360</f>
        <v>39843</v>
      </c>
      <c r="AA375" s="897">
        <f t="shared" si="635"/>
        <v>0</v>
      </c>
      <c r="AB375" s="663"/>
      <c r="AC375" s="663"/>
      <c r="AD375" s="663"/>
      <c r="AE375" s="663"/>
      <c r="AF375" s="663"/>
      <c r="AG375" s="663"/>
      <c r="AH375" s="663"/>
      <c r="AI375" s="664"/>
      <c r="AL375" s="896">
        <f t="shared" ref="AL375:AM375" si="636">AL360</f>
        <v>39843</v>
      </c>
      <c r="AM375" s="897">
        <f t="shared" si="636"/>
        <v>0</v>
      </c>
      <c r="AN375" s="663"/>
      <c r="AU375" s="664"/>
      <c r="AX375" s="896">
        <f t="shared" ref="AX375:AY375" si="637">AX360</f>
        <v>39843</v>
      </c>
      <c r="AY375" s="897">
        <f t="shared" si="637"/>
        <v>0</v>
      </c>
      <c r="BG375" s="664"/>
      <c r="BJ375" s="896">
        <f t="shared" ref="BJ375:BK375" si="638">BJ360</f>
        <v>39843</v>
      </c>
      <c r="BK375" s="897">
        <f t="shared" si="638"/>
        <v>0</v>
      </c>
      <c r="BS375" s="664"/>
      <c r="BV375" s="896">
        <f t="shared" ref="BV375:BW375" si="639">BV360</f>
        <v>39843</v>
      </c>
      <c r="BW375" s="897">
        <f t="shared" si="639"/>
        <v>0</v>
      </c>
      <c r="CE375" s="664"/>
      <c r="CH375" s="896">
        <f t="shared" ref="CH375:CI375" si="640">CH360</f>
        <v>39843</v>
      </c>
      <c r="CI375" s="897">
        <f t="shared" si="640"/>
        <v>0</v>
      </c>
      <c r="CQ375" s="664"/>
      <c r="CT375" s="896">
        <f t="shared" ref="CT375:CU375" si="641">CT360</f>
        <v>39843</v>
      </c>
      <c r="CU375" s="897">
        <f t="shared" si="641"/>
        <v>0</v>
      </c>
      <c r="DC375" s="664"/>
      <c r="DF375" s="896">
        <f t="shared" ref="DF375:DG375" si="642">DF360</f>
        <v>39843</v>
      </c>
      <c r="DG375" s="897">
        <f t="shared" si="642"/>
        <v>0</v>
      </c>
      <c r="DO375" s="664"/>
    </row>
    <row r="376" spans="2:119" hidden="1" x14ac:dyDescent="0.25">
      <c r="B376" s="896">
        <f t="shared" ref="B376:C376" si="643">B361</f>
        <v>39843</v>
      </c>
      <c r="C376" s="897">
        <f t="shared" si="643"/>
        <v>0</v>
      </c>
      <c r="K376" s="664"/>
      <c r="N376" s="896">
        <f t="shared" ref="N376:O376" si="644">N361</f>
        <v>39843</v>
      </c>
      <c r="O376" s="897">
        <f t="shared" si="644"/>
        <v>0</v>
      </c>
      <c r="U376" s="663"/>
      <c r="W376" s="664"/>
      <c r="Z376" s="896">
        <f t="shared" ref="Z376:AA376" si="645">Z361</f>
        <v>39843</v>
      </c>
      <c r="AA376" s="897">
        <f t="shared" si="645"/>
        <v>0</v>
      </c>
      <c r="AB376" s="663"/>
      <c r="AC376" s="663"/>
      <c r="AD376" s="663"/>
      <c r="AE376" s="663"/>
      <c r="AF376" s="663"/>
      <c r="AG376" s="663"/>
      <c r="AH376" s="663"/>
      <c r="AI376" s="664"/>
      <c r="AL376" s="896">
        <f t="shared" ref="AL376:AM376" si="646">AL361</f>
        <v>39843</v>
      </c>
      <c r="AM376" s="897">
        <f t="shared" si="646"/>
        <v>0</v>
      </c>
      <c r="AN376" s="663"/>
      <c r="AU376" s="664"/>
      <c r="AX376" s="896">
        <f t="shared" ref="AX376:AY376" si="647">AX361</f>
        <v>39843</v>
      </c>
      <c r="AY376" s="897">
        <f t="shared" si="647"/>
        <v>0</v>
      </c>
      <c r="BG376" s="664"/>
      <c r="BJ376" s="896">
        <f t="shared" ref="BJ376:BK376" si="648">BJ361</f>
        <v>39843</v>
      </c>
      <c r="BK376" s="897">
        <f t="shared" si="648"/>
        <v>0</v>
      </c>
      <c r="BS376" s="664"/>
      <c r="BV376" s="896">
        <f t="shared" ref="BV376:BW376" si="649">BV361</f>
        <v>39843</v>
      </c>
      <c r="BW376" s="897">
        <f t="shared" si="649"/>
        <v>0</v>
      </c>
      <c r="CE376" s="664"/>
      <c r="CH376" s="896">
        <f t="shared" ref="CH376:CI376" si="650">CH361</f>
        <v>39843</v>
      </c>
      <c r="CI376" s="897">
        <f t="shared" si="650"/>
        <v>0</v>
      </c>
      <c r="CQ376" s="664"/>
      <c r="CT376" s="896">
        <f t="shared" ref="CT376:CU376" si="651">CT361</f>
        <v>39843</v>
      </c>
      <c r="CU376" s="897">
        <f t="shared" si="651"/>
        <v>0</v>
      </c>
      <c r="DC376" s="664"/>
      <c r="DF376" s="896">
        <f t="shared" ref="DF376:DG376" si="652">DF361</f>
        <v>39843</v>
      </c>
      <c r="DG376" s="897">
        <f t="shared" si="652"/>
        <v>0</v>
      </c>
      <c r="DO376" s="664"/>
    </row>
    <row r="377" spans="2:119" hidden="1" x14ac:dyDescent="0.25">
      <c r="B377" s="896">
        <f t="shared" ref="B377:C377" si="653">B362</f>
        <v>39843</v>
      </c>
      <c r="C377" s="897">
        <f t="shared" si="653"/>
        <v>0</v>
      </c>
      <c r="K377" s="664"/>
      <c r="N377" s="896">
        <f t="shared" ref="N377:O377" si="654">N362</f>
        <v>39843</v>
      </c>
      <c r="O377" s="897">
        <f t="shared" si="654"/>
        <v>0</v>
      </c>
      <c r="U377" s="663"/>
      <c r="W377" s="664"/>
      <c r="Z377" s="896">
        <f t="shared" ref="Z377:AA377" si="655">Z362</f>
        <v>39843</v>
      </c>
      <c r="AA377" s="897">
        <f t="shared" si="655"/>
        <v>0</v>
      </c>
      <c r="AB377" s="663"/>
      <c r="AC377" s="663"/>
      <c r="AD377" s="663"/>
      <c r="AE377" s="663"/>
      <c r="AF377" s="663"/>
      <c r="AG377" s="663"/>
      <c r="AH377" s="663"/>
      <c r="AI377" s="664"/>
      <c r="AL377" s="896">
        <f t="shared" ref="AL377:AM377" si="656">AL362</f>
        <v>39843</v>
      </c>
      <c r="AM377" s="897">
        <f t="shared" si="656"/>
        <v>0</v>
      </c>
      <c r="AN377" s="663"/>
      <c r="AU377" s="664"/>
      <c r="AX377" s="896">
        <f t="shared" ref="AX377:AY377" si="657">AX362</f>
        <v>39843</v>
      </c>
      <c r="AY377" s="897">
        <f t="shared" si="657"/>
        <v>0</v>
      </c>
      <c r="BG377" s="664"/>
      <c r="BJ377" s="896">
        <f t="shared" ref="BJ377:BK377" si="658">BJ362</f>
        <v>39843</v>
      </c>
      <c r="BK377" s="897">
        <f t="shared" si="658"/>
        <v>0</v>
      </c>
      <c r="BS377" s="664"/>
      <c r="BV377" s="896">
        <f t="shared" ref="BV377:BW377" si="659">BV362</f>
        <v>39843</v>
      </c>
      <c r="BW377" s="897">
        <f t="shared" si="659"/>
        <v>0</v>
      </c>
      <c r="CE377" s="664"/>
      <c r="CH377" s="896">
        <f t="shared" ref="CH377:CI377" si="660">CH362</f>
        <v>39843</v>
      </c>
      <c r="CI377" s="897">
        <f t="shared" si="660"/>
        <v>0</v>
      </c>
      <c r="CQ377" s="664"/>
      <c r="CT377" s="896">
        <f t="shared" ref="CT377:CU377" si="661">CT362</f>
        <v>39843</v>
      </c>
      <c r="CU377" s="897">
        <f t="shared" si="661"/>
        <v>0</v>
      </c>
      <c r="DC377" s="664"/>
      <c r="DF377" s="896">
        <f t="shared" ref="DF377:DG377" si="662">DF362</f>
        <v>39843</v>
      </c>
      <c r="DG377" s="897">
        <f t="shared" si="662"/>
        <v>0</v>
      </c>
      <c r="DO377" s="664"/>
    </row>
    <row r="378" spans="2:119" hidden="1" x14ac:dyDescent="0.25">
      <c r="B378" s="896">
        <f t="shared" ref="B378:C378" si="663">B363</f>
        <v>39843</v>
      </c>
      <c r="C378" s="897">
        <f t="shared" si="663"/>
        <v>0</v>
      </c>
      <c r="K378" s="664"/>
      <c r="N378" s="896">
        <f t="shared" ref="N378:O378" si="664">N363</f>
        <v>39843</v>
      </c>
      <c r="O378" s="897">
        <f t="shared" si="664"/>
        <v>0</v>
      </c>
      <c r="U378" s="663"/>
      <c r="W378" s="664"/>
      <c r="Z378" s="896">
        <f t="shared" ref="Z378:AA378" si="665">Z363</f>
        <v>39843</v>
      </c>
      <c r="AA378" s="897">
        <f t="shared" si="665"/>
        <v>0</v>
      </c>
      <c r="AB378" s="663"/>
      <c r="AC378" s="663"/>
      <c r="AD378" s="663"/>
      <c r="AE378" s="663"/>
      <c r="AF378" s="663"/>
      <c r="AG378" s="663"/>
      <c r="AH378" s="663"/>
      <c r="AI378" s="664"/>
      <c r="AL378" s="896">
        <f t="shared" ref="AL378:AM378" si="666">AL363</f>
        <v>39843</v>
      </c>
      <c r="AM378" s="897">
        <f t="shared" si="666"/>
        <v>0</v>
      </c>
      <c r="AN378" s="663"/>
      <c r="AU378" s="664"/>
      <c r="AX378" s="896">
        <f t="shared" ref="AX378:AY378" si="667">AX363</f>
        <v>39843</v>
      </c>
      <c r="AY378" s="897">
        <f t="shared" si="667"/>
        <v>0</v>
      </c>
      <c r="BG378" s="664"/>
      <c r="BJ378" s="896">
        <f t="shared" ref="BJ378:BK378" si="668">BJ363</f>
        <v>39843</v>
      </c>
      <c r="BK378" s="897">
        <f t="shared" si="668"/>
        <v>0</v>
      </c>
      <c r="BS378" s="664"/>
      <c r="BV378" s="896">
        <f t="shared" ref="BV378:BW378" si="669">BV363</f>
        <v>39843</v>
      </c>
      <c r="BW378" s="897">
        <f t="shared" si="669"/>
        <v>0</v>
      </c>
      <c r="CE378" s="664"/>
      <c r="CH378" s="896">
        <f t="shared" ref="CH378:CI378" si="670">CH363</f>
        <v>39843</v>
      </c>
      <c r="CI378" s="897">
        <f t="shared" si="670"/>
        <v>0</v>
      </c>
      <c r="CQ378" s="664"/>
      <c r="CT378" s="896">
        <f t="shared" ref="CT378:CU378" si="671">CT363</f>
        <v>39843</v>
      </c>
      <c r="CU378" s="897">
        <f t="shared" si="671"/>
        <v>0</v>
      </c>
      <c r="DC378" s="664"/>
      <c r="DF378" s="896">
        <f t="shared" ref="DF378:DG378" si="672">DF363</f>
        <v>39843</v>
      </c>
      <c r="DG378" s="897">
        <f t="shared" si="672"/>
        <v>0</v>
      </c>
      <c r="DO378" s="664"/>
    </row>
    <row r="379" spans="2:119" hidden="1" x14ac:dyDescent="0.25">
      <c r="B379" s="896">
        <f t="shared" ref="B379:C379" si="673">B364</f>
        <v>39843</v>
      </c>
      <c r="C379" s="897">
        <f t="shared" si="673"/>
        <v>0</v>
      </c>
      <c r="K379" s="664"/>
      <c r="N379" s="896">
        <f t="shared" ref="N379:O380" si="674">N364</f>
        <v>39843</v>
      </c>
      <c r="O379" s="897">
        <f t="shared" si="674"/>
        <v>0</v>
      </c>
      <c r="U379" s="663"/>
      <c r="W379" s="664"/>
      <c r="Z379" s="896">
        <f t="shared" ref="Z379:AA379" si="675">Z364</f>
        <v>39843</v>
      </c>
      <c r="AA379" s="897">
        <f t="shared" si="675"/>
        <v>0</v>
      </c>
      <c r="AB379" s="663"/>
      <c r="AC379" s="663"/>
      <c r="AD379" s="663"/>
      <c r="AE379" s="663"/>
      <c r="AF379" s="663"/>
      <c r="AG379" s="663"/>
      <c r="AH379" s="663"/>
      <c r="AI379" s="664"/>
      <c r="AL379" s="896">
        <f t="shared" ref="AL379:AM379" si="676">AL364</f>
        <v>39843</v>
      </c>
      <c r="AM379" s="897">
        <f t="shared" si="676"/>
        <v>0</v>
      </c>
      <c r="AN379" s="663"/>
      <c r="AU379" s="664"/>
      <c r="AX379" s="896">
        <f t="shared" ref="AX379:AY379" si="677">AX364</f>
        <v>39843</v>
      </c>
      <c r="AY379" s="897">
        <f t="shared" si="677"/>
        <v>0</v>
      </c>
      <c r="BG379" s="664"/>
      <c r="BJ379" s="896">
        <f t="shared" ref="BJ379:BK379" si="678">BJ364</f>
        <v>39843</v>
      </c>
      <c r="BK379" s="897">
        <f t="shared" si="678"/>
        <v>0</v>
      </c>
      <c r="BS379" s="664"/>
      <c r="BV379" s="896">
        <f t="shared" ref="BV379:BW379" si="679">BV364</f>
        <v>39843</v>
      </c>
      <c r="BW379" s="897">
        <f t="shared" si="679"/>
        <v>0</v>
      </c>
      <c r="CE379" s="664"/>
      <c r="CH379" s="896">
        <f t="shared" ref="CH379:CI379" si="680">CH364</f>
        <v>39843</v>
      </c>
      <c r="CI379" s="897">
        <f t="shared" si="680"/>
        <v>0</v>
      </c>
      <c r="CQ379" s="664"/>
      <c r="CT379" s="896">
        <f t="shared" ref="CT379:CU379" si="681">CT364</f>
        <v>39843</v>
      </c>
      <c r="CU379" s="897">
        <f t="shared" si="681"/>
        <v>0</v>
      </c>
      <c r="DC379" s="664"/>
      <c r="DF379" s="896">
        <f t="shared" ref="DF379:DG379" si="682">DF364</f>
        <v>39843</v>
      </c>
      <c r="DG379" s="897">
        <f t="shared" si="682"/>
        <v>0</v>
      </c>
      <c r="DO379" s="664"/>
    </row>
    <row r="380" spans="2:119" hidden="1" x14ac:dyDescent="0.25">
      <c r="B380" s="896">
        <f t="shared" ref="B380" si="683">B365</f>
        <v>39843</v>
      </c>
      <c r="C380" s="897">
        <f>C365</f>
        <v>0</v>
      </c>
      <c r="K380" s="664"/>
      <c r="N380" s="896">
        <f t="shared" si="674"/>
        <v>39843</v>
      </c>
      <c r="O380" s="897">
        <f>O365</f>
        <v>0</v>
      </c>
      <c r="U380" s="663"/>
      <c r="W380" s="664"/>
      <c r="Z380" s="896">
        <f t="shared" ref="Z380" si="684">Z365</f>
        <v>39843</v>
      </c>
      <c r="AA380" s="897">
        <f>AA365</f>
        <v>0</v>
      </c>
      <c r="AB380" s="663"/>
      <c r="AC380" s="663"/>
      <c r="AD380" s="663"/>
      <c r="AE380" s="663"/>
      <c r="AF380" s="663"/>
      <c r="AG380" s="663"/>
      <c r="AH380" s="663"/>
      <c r="AI380" s="664"/>
      <c r="AL380" s="896">
        <f t="shared" ref="AL380" si="685">AL365</f>
        <v>39843</v>
      </c>
      <c r="AM380" s="897">
        <f>AM365</f>
        <v>0</v>
      </c>
      <c r="AN380" s="663"/>
      <c r="AU380" s="664"/>
      <c r="AX380" s="896">
        <f t="shared" ref="AX380" si="686">AX365</f>
        <v>39843</v>
      </c>
      <c r="AY380" s="897">
        <f>AY365</f>
        <v>0</v>
      </c>
      <c r="BG380" s="664"/>
      <c r="BJ380" s="896">
        <f t="shared" ref="BJ380" si="687">BJ365</f>
        <v>39843</v>
      </c>
      <c r="BK380" s="897">
        <f>BK365</f>
        <v>0</v>
      </c>
      <c r="BS380" s="664"/>
      <c r="BV380" s="896">
        <f t="shared" ref="BV380" si="688">BV365</f>
        <v>39843</v>
      </c>
      <c r="BW380" s="897">
        <f>BW365</f>
        <v>0</v>
      </c>
      <c r="CE380" s="664"/>
      <c r="CH380" s="896">
        <f t="shared" ref="CH380" si="689">CH365</f>
        <v>39843</v>
      </c>
      <c r="CI380" s="897">
        <f>CI365</f>
        <v>0</v>
      </c>
      <c r="CQ380" s="664"/>
      <c r="CT380" s="896">
        <f t="shared" ref="CT380" si="690">CT365</f>
        <v>39843</v>
      </c>
      <c r="CU380" s="897">
        <f>CU365</f>
        <v>0</v>
      </c>
      <c r="DC380" s="664"/>
      <c r="DF380" s="896">
        <f t="shared" ref="DF380" si="691">DF365</f>
        <v>39843</v>
      </c>
      <c r="DG380" s="897">
        <f>DG365</f>
        <v>0</v>
      </c>
      <c r="DO380" s="664"/>
    </row>
    <row r="381" spans="2:119" hidden="1" x14ac:dyDescent="0.25">
      <c r="B381" s="896">
        <f t="shared" ref="B381:C381" si="692">B366</f>
        <v>39843</v>
      </c>
      <c r="C381" s="897">
        <f t="shared" si="692"/>
        <v>0</v>
      </c>
      <c r="K381" s="664"/>
      <c r="N381" s="896">
        <f t="shared" ref="N381:O381" si="693">N366</f>
        <v>39843</v>
      </c>
      <c r="O381" s="897">
        <f t="shared" si="693"/>
        <v>0</v>
      </c>
      <c r="U381" s="663"/>
      <c r="W381" s="664"/>
      <c r="Z381" s="896">
        <f t="shared" ref="Z381:AA381" si="694">Z366</f>
        <v>39843</v>
      </c>
      <c r="AA381" s="897">
        <f t="shared" si="694"/>
        <v>0</v>
      </c>
      <c r="AB381" s="663"/>
      <c r="AC381" s="663"/>
      <c r="AD381" s="663"/>
      <c r="AE381" s="663"/>
      <c r="AF381" s="663"/>
      <c r="AG381" s="663"/>
      <c r="AH381" s="663"/>
      <c r="AI381" s="664"/>
      <c r="AL381" s="896">
        <f t="shared" ref="AL381:AM381" si="695">AL366</f>
        <v>39843</v>
      </c>
      <c r="AM381" s="897">
        <f t="shared" si="695"/>
        <v>0</v>
      </c>
      <c r="AN381" s="663"/>
      <c r="AU381" s="664"/>
      <c r="AX381" s="896">
        <f t="shared" ref="AX381:AY381" si="696">AX366</f>
        <v>39843</v>
      </c>
      <c r="AY381" s="897">
        <f t="shared" si="696"/>
        <v>0</v>
      </c>
      <c r="BG381" s="664"/>
      <c r="BJ381" s="896">
        <f t="shared" ref="BJ381:BK381" si="697">BJ366</f>
        <v>39843</v>
      </c>
      <c r="BK381" s="897">
        <f t="shared" si="697"/>
        <v>0</v>
      </c>
      <c r="BS381" s="664"/>
      <c r="BV381" s="896">
        <f t="shared" ref="BV381:BW381" si="698">BV366</f>
        <v>39843</v>
      </c>
      <c r="BW381" s="897">
        <f t="shared" si="698"/>
        <v>0</v>
      </c>
      <c r="CE381" s="664"/>
      <c r="CH381" s="896">
        <f t="shared" ref="CH381:CI381" si="699">CH366</f>
        <v>39843</v>
      </c>
      <c r="CI381" s="897">
        <f t="shared" si="699"/>
        <v>0</v>
      </c>
      <c r="CQ381" s="664"/>
      <c r="CT381" s="896">
        <f t="shared" ref="CT381:CU381" si="700">CT366</f>
        <v>39843</v>
      </c>
      <c r="CU381" s="897">
        <f t="shared" si="700"/>
        <v>0</v>
      </c>
      <c r="DC381" s="664"/>
      <c r="DF381" s="896">
        <f t="shared" ref="DF381:DG381" si="701">DF366</f>
        <v>39843</v>
      </c>
      <c r="DG381" s="897">
        <f t="shared" si="701"/>
        <v>0</v>
      </c>
      <c r="DO381" s="664"/>
    </row>
    <row r="382" spans="2:119" hidden="1" x14ac:dyDescent="0.25">
      <c r="B382" s="896">
        <f>B367+$C$56</f>
        <v>41179</v>
      </c>
      <c r="C382" s="897">
        <f ca="1">C367</f>
        <v>0</v>
      </c>
      <c r="K382" s="664"/>
      <c r="N382" s="896">
        <f>N367+$C$56</f>
        <v>41179</v>
      </c>
      <c r="O382" s="897">
        <f ca="1">O367</f>
        <v>0</v>
      </c>
      <c r="U382" s="663"/>
      <c r="W382" s="664"/>
      <c r="Z382" s="896">
        <f>Z367+$C$56</f>
        <v>41179</v>
      </c>
      <c r="AA382" s="897">
        <f ca="1">AA367</f>
        <v>0</v>
      </c>
      <c r="AB382" s="663"/>
      <c r="AC382" s="663"/>
      <c r="AD382" s="663"/>
      <c r="AE382" s="663"/>
      <c r="AF382" s="663"/>
      <c r="AG382" s="663"/>
      <c r="AH382" s="663"/>
      <c r="AI382" s="664"/>
      <c r="AL382" s="896">
        <f>AL367+$C$56</f>
        <v>41179</v>
      </c>
      <c r="AM382" s="897">
        <f ca="1">AM367</f>
        <v>0</v>
      </c>
      <c r="AN382" s="663"/>
      <c r="AU382" s="664"/>
      <c r="AX382" s="896">
        <f>AX367+$C$56</f>
        <v>41179</v>
      </c>
      <c r="AY382" s="897">
        <f ca="1">AY367</f>
        <v>0</v>
      </c>
      <c r="BG382" s="664"/>
      <c r="BJ382" s="896">
        <f>BJ367+$C$56</f>
        <v>41179</v>
      </c>
      <c r="BK382" s="897">
        <f ca="1">BK367</f>
        <v>0</v>
      </c>
      <c r="BS382" s="664"/>
      <c r="BV382" s="896">
        <f>BV367+$C$56</f>
        <v>41179</v>
      </c>
      <c r="BW382" s="897">
        <f ca="1">BW367</f>
        <v>0</v>
      </c>
      <c r="CE382" s="664"/>
      <c r="CH382" s="896">
        <f>CH367+$C$56</f>
        <v>41179</v>
      </c>
      <c r="CI382" s="897">
        <f ca="1">CI367</f>
        <v>0</v>
      </c>
      <c r="CQ382" s="664"/>
      <c r="CT382" s="896">
        <f>CT367+$C$56</f>
        <v>41179</v>
      </c>
      <c r="CU382" s="897">
        <f ca="1">CU367</f>
        <v>0</v>
      </c>
      <c r="DC382" s="664"/>
      <c r="DF382" s="896">
        <f>DF367+$C$56</f>
        <v>41179</v>
      </c>
      <c r="DG382" s="897">
        <f ca="1">DG367</f>
        <v>0</v>
      </c>
      <c r="DO382" s="664"/>
    </row>
    <row r="383" spans="2:119" hidden="1" x14ac:dyDescent="0.25">
      <c r="B383" s="898">
        <f>IF(C372&lt;&gt;0,ROW(C372),IF(C373&lt;&gt;0,ROW(C373),IF(C374&lt;&gt;0,ROW(C374),IF(C375&lt;&gt;0,ROW(C375),IF(C376&lt;&gt;0,ROW(C376),IF(C377&lt;&gt;0,ROW(C377),IF(C378&lt;&gt;0,ROW(C378),IF(C379&lt;&gt;0,ROW(C379),IF(C380&lt;&gt;0,ROW(C380),IF(C381&lt;&gt;0,ROW(C381)))))))))))</f>
        <v>372</v>
      </c>
      <c r="C383" s="882" t="e">
        <f ca="1">IF(ISERROR(XIRR(INDIRECT(B385):C382,INDIRECT(B384):B382,-20%)),XIRR(INDIRECT(B385):C382,INDIRECT(B384):B382,20%),"N/A")</f>
        <v>#NUM!</v>
      </c>
      <c r="K383" s="664"/>
      <c r="N383" s="898">
        <f>IF(O372&lt;&gt;0,ROW(O372),IF(O373&lt;&gt;0,ROW(O373),IF(O374&lt;&gt;0,ROW(O374),IF(O375&lt;&gt;0,ROW(O375),IF(O376&lt;&gt;0,ROW(O376),IF(O377&lt;&gt;0,ROW(O377),IF(O378&lt;&gt;0,ROW(O378),IF(O379&lt;&gt;0,ROW(O379),IF(O380&lt;&gt;0,ROW(O380),IF(O381&lt;&gt;0,ROW(O381)))))))))))</f>
        <v>372</v>
      </c>
      <c r="O383" s="882" t="e">
        <f ca="1">IF(ISERROR(XIRR(INDIRECT(N385):O382,INDIRECT(N384):N382,-20%)),XIRR(INDIRECT(N385):O382,INDIRECT(N384):N382,20%),"N/A")</f>
        <v>#NUM!</v>
      </c>
      <c r="U383" s="663"/>
      <c r="W383" s="664"/>
      <c r="Z383" s="898">
        <f>IF(AA372&lt;&gt;0,ROW(AA372),IF(AA373&lt;&gt;0,ROW(AA373),IF(AA374&lt;&gt;0,ROW(AA374),IF(AA375&lt;&gt;0,ROW(AA375),IF(AA376&lt;&gt;0,ROW(AA376),IF(AA377&lt;&gt;0,ROW(AA377),IF(AA378&lt;&gt;0,ROW(AA378),IF(AA379&lt;&gt;0,ROW(AA379),IF(AA380&lt;&gt;0,ROW(AA380),IF(AA381&lt;&gt;0,ROW(AA381)))))))))))</f>
        <v>372</v>
      </c>
      <c r="AA383" s="882" t="e">
        <f ca="1">IF(ISERROR(XIRR(INDIRECT(Z385):AA382,INDIRECT(Z384):Z382,-20%)),XIRR(INDIRECT(Z385):AA382,INDIRECT(Z384):Z382,20%),"N/A")</f>
        <v>#NUM!</v>
      </c>
      <c r="AB383" s="663"/>
      <c r="AC383" s="663"/>
      <c r="AD383" s="663"/>
      <c r="AE383" s="663"/>
      <c r="AF383" s="663"/>
      <c r="AG383" s="663"/>
      <c r="AH383" s="663"/>
      <c r="AI383" s="664"/>
      <c r="AL383" s="898">
        <f>IF(AM372&lt;&gt;0,ROW(AM372),IF(AM373&lt;&gt;0,ROW(AM373),IF(AM374&lt;&gt;0,ROW(AM374),IF(AM375&lt;&gt;0,ROW(AM375),IF(AM376&lt;&gt;0,ROW(AM376),IF(AM377&lt;&gt;0,ROW(AM377),IF(AM378&lt;&gt;0,ROW(AM378),IF(AM379&lt;&gt;0,ROW(AM379),IF(AM380&lt;&gt;0,ROW(AM380),IF(AM381&lt;&gt;0,ROW(AM381)))))))))))</f>
        <v>372</v>
      </c>
      <c r="AM383" s="882" t="e">
        <f ca="1">IF(ISERROR(XIRR(INDIRECT(AL385):AM382,INDIRECT(AL384):AL382,-20%)),XIRR(INDIRECT(AL385):AM382,INDIRECT(AL384):AL382,20%),"N/A")</f>
        <v>#NUM!</v>
      </c>
      <c r="AN383" s="663"/>
      <c r="AU383" s="664"/>
      <c r="AX383" s="898">
        <f>IF(AY372&lt;&gt;0,ROW(AY372),IF(AY373&lt;&gt;0,ROW(AY373),IF(AY374&lt;&gt;0,ROW(AY374),IF(AY375&lt;&gt;0,ROW(AY375),IF(AY376&lt;&gt;0,ROW(AY376),IF(AY377&lt;&gt;0,ROW(AY377),IF(AY378&lt;&gt;0,ROW(AY378),IF(AY379&lt;&gt;0,ROW(AY379),IF(AY380&lt;&gt;0,ROW(AY380),IF(AY381&lt;&gt;0,ROW(AY381)))))))))))</f>
        <v>372</v>
      </c>
      <c r="AY383" s="882" t="e">
        <f ca="1">IF(ISERROR(XIRR(INDIRECT(AX385):AY382,INDIRECT(AX384):AX382,-20%)),XIRR(INDIRECT(AX385):AY382,INDIRECT(AX384):AX382,20%),"N/A")</f>
        <v>#NUM!</v>
      </c>
      <c r="BG383" s="664"/>
      <c r="BJ383" s="898">
        <f>IF(BK372&lt;&gt;0,ROW(BK372),IF(BK373&lt;&gt;0,ROW(BK373),IF(BK374&lt;&gt;0,ROW(BK374),IF(BK375&lt;&gt;0,ROW(BK375),IF(BK376&lt;&gt;0,ROW(BK376),IF(BK377&lt;&gt;0,ROW(BK377),IF(BK378&lt;&gt;0,ROW(BK378),IF(BK379&lt;&gt;0,ROW(BK379),IF(BK380&lt;&gt;0,ROW(BK380),IF(BK381&lt;&gt;0,ROW(BK381)))))))))))</f>
        <v>372</v>
      </c>
      <c r="BK383" s="882" t="e">
        <f ca="1">IF(ISERROR(XIRR(INDIRECT(BJ385):BK382,INDIRECT(BJ384):BJ382,-20%)),XIRR(INDIRECT(BJ385):BK382,INDIRECT(BJ384):BJ382,20%),"N/A")</f>
        <v>#NUM!</v>
      </c>
      <c r="BS383" s="664"/>
      <c r="BV383" s="898">
        <f>IF(BW372&lt;&gt;0,ROW(BW372),IF(BW373&lt;&gt;0,ROW(BW373),IF(BW374&lt;&gt;0,ROW(BW374),IF(BW375&lt;&gt;0,ROW(BW375),IF(BW376&lt;&gt;0,ROW(BW376),IF(BW377&lt;&gt;0,ROW(BW377),IF(BW378&lt;&gt;0,ROW(BW378),IF(BW379&lt;&gt;0,ROW(BW379),IF(BW380&lt;&gt;0,ROW(BW380),IF(BW381&lt;&gt;0,ROW(BW381)))))))))))</f>
        <v>372</v>
      </c>
      <c r="BW383" s="882" t="e">
        <f ca="1">IF(ISERROR(XIRR(INDIRECT(BV385):BW382,INDIRECT(BV384):BV382,-20%)),XIRR(INDIRECT(BV385):BW382,INDIRECT(BV384):BV382,20%),"N/A")</f>
        <v>#NUM!</v>
      </c>
      <c r="CE383" s="664"/>
      <c r="CH383" s="898">
        <f>IF(CI372&lt;&gt;0,ROW(CI372),IF(CI373&lt;&gt;0,ROW(CI373),IF(CI374&lt;&gt;0,ROW(CI374),IF(CI375&lt;&gt;0,ROW(CI375),IF(CI376&lt;&gt;0,ROW(CI376),IF(CI377&lt;&gt;0,ROW(CI377),IF(CI378&lt;&gt;0,ROW(CI378),IF(CI379&lt;&gt;0,ROW(CI379),IF(CI380&lt;&gt;0,ROW(CI380),IF(CI381&lt;&gt;0,ROW(CI381)))))))))))</f>
        <v>372</v>
      </c>
      <c r="CI383" s="882" t="e">
        <f ca="1">IF(ISERROR(XIRR(INDIRECT(CH385):CI382,INDIRECT(CH384):CH382,-20%)),XIRR(INDIRECT(CH385):CI382,INDIRECT(CH384):CH382,20%),"N/A")</f>
        <v>#NUM!</v>
      </c>
      <c r="CQ383" s="664"/>
      <c r="CT383" s="898">
        <f>IF(CU372&lt;&gt;0,ROW(CU372),IF(CU373&lt;&gt;0,ROW(CU373),IF(CU374&lt;&gt;0,ROW(CU374),IF(CU375&lt;&gt;0,ROW(CU375),IF(CU376&lt;&gt;0,ROW(CU376),IF(CU377&lt;&gt;0,ROW(CU377),IF(CU378&lt;&gt;0,ROW(CU378),IF(CU379&lt;&gt;0,ROW(CU379),IF(CU380&lt;&gt;0,ROW(CU380),IF(CU381&lt;&gt;0,ROW(CU381)))))))))))</f>
        <v>372</v>
      </c>
      <c r="CU383" s="882" t="e">
        <f ca="1">IF(ISERROR(XIRR(INDIRECT(CT385):CU382,INDIRECT(CT384):CT382,-20%)),XIRR(INDIRECT(CT385):CU382,INDIRECT(CT384):CT382,20%),"N/A")</f>
        <v>#NUM!</v>
      </c>
      <c r="DC383" s="664"/>
      <c r="DF383" s="898">
        <f>IF(DG372&lt;&gt;0,ROW(DG372),IF(DG373&lt;&gt;0,ROW(DG373),IF(DG374&lt;&gt;0,ROW(DG374),IF(DG375&lt;&gt;0,ROW(DG375),IF(DG376&lt;&gt;0,ROW(DG376),IF(DG377&lt;&gt;0,ROW(DG377),IF(DG378&lt;&gt;0,ROW(DG378),IF(DG379&lt;&gt;0,ROW(DG379),IF(DG380&lt;&gt;0,ROW(DG380),IF(DG381&lt;&gt;0,ROW(DG381)))))))))))</f>
        <v>372</v>
      </c>
      <c r="DG383" s="882" t="e">
        <f ca="1">IF(ISERROR(XIRR(INDIRECT(DF385):DG382,INDIRECT(DF384):DF382,-20%)),XIRR(INDIRECT(DF385):DG382,INDIRECT(DF384):DF382,20%),"N/A")</f>
        <v>#NUM!</v>
      </c>
      <c r="DO383" s="664"/>
    </row>
    <row r="384" spans="2:119" hidden="1" x14ac:dyDescent="0.25">
      <c r="B384" s="899" t="str">
        <f>CONCATENATE(CHAR(64+COLUMN(B383)),B383)</f>
        <v>B372</v>
      </c>
      <c r="C384" s="897"/>
      <c r="K384" s="664"/>
      <c r="N384" s="899" t="str">
        <f>CONCATENATE(CHAR(64+COLUMN(N383)),N383)</f>
        <v>N372</v>
      </c>
      <c r="O384" s="897"/>
      <c r="U384" s="663"/>
      <c r="W384" s="664"/>
      <c r="Z384" s="899" t="str">
        <f>CONCATENATE(IF(COLUMN(Z383)&lt;=26,CHAR(96+COLUMN(Z383)),(CHAR(96+(ROUNDDOWN((COLUMN(Z383)-1)/26,0)))&amp;CHAR(96+IF(MOD(COLUMN(Z383),26)=0,26,MOD(COLUMN(Z383),26))))),Z383)</f>
        <v>z372</v>
      </c>
      <c r="AA384" s="897"/>
      <c r="AB384" s="663"/>
      <c r="AC384" s="663"/>
      <c r="AD384" s="663"/>
      <c r="AE384" s="663"/>
      <c r="AF384" s="663"/>
      <c r="AG384" s="663"/>
      <c r="AH384" s="663"/>
      <c r="AI384" s="664"/>
      <c r="AL384" s="899" t="str">
        <f>CONCATENATE(IF(COLUMN(AL383)&lt;=26,CHAR(96+COLUMN(AL383)),(CHAR(96+(ROUNDDOWN((COLUMN(AL383)-1)/26,0)))&amp;CHAR(96+IF(MOD(COLUMN(AL383),26)=0,26,MOD(COLUMN(AL383),26))))),AL383)</f>
        <v>al372</v>
      </c>
      <c r="AM384" s="897"/>
      <c r="AN384" s="663"/>
      <c r="AU384" s="664"/>
      <c r="AX384" s="899" t="str">
        <f>CONCATENATE(IF(COLUMN(AX383)&lt;=26,CHAR(96+COLUMN(AX383)),(CHAR(96+(ROUNDDOWN((COLUMN(AX383)-1)/26,0)))&amp;CHAR(96+IF(MOD(COLUMN(AX383),26)=0,26,MOD(COLUMN(AX383),26))))),AX383)</f>
        <v>ax372</v>
      </c>
      <c r="AY384" s="897"/>
      <c r="BG384" s="664"/>
      <c r="BJ384" s="899" t="str">
        <f>CONCATENATE(IF(COLUMN(BJ383)&lt;=26,CHAR(96+COLUMN(BJ383)),(CHAR(96+(ROUNDDOWN((COLUMN(BJ383)-1)/26,0)))&amp;CHAR(96+IF(MOD(COLUMN(BJ383),26)=0,26,MOD(COLUMN(BJ383),26))))),BJ383)</f>
        <v>bj372</v>
      </c>
      <c r="BK384" s="897"/>
      <c r="BS384" s="664"/>
      <c r="BV384" s="899" t="str">
        <f>CONCATENATE(IF(COLUMN(BV383)&lt;=26,CHAR(96+COLUMN(BV383)),(CHAR(96+(ROUNDDOWN((COLUMN(BV383)-1)/26,0)))&amp;CHAR(96+IF(MOD(COLUMN(BV383),26)=0,26,MOD(COLUMN(BV383),26))))),BV383)</f>
        <v>bv372</v>
      </c>
      <c r="BW384" s="897"/>
      <c r="CE384" s="664"/>
      <c r="CH384" s="899" t="str">
        <f>CONCATENATE(IF(COLUMN(CH383)&lt;=26,CHAR(96+COLUMN(CH383)),(CHAR(96+(ROUNDDOWN((COLUMN(CH383)-1)/26,0)))&amp;CHAR(96+IF(MOD(COLUMN(CH383),26)=0,26,MOD(COLUMN(CH383),26))))),CH383)</f>
        <v>ch372</v>
      </c>
      <c r="CI384" s="897"/>
      <c r="CQ384" s="664"/>
      <c r="CT384" s="899" t="str">
        <f>CONCATENATE(IF(COLUMN(CT383)&lt;=26,CHAR(96+COLUMN(CT383)),(CHAR(96+(ROUNDDOWN((COLUMN(CT383)-1)/26,0)))&amp;CHAR(96+IF(MOD(COLUMN(CT383),26)=0,26,MOD(COLUMN(CT383),26))))),CT383)</f>
        <v>ct372</v>
      </c>
      <c r="CU384" s="897"/>
      <c r="DC384" s="664"/>
      <c r="DF384" s="899" t="str">
        <f>CONCATENATE(IF(COLUMN(DF383)&lt;=26,CHAR(96+COLUMN(DF383)),(CHAR(96+(ROUNDDOWN((COLUMN(DF383)-1)/26,0)))&amp;CHAR(96+IF(MOD(COLUMN(DF383),26)=0,26,MOD(COLUMN(DF383),26))))),DF383)</f>
        <v>df372</v>
      </c>
      <c r="DG384" s="897"/>
      <c r="DO384" s="664"/>
    </row>
    <row r="385" spans="2:119" hidden="1" x14ac:dyDescent="0.25">
      <c r="B385" s="899" t="str">
        <f>CONCATENATE(CHAR(64+COLUMN(C383)),B383)</f>
        <v>C372</v>
      </c>
      <c r="C385" s="897"/>
      <c r="K385" s="664"/>
      <c r="N385" s="899" t="str">
        <f>CONCATENATE(CHAR(64+COLUMN(O383)),N383)</f>
        <v>O372</v>
      </c>
      <c r="O385" s="897"/>
      <c r="U385" s="663"/>
      <c r="W385" s="664"/>
      <c r="Z385" s="899" t="str">
        <f>CONCATENATE(IF(COLUMN(AA383)&lt;=26,CHAR(96+COLUMN(AA383)),(CHAR(96+(ROUNDDOWN((COLUMN(AA383)-1)/26,0)))&amp;CHAR(96+IF(MOD(COLUMN(AA383),26)=0,26,MOD(COLUMN(AA383),26))))),Z383)</f>
        <v>aa372</v>
      </c>
      <c r="AA385" s="897"/>
      <c r="AB385" s="663"/>
      <c r="AC385" s="663"/>
      <c r="AD385" s="663"/>
      <c r="AE385" s="663"/>
      <c r="AF385" s="663"/>
      <c r="AG385" s="663"/>
      <c r="AH385" s="663"/>
      <c r="AI385" s="664"/>
      <c r="AL385" s="899" t="str">
        <f>CONCATENATE(IF(COLUMN(AM383)&lt;=26,CHAR(96+COLUMN(AM383)),(CHAR(96+(ROUNDDOWN((COLUMN(AM383)-1)/26,0)))&amp;CHAR(96+IF(MOD(COLUMN(AM383),26)=0,26,MOD(COLUMN(AM383),26))))),AL383)</f>
        <v>am372</v>
      </c>
      <c r="AM385" s="897"/>
      <c r="AN385" s="663"/>
      <c r="AU385" s="664"/>
      <c r="AX385" s="899" t="str">
        <f>CONCATENATE(IF(COLUMN(AY383)&lt;=26,CHAR(96+COLUMN(AY383)),(CHAR(96+(ROUNDDOWN((COLUMN(AY383)-1)/26,0)))&amp;CHAR(96+IF(MOD(COLUMN(AY383),26)=0,26,MOD(COLUMN(AY383),26))))),AX383)</f>
        <v>ay372</v>
      </c>
      <c r="AY385" s="897"/>
      <c r="BG385" s="664"/>
      <c r="BJ385" s="899" t="str">
        <f>CONCATENATE(IF(COLUMN(BK383)&lt;=26,CHAR(96+COLUMN(BK383)),(CHAR(96+(ROUNDDOWN((COLUMN(BK383)-1)/26,0)))&amp;CHAR(96+IF(MOD(COLUMN(BK383),26)=0,26,MOD(COLUMN(BK383),26))))),BJ383)</f>
        <v>bk372</v>
      </c>
      <c r="BK385" s="897"/>
      <c r="BS385" s="664"/>
      <c r="BV385" s="899" t="str">
        <f>CONCATENATE(IF(COLUMN(BW383)&lt;=26,CHAR(96+COLUMN(BW383)),(CHAR(96+(ROUNDDOWN((COLUMN(BW383)-1)/26,0)))&amp;CHAR(96+IF(MOD(COLUMN(BW383),26)=0,26,MOD(COLUMN(BW383),26))))),BV383)</f>
        <v>bw372</v>
      </c>
      <c r="BW385" s="897"/>
      <c r="CE385" s="664"/>
      <c r="CH385" s="899" t="str">
        <f>CONCATENATE(IF(COLUMN(CI383)&lt;=26,CHAR(96+COLUMN(CI383)),(CHAR(96+(ROUNDDOWN((COLUMN(CI383)-1)/26,0)))&amp;CHAR(96+IF(MOD(COLUMN(CI383),26)=0,26,MOD(COLUMN(CI383),26))))),CH383)</f>
        <v>ci372</v>
      </c>
      <c r="CI385" s="897"/>
      <c r="CQ385" s="664"/>
      <c r="CT385" s="899" t="str">
        <f>CONCATENATE(IF(COLUMN(CU383)&lt;=26,CHAR(96+COLUMN(CU383)),(CHAR(96+(ROUNDDOWN((COLUMN(CU383)-1)/26,0)))&amp;CHAR(96+IF(MOD(COLUMN(CU383),26)=0,26,MOD(COLUMN(CU383),26))))),CT383)</f>
        <v>cu372</v>
      </c>
      <c r="CU385" s="897"/>
      <c r="DC385" s="664"/>
      <c r="DF385" s="899" t="str">
        <f>CONCATENATE(IF(COLUMN(DG383)&lt;=26,CHAR(96+COLUMN(DG383)),(CHAR(96+(ROUNDDOWN((COLUMN(DG383)-1)/26,0)))&amp;CHAR(96+IF(MOD(COLUMN(DG383),26)=0,26,MOD(COLUMN(DG383),26))))),DF383)</f>
        <v>dg372</v>
      </c>
      <c r="DG385" s="897"/>
      <c r="DO385" s="664"/>
    </row>
    <row r="386" spans="2:119" hidden="1" x14ac:dyDescent="0.25">
      <c r="B386" s="899"/>
      <c r="C386" s="897"/>
      <c r="K386" s="664"/>
      <c r="N386" s="899"/>
      <c r="O386" s="897"/>
      <c r="U386" s="663"/>
      <c r="W386" s="664"/>
      <c r="Z386" s="899"/>
      <c r="AA386" s="897"/>
      <c r="AB386" s="663"/>
      <c r="AC386" s="663"/>
      <c r="AD386" s="663"/>
      <c r="AE386" s="663"/>
      <c r="AF386" s="663"/>
      <c r="AG386" s="663"/>
      <c r="AH386" s="663"/>
      <c r="AI386" s="664"/>
      <c r="AL386" s="899"/>
      <c r="AM386" s="897"/>
      <c r="AN386" s="663"/>
      <c r="AU386" s="664"/>
      <c r="AX386" s="899"/>
      <c r="AY386" s="897"/>
      <c r="BG386" s="664"/>
      <c r="BJ386" s="899"/>
      <c r="BK386" s="897"/>
      <c r="BS386" s="664"/>
      <c r="BV386" s="899"/>
      <c r="BW386" s="897"/>
      <c r="CE386" s="664"/>
      <c r="CH386" s="899"/>
      <c r="CI386" s="897"/>
      <c r="CQ386" s="664"/>
      <c r="CT386" s="899"/>
      <c r="CU386" s="897"/>
      <c r="DC386" s="664"/>
      <c r="DF386" s="899"/>
      <c r="DG386" s="897"/>
      <c r="DO386" s="664"/>
    </row>
    <row r="387" spans="2:119" hidden="1" x14ac:dyDescent="0.25">
      <c r="B387" s="900">
        <f>B372</f>
        <v>39113</v>
      </c>
      <c r="C387" s="897">
        <f>C372</f>
        <v>-1000000</v>
      </c>
      <c r="K387" s="664"/>
      <c r="N387" s="900">
        <f>N372</f>
        <v>39113</v>
      </c>
      <c r="O387" s="897">
        <f>O372</f>
        <v>-1000000</v>
      </c>
      <c r="U387" s="663"/>
      <c r="W387" s="664"/>
      <c r="Z387" s="900">
        <f>Z372</f>
        <v>39113</v>
      </c>
      <c r="AA387" s="897">
        <f>AA372</f>
        <v>-1000000</v>
      </c>
      <c r="AB387" s="663"/>
      <c r="AC387" s="663"/>
      <c r="AD387" s="663"/>
      <c r="AE387" s="663"/>
      <c r="AF387" s="663"/>
      <c r="AG387" s="663"/>
      <c r="AH387" s="663"/>
      <c r="AI387" s="664"/>
      <c r="AL387" s="900">
        <f>AL372</f>
        <v>39113</v>
      </c>
      <c r="AM387" s="897">
        <f>AM372</f>
        <v>-1000000</v>
      </c>
      <c r="AN387" s="663"/>
      <c r="AU387" s="664"/>
      <c r="AX387" s="900">
        <f>AX372</f>
        <v>39113</v>
      </c>
      <c r="AY387" s="897">
        <f>AY372</f>
        <v>-1000000</v>
      </c>
      <c r="BG387" s="664"/>
      <c r="BJ387" s="900">
        <f>BJ372</f>
        <v>39113</v>
      </c>
      <c r="BK387" s="897">
        <f>BK372</f>
        <v>-1000000</v>
      </c>
      <c r="BS387" s="664"/>
      <c r="BV387" s="900">
        <f>BV372</f>
        <v>39113</v>
      </c>
      <c r="BW387" s="897">
        <f>BW372</f>
        <v>-1000000</v>
      </c>
      <c r="CE387" s="664"/>
      <c r="CH387" s="900">
        <f>CH372</f>
        <v>39113</v>
      </c>
      <c r="CI387" s="897">
        <f>CI372</f>
        <v>-1000000</v>
      </c>
      <c r="CQ387" s="664"/>
      <c r="CT387" s="900">
        <f>CT372</f>
        <v>39113</v>
      </c>
      <c r="CU387" s="897">
        <f>CU372</f>
        <v>-1000000</v>
      </c>
      <c r="DC387" s="664"/>
      <c r="DF387" s="900">
        <f>DF372</f>
        <v>39113</v>
      </c>
      <c r="DG387" s="897">
        <f>DG372</f>
        <v>-1000000</v>
      </c>
      <c r="DO387" s="664"/>
    </row>
    <row r="388" spans="2:119" hidden="1" x14ac:dyDescent="0.25">
      <c r="B388" s="900">
        <f t="shared" ref="B388:C388" si="702">B373</f>
        <v>39478</v>
      </c>
      <c r="C388" s="897">
        <f t="shared" si="702"/>
        <v>-2000000</v>
      </c>
      <c r="K388" s="664"/>
      <c r="N388" s="900">
        <f t="shared" ref="N388:O388" si="703">N373</f>
        <v>39478</v>
      </c>
      <c r="O388" s="897">
        <f t="shared" si="703"/>
        <v>-2000000</v>
      </c>
      <c r="U388" s="663"/>
      <c r="W388" s="664"/>
      <c r="Z388" s="900">
        <f t="shared" ref="Z388:AA388" si="704">Z373</f>
        <v>39478</v>
      </c>
      <c r="AA388" s="897">
        <f t="shared" si="704"/>
        <v>-2000000</v>
      </c>
      <c r="AB388" s="663"/>
      <c r="AC388" s="663"/>
      <c r="AD388" s="663"/>
      <c r="AE388" s="663"/>
      <c r="AF388" s="663"/>
      <c r="AG388" s="663"/>
      <c r="AH388" s="663"/>
      <c r="AI388" s="664"/>
      <c r="AL388" s="900">
        <f t="shared" ref="AL388:AM388" si="705">AL373</f>
        <v>39478</v>
      </c>
      <c r="AM388" s="897">
        <f t="shared" si="705"/>
        <v>-2000000</v>
      </c>
      <c r="AN388" s="663"/>
      <c r="AU388" s="664"/>
      <c r="AX388" s="900">
        <f t="shared" ref="AX388:AY388" si="706">AX373</f>
        <v>39478</v>
      </c>
      <c r="AY388" s="897">
        <f t="shared" si="706"/>
        <v>-2000000</v>
      </c>
      <c r="BG388" s="664"/>
      <c r="BJ388" s="900">
        <f t="shared" ref="BJ388:BK388" si="707">BJ373</f>
        <v>39478</v>
      </c>
      <c r="BK388" s="897">
        <f t="shared" si="707"/>
        <v>-2000000</v>
      </c>
      <c r="BS388" s="664"/>
      <c r="BV388" s="900">
        <f t="shared" ref="BV388:BW388" si="708">BV373</f>
        <v>39478</v>
      </c>
      <c r="BW388" s="897">
        <f t="shared" si="708"/>
        <v>-2000000</v>
      </c>
      <c r="CE388" s="664"/>
      <c r="CH388" s="900">
        <f t="shared" ref="CH388:CI388" si="709">CH373</f>
        <v>39478</v>
      </c>
      <c r="CI388" s="897">
        <f t="shared" si="709"/>
        <v>-2000000</v>
      </c>
      <c r="CQ388" s="664"/>
      <c r="CT388" s="900">
        <f t="shared" ref="CT388:CU388" si="710">CT373</f>
        <v>39478</v>
      </c>
      <c r="CU388" s="897">
        <f t="shared" si="710"/>
        <v>-2000000</v>
      </c>
      <c r="DC388" s="664"/>
      <c r="DF388" s="900">
        <f t="shared" ref="DF388:DG388" si="711">DF373</f>
        <v>39478</v>
      </c>
      <c r="DG388" s="897">
        <f t="shared" si="711"/>
        <v>-2000000</v>
      </c>
      <c r="DO388" s="664"/>
    </row>
    <row r="389" spans="2:119" hidden="1" x14ac:dyDescent="0.25">
      <c r="B389" s="900">
        <f t="shared" ref="B389:C389" si="712">B374</f>
        <v>39843</v>
      </c>
      <c r="C389" s="897">
        <f t="shared" si="712"/>
        <v>-2500000</v>
      </c>
      <c r="K389" s="664"/>
      <c r="N389" s="900">
        <f t="shared" ref="N389:O389" si="713">N374</f>
        <v>39843</v>
      </c>
      <c r="O389" s="897">
        <f t="shared" si="713"/>
        <v>-2500000</v>
      </c>
      <c r="U389" s="663"/>
      <c r="W389" s="664"/>
      <c r="Z389" s="900">
        <f t="shared" ref="Z389:AA389" si="714">Z374</f>
        <v>39843</v>
      </c>
      <c r="AA389" s="897">
        <f t="shared" si="714"/>
        <v>-2500000</v>
      </c>
      <c r="AB389" s="663"/>
      <c r="AC389" s="663"/>
      <c r="AD389" s="663"/>
      <c r="AE389" s="663"/>
      <c r="AF389" s="663"/>
      <c r="AG389" s="663"/>
      <c r="AH389" s="663"/>
      <c r="AI389" s="664"/>
      <c r="AL389" s="900">
        <f t="shared" ref="AL389:AM389" si="715">AL374</f>
        <v>39843</v>
      </c>
      <c r="AM389" s="897">
        <f t="shared" si="715"/>
        <v>-2500000</v>
      </c>
      <c r="AN389" s="663"/>
      <c r="AU389" s="664"/>
      <c r="AX389" s="900">
        <f t="shared" ref="AX389:AY389" si="716">AX374</f>
        <v>39843</v>
      </c>
      <c r="AY389" s="897">
        <f t="shared" si="716"/>
        <v>-2500000</v>
      </c>
      <c r="BG389" s="664"/>
      <c r="BJ389" s="900">
        <f t="shared" ref="BJ389:BK389" si="717">BJ374</f>
        <v>39843</v>
      </c>
      <c r="BK389" s="897">
        <f t="shared" si="717"/>
        <v>-2500000</v>
      </c>
      <c r="BS389" s="664"/>
      <c r="BV389" s="900">
        <f t="shared" ref="BV389:BW389" si="718">BV374</f>
        <v>39843</v>
      </c>
      <c r="BW389" s="897">
        <f t="shared" si="718"/>
        <v>-2500000</v>
      </c>
      <c r="CE389" s="664"/>
      <c r="CH389" s="900">
        <f t="shared" ref="CH389:CI389" si="719">CH374</f>
        <v>39843</v>
      </c>
      <c r="CI389" s="897">
        <f t="shared" si="719"/>
        <v>-2500000</v>
      </c>
      <c r="CQ389" s="664"/>
      <c r="CT389" s="900">
        <f t="shared" ref="CT389:CU389" si="720">CT374</f>
        <v>39843</v>
      </c>
      <c r="CU389" s="897">
        <f t="shared" si="720"/>
        <v>-2500000</v>
      </c>
      <c r="DC389" s="664"/>
      <c r="DF389" s="900">
        <f t="shared" ref="DF389:DG389" si="721">DF374</f>
        <v>39843</v>
      </c>
      <c r="DG389" s="897">
        <f t="shared" si="721"/>
        <v>-2500000</v>
      </c>
      <c r="DO389" s="664"/>
    </row>
    <row r="390" spans="2:119" hidden="1" x14ac:dyDescent="0.25">
      <c r="B390" s="900">
        <f t="shared" ref="B390:C390" si="722">B375</f>
        <v>39843</v>
      </c>
      <c r="C390" s="897">
        <f t="shared" si="722"/>
        <v>0</v>
      </c>
      <c r="K390" s="664"/>
      <c r="N390" s="900">
        <f t="shared" ref="N390:O390" si="723">N375</f>
        <v>39843</v>
      </c>
      <c r="O390" s="897">
        <f t="shared" si="723"/>
        <v>0</v>
      </c>
      <c r="U390" s="663"/>
      <c r="W390" s="664"/>
      <c r="Z390" s="900">
        <f t="shared" ref="Z390:AA390" si="724">Z375</f>
        <v>39843</v>
      </c>
      <c r="AA390" s="897">
        <f t="shared" si="724"/>
        <v>0</v>
      </c>
      <c r="AB390" s="663"/>
      <c r="AC390" s="663"/>
      <c r="AD390" s="663"/>
      <c r="AE390" s="663"/>
      <c r="AF390" s="663"/>
      <c r="AG390" s="663"/>
      <c r="AH390" s="663"/>
      <c r="AI390" s="664"/>
      <c r="AL390" s="900">
        <f t="shared" ref="AL390:AM390" si="725">AL375</f>
        <v>39843</v>
      </c>
      <c r="AM390" s="897">
        <f t="shared" si="725"/>
        <v>0</v>
      </c>
      <c r="AN390" s="663"/>
      <c r="AU390" s="664"/>
      <c r="AX390" s="900">
        <f t="shared" ref="AX390:AY390" si="726">AX375</f>
        <v>39843</v>
      </c>
      <c r="AY390" s="897">
        <f t="shared" si="726"/>
        <v>0</v>
      </c>
      <c r="BG390" s="664"/>
      <c r="BJ390" s="900">
        <f t="shared" ref="BJ390:BK390" si="727">BJ375</f>
        <v>39843</v>
      </c>
      <c r="BK390" s="897">
        <f t="shared" si="727"/>
        <v>0</v>
      </c>
      <c r="BS390" s="664"/>
      <c r="BV390" s="900">
        <f t="shared" ref="BV390:BW390" si="728">BV375</f>
        <v>39843</v>
      </c>
      <c r="BW390" s="897">
        <f t="shared" si="728"/>
        <v>0</v>
      </c>
      <c r="CE390" s="664"/>
      <c r="CH390" s="900">
        <f t="shared" ref="CH390:CI390" si="729">CH375</f>
        <v>39843</v>
      </c>
      <c r="CI390" s="897">
        <f t="shared" si="729"/>
        <v>0</v>
      </c>
      <c r="CQ390" s="664"/>
      <c r="CT390" s="900">
        <f t="shared" ref="CT390:CU390" si="730">CT375</f>
        <v>39843</v>
      </c>
      <c r="CU390" s="897">
        <f t="shared" si="730"/>
        <v>0</v>
      </c>
      <c r="DC390" s="664"/>
      <c r="DF390" s="900">
        <f t="shared" ref="DF390:DG390" si="731">DF375</f>
        <v>39843</v>
      </c>
      <c r="DG390" s="897">
        <f t="shared" si="731"/>
        <v>0</v>
      </c>
      <c r="DO390" s="664"/>
    </row>
    <row r="391" spans="2:119" hidden="1" x14ac:dyDescent="0.25">
      <c r="B391" s="900">
        <f t="shared" ref="B391:C391" si="732">B376</f>
        <v>39843</v>
      </c>
      <c r="C391" s="897">
        <f t="shared" si="732"/>
        <v>0</v>
      </c>
      <c r="K391" s="664"/>
      <c r="N391" s="900">
        <f t="shared" ref="N391:O391" si="733">N376</f>
        <v>39843</v>
      </c>
      <c r="O391" s="897">
        <f t="shared" si="733"/>
        <v>0</v>
      </c>
      <c r="U391" s="663"/>
      <c r="W391" s="664"/>
      <c r="Z391" s="900">
        <f t="shared" ref="Z391:AA391" si="734">Z376</f>
        <v>39843</v>
      </c>
      <c r="AA391" s="897">
        <f t="shared" si="734"/>
        <v>0</v>
      </c>
      <c r="AB391" s="663"/>
      <c r="AC391" s="663"/>
      <c r="AD391" s="663"/>
      <c r="AE391" s="663"/>
      <c r="AF391" s="663"/>
      <c r="AG391" s="663"/>
      <c r="AH391" s="663"/>
      <c r="AI391" s="664"/>
      <c r="AL391" s="900">
        <f t="shared" ref="AL391:AM391" si="735">AL376</f>
        <v>39843</v>
      </c>
      <c r="AM391" s="897">
        <f t="shared" si="735"/>
        <v>0</v>
      </c>
      <c r="AN391" s="663"/>
      <c r="AU391" s="664"/>
      <c r="AX391" s="900">
        <f t="shared" ref="AX391:AY391" si="736">AX376</f>
        <v>39843</v>
      </c>
      <c r="AY391" s="897">
        <f t="shared" si="736"/>
        <v>0</v>
      </c>
      <c r="BG391" s="664"/>
      <c r="BJ391" s="900">
        <f t="shared" ref="BJ391:BK391" si="737">BJ376</f>
        <v>39843</v>
      </c>
      <c r="BK391" s="897">
        <f t="shared" si="737"/>
        <v>0</v>
      </c>
      <c r="BS391" s="664"/>
      <c r="BV391" s="900">
        <f t="shared" ref="BV391:BW391" si="738">BV376</f>
        <v>39843</v>
      </c>
      <c r="BW391" s="897">
        <f t="shared" si="738"/>
        <v>0</v>
      </c>
      <c r="CE391" s="664"/>
      <c r="CH391" s="900">
        <f t="shared" ref="CH391:CI391" si="739">CH376</f>
        <v>39843</v>
      </c>
      <c r="CI391" s="897">
        <f t="shared" si="739"/>
        <v>0</v>
      </c>
      <c r="CQ391" s="664"/>
      <c r="CT391" s="900">
        <f t="shared" ref="CT391:CU391" si="740">CT376</f>
        <v>39843</v>
      </c>
      <c r="CU391" s="897">
        <f t="shared" si="740"/>
        <v>0</v>
      </c>
      <c r="DC391" s="664"/>
      <c r="DF391" s="900">
        <f t="shared" ref="DF391:DG391" si="741">DF376</f>
        <v>39843</v>
      </c>
      <c r="DG391" s="897">
        <f t="shared" si="741"/>
        <v>0</v>
      </c>
      <c r="DO391" s="664"/>
    </row>
    <row r="392" spans="2:119" hidden="1" x14ac:dyDescent="0.25">
      <c r="B392" s="900">
        <f t="shared" ref="B392:C392" si="742">B377</f>
        <v>39843</v>
      </c>
      <c r="C392" s="897">
        <f t="shared" si="742"/>
        <v>0</v>
      </c>
      <c r="K392" s="664"/>
      <c r="N392" s="900">
        <f t="shared" ref="N392:O392" si="743">N377</f>
        <v>39843</v>
      </c>
      <c r="O392" s="897">
        <f t="shared" si="743"/>
        <v>0</v>
      </c>
      <c r="U392" s="663"/>
      <c r="W392" s="664"/>
      <c r="Z392" s="900">
        <f t="shared" ref="Z392:AA392" si="744">Z377</f>
        <v>39843</v>
      </c>
      <c r="AA392" s="897">
        <f t="shared" si="744"/>
        <v>0</v>
      </c>
      <c r="AB392" s="663"/>
      <c r="AC392" s="663"/>
      <c r="AD392" s="663"/>
      <c r="AE392" s="663"/>
      <c r="AF392" s="663"/>
      <c r="AG392" s="663"/>
      <c r="AH392" s="663"/>
      <c r="AI392" s="664"/>
      <c r="AL392" s="900">
        <f t="shared" ref="AL392:AM392" si="745">AL377</f>
        <v>39843</v>
      </c>
      <c r="AM392" s="897">
        <f t="shared" si="745"/>
        <v>0</v>
      </c>
      <c r="AN392" s="663"/>
      <c r="AU392" s="664"/>
      <c r="AX392" s="900">
        <f t="shared" ref="AX392:AY392" si="746">AX377</f>
        <v>39843</v>
      </c>
      <c r="AY392" s="897">
        <f t="shared" si="746"/>
        <v>0</v>
      </c>
      <c r="BG392" s="664"/>
      <c r="BJ392" s="900">
        <f t="shared" ref="BJ392:BK392" si="747">BJ377</f>
        <v>39843</v>
      </c>
      <c r="BK392" s="897">
        <f t="shared" si="747"/>
        <v>0</v>
      </c>
      <c r="BS392" s="664"/>
      <c r="BV392" s="900">
        <f t="shared" ref="BV392:BW392" si="748">BV377</f>
        <v>39843</v>
      </c>
      <c r="BW392" s="897">
        <f t="shared" si="748"/>
        <v>0</v>
      </c>
      <c r="CE392" s="664"/>
      <c r="CH392" s="900">
        <f t="shared" ref="CH392:CI392" si="749">CH377</f>
        <v>39843</v>
      </c>
      <c r="CI392" s="897">
        <f t="shared" si="749"/>
        <v>0</v>
      </c>
      <c r="CQ392" s="664"/>
      <c r="CT392" s="900">
        <f t="shared" ref="CT392:CU392" si="750">CT377</f>
        <v>39843</v>
      </c>
      <c r="CU392" s="897">
        <f t="shared" si="750"/>
        <v>0</v>
      </c>
      <c r="DC392" s="664"/>
      <c r="DF392" s="900">
        <f t="shared" ref="DF392:DG392" si="751">DF377</f>
        <v>39843</v>
      </c>
      <c r="DG392" s="897">
        <f t="shared" si="751"/>
        <v>0</v>
      </c>
      <c r="DO392" s="664"/>
    </row>
    <row r="393" spans="2:119" hidden="1" x14ac:dyDescent="0.25">
      <c r="B393" s="900">
        <f t="shared" ref="B393:C393" si="752">B378</f>
        <v>39843</v>
      </c>
      <c r="C393" s="897">
        <f t="shared" si="752"/>
        <v>0</v>
      </c>
      <c r="K393" s="664"/>
      <c r="N393" s="900">
        <f t="shared" ref="N393:O393" si="753">N378</f>
        <v>39843</v>
      </c>
      <c r="O393" s="897">
        <f t="shared" si="753"/>
        <v>0</v>
      </c>
      <c r="U393" s="663"/>
      <c r="W393" s="664"/>
      <c r="Z393" s="900">
        <f t="shared" ref="Z393:AA393" si="754">Z378</f>
        <v>39843</v>
      </c>
      <c r="AA393" s="897">
        <f t="shared" si="754"/>
        <v>0</v>
      </c>
      <c r="AB393" s="663"/>
      <c r="AC393" s="663"/>
      <c r="AD393" s="663"/>
      <c r="AE393" s="663"/>
      <c r="AF393" s="663"/>
      <c r="AG393" s="663"/>
      <c r="AH393" s="663"/>
      <c r="AI393" s="664"/>
      <c r="AL393" s="900">
        <f t="shared" ref="AL393:AM393" si="755">AL378</f>
        <v>39843</v>
      </c>
      <c r="AM393" s="897">
        <f t="shared" si="755"/>
        <v>0</v>
      </c>
      <c r="AN393" s="663"/>
      <c r="AU393" s="664"/>
      <c r="AX393" s="900">
        <f t="shared" ref="AX393:AY393" si="756">AX378</f>
        <v>39843</v>
      </c>
      <c r="AY393" s="897">
        <f t="shared" si="756"/>
        <v>0</v>
      </c>
      <c r="BG393" s="664"/>
      <c r="BJ393" s="900">
        <f t="shared" ref="BJ393:BK393" si="757">BJ378</f>
        <v>39843</v>
      </c>
      <c r="BK393" s="897">
        <f t="shared" si="757"/>
        <v>0</v>
      </c>
      <c r="BS393" s="664"/>
      <c r="BV393" s="900">
        <f t="shared" ref="BV393:BW393" si="758">BV378</f>
        <v>39843</v>
      </c>
      <c r="BW393" s="897">
        <f t="shared" si="758"/>
        <v>0</v>
      </c>
      <c r="CE393" s="664"/>
      <c r="CH393" s="900">
        <f t="shared" ref="CH393:CI393" si="759">CH378</f>
        <v>39843</v>
      </c>
      <c r="CI393" s="897">
        <f t="shared" si="759"/>
        <v>0</v>
      </c>
      <c r="CQ393" s="664"/>
      <c r="CT393" s="900">
        <f t="shared" ref="CT393:CU393" si="760">CT378</f>
        <v>39843</v>
      </c>
      <c r="CU393" s="897">
        <f t="shared" si="760"/>
        <v>0</v>
      </c>
      <c r="DC393" s="664"/>
      <c r="DF393" s="900">
        <f t="shared" ref="DF393:DG393" si="761">DF378</f>
        <v>39843</v>
      </c>
      <c r="DG393" s="897">
        <f t="shared" si="761"/>
        <v>0</v>
      </c>
      <c r="DO393" s="664"/>
    </row>
    <row r="394" spans="2:119" hidden="1" x14ac:dyDescent="0.25">
      <c r="B394" s="900">
        <f t="shared" ref="B394:C394" si="762">B379</f>
        <v>39843</v>
      </c>
      <c r="C394" s="897">
        <f t="shared" si="762"/>
        <v>0</v>
      </c>
      <c r="K394" s="664"/>
      <c r="N394" s="900">
        <f t="shared" ref="N394:O394" si="763">N379</f>
        <v>39843</v>
      </c>
      <c r="O394" s="897">
        <f t="shared" si="763"/>
        <v>0</v>
      </c>
      <c r="U394" s="663"/>
      <c r="W394" s="664"/>
      <c r="Z394" s="900">
        <f t="shared" ref="Z394:AA394" si="764">Z379</f>
        <v>39843</v>
      </c>
      <c r="AA394" s="897">
        <f t="shared" si="764"/>
        <v>0</v>
      </c>
      <c r="AB394" s="663"/>
      <c r="AC394" s="663"/>
      <c r="AD394" s="663"/>
      <c r="AE394" s="663"/>
      <c r="AF394" s="663"/>
      <c r="AG394" s="663"/>
      <c r="AH394" s="663"/>
      <c r="AI394" s="664"/>
      <c r="AL394" s="900">
        <f t="shared" ref="AL394:AM394" si="765">AL379</f>
        <v>39843</v>
      </c>
      <c r="AM394" s="897">
        <f t="shared" si="765"/>
        <v>0</v>
      </c>
      <c r="AN394" s="663"/>
      <c r="AU394" s="664"/>
      <c r="AX394" s="900">
        <f t="shared" ref="AX394:AY394" si="766">AX379</f>
        <v>39843</v>
      </c>
      <c r="AY394" s="897">
        <f t="shared" si="766"/>
        <v>0</v>
      </c>
      <c r="BG394" s="664"/>
      <c r="BJ394" s="900">
        <f t="shared" ref="BJ394:BK394" si="767">BJ379</f>
        <v>39843</v>
      </c>
      <c r="BK394" s="897">
        <f t="shared" si="767"/>
        <v>0</v>
      </c>
      <c r="BS394" s="664"/>
      <c r="BV394" s="900">
        <f t="shared" ref="BV394:BW394" si="768">BV379</f>
        <v>39843</v>
      </c>
      <c r="BW394" s="897">
        <f t="shared" si="768"/>
        <v>0</v>
      </c>
      <c r="CE394" s="664"/>
      <c r="CH394" s="900">
        <f t="shared" ref="CH394:CI394" si="769">CH379</f>
        <v>39843</v>
      </c>
      <c r="CI394" s="897">
        <f t="shared" si="769"/>
        <v>0</v>
      </c>
      <c r="CQ394" s="664"/>
      <c r="CT394" s="900">
        <f t="shared" ref="CT394:CU394" si="770">CT379</f>
        <v>39843</v>
      </c>
      <c r="CU394" s="897">
        <f t="shared" si="770"/>
        <v>0</v>
      </c>
      <c r="DC394" s="664"/>
      <c r="DF394" s="900">
        <f t="shared" ref="DF394:DG394" si="771">DF379</f>
        <v>39843</v>
      </c>
      <c r="DG394" s="897">
        <f t="shared" si="771"/>
        <v>0</v>
      </c>
      <c r="DO394" s="664"/>
    </row>
    <row r="395" spans="2:119" hidden="1" x14ac:dyDescent="0.25">
      <c r="B395" s="900">
        <f t="shared" ref="B395:C395" si="772">B380</f>
        <v>39843</v>
      </c>
      <c r="C395" s="897">
        <f t="shared" si="772"/>
        <v>0</v>
      </c>
      <c r="K395" s="664"/>
      <c r="N395" s="900">
        <f t="shared" ref="N395:O395" si="773">N380</f>
        <v>39843</v>
      </c>
      <c r="O395" s="897">
        <f t="shared" si="773"/>
        <v>0</v>
      </c>
      <c r="U395" s="663"/>
      <c r="W395" s="664"/>
      <c r="Z395" s="900">
        <f t="shared" ref="Z395:AA395" si="774">Z380</f>
        <v>39843</v>
      </c>
      <c r="AA395" s="897">
        <f t="shared" si="774"/>
        <v>0</v>
      </c>
      <c r="AB395" s="663"/>
      <c r="AC395" s="663"/>
      <c r="AD395" s="663"/>
      <c r="AE395" s="663"/>
      <c r="AF395" s="663"/>
      <c r="AG395" s="663"/>
      <c r="AH395" s="663"/>
      <c r="AI395" s="664"/>
      <c r="AL395" s="900">
        <f t="shared" ref="AL395:AM395" si="775">AL380</f>
        <v>39843</v>
      </c>
      <c r="AM395" s="897">
        <f t="shared" si="775"/>
        <v>0</v>
      </c>
      <c r="AN395" s="663"/>
      <c r="AU395" s="664"/>
      <c r="AX395" s="900">
        <f t="shared" ref="AX395:AY395" si="776">AX380</f>
        <v>39843</v>
      </c>
      <c r="AY395" s="897">
        <f t="shared" si="776"/>
        <v>0</v>
      </c>
      <c r="BG395" s="664"/>
      <c r="BJ395" s="900">
        <f t="shared" ref="BJ395:BK395" si="777">BJ380</f>
        <v>39843</v>
      </c>
      <c r="BK395" s="897">
        <f t="shared" si="777"/>
        <v>0</v>
      </c>
      <c r="BS395" s="664"/>
      <c r="BV395" s="900">
        <f t="shared" ref="BV395:BW395" si="778">BV380</f>
        <v>39843</v>
      </c>
      <c r="BW395" s="897">
        <f t="shared" si="778"/>
        <v>0</v>
      </c>
      <c r="CE395" s="664"/>
      <c r="CH395" s="900">
        <f t="shared" ref="CH395:CI395" si="779">CH380</f>
        <v>39843</v>
      </c>
      <c r="CI395" s="897">
        <f t="shared" si="779"/>
        <v>0</v>
      </c>
      <c r="CQ395" s="664"/>
      <c r="CT395" s="900">
        <f t="shared" ref="CT395:CU395" si="780">CT380</f>
        <v>39843</v>
      </c>
      <c r="CU395" s="897">
        <f t="shared" si="780"/>
        <v>0</v>
      </c>
      <c r="DC395" s="664"/>
      <c r="DF395" s="900">
        <f t="shared" ref="DF395:DG395" si="781">DF380</f>
        <v>39843</v>
      </c>
      <c r="DG395" s="897">
        <f t="shared" si="781"/>
        <v>0</v>
      </c>
      <c r="DO395" s="664"/>
    </row>
    <row r="396" spans="2:119" hidden="1" x14ac:dyDescent="0.25">
      <c r="B396" s="900">
        <f t="shared" ref="B396:C396" si="782">B381</f>
        <v>39843</v>
      </c>
      <c r="C396" s="897">
        <f t="shared" si="782"/>
        <v>0</v>
      </c>
      <c r="K396" s="664"/>
      <c r="N396" s="900">
        <f t="shared" ref="N396:O396" si="783">N381</f>
        <v>39843</v>
      </c>
      <c r="O396" s="897">
        <f t="shared" si="783"/>
        <v>0</v>
      </c>
      <c r="U396" s="663"/>
      <c r="W396" s="664"/>
      <c r="Z396" s="900">
        <f t="shared" ref="Z396:AA396" si="784">Z381</f>
        <v>39843</v>
      </c>
      <c r="AA396" s="897">
        <f t="shared" si="784"/>
        <v>0</v>
      </c>
      <c r="AB396" s="663"/>
      <c r="AC396" s="663"/>
      <c r="AD396" s="663"/>
      <c r="AE396" s="663"/>
      <c r="AF396" s="663"/>
      <c r="AG396" s="663"/>
      <c r="AH396" s="663"/>
      <c r="AI396" s="664"/>
      <c r="AL396" s="900">
        <f t="shared" ref="AL396:AM396" si="785">AL381</f>
        <v>39843</v>
      </c>
      <c r="AM396" s="897">
        <f t="shared" si="785"/>
        <v>0</v>
      </c>
      <c r="AN396" s="663"/>
      <c r="AU396" s="664"/>
      <c r="AX396" s="900">
        <f t="shared" ref="AX396:AY396" si="786">AX381</f>
        <v>39843</v>
      </c>
      <c r="AY396" s="897">
        <f t="shared" si="786"/>
        <v>0</v>
      </c>
      <c r="BG396" s="664"/>
      <c r="BJ396" s="900">
        <f t="shared" ref="BJ396:BK396" si="787">BJ381</f>
        <v>39843</v>
      </c>
      <c r="BK396" s="897">
        <f t="shared" si="787"/>
        <v>0</v>
      </c>
      <c r="BS396" s="664"/>
      <c r="BV396" s="900">
        <f t="shared" ref="BV396:BW396" si="788">BV381</f>
        <v>39843</v>
      </c>
      <c r="BW396" s="897">
        <f t="shared" si="788"/>
        <v>0</v>
      </c>
      <c r="CE396" s="664"/>
      <c r="CH396" s="900">
        <f t="shared" ref="CH396:CI396" si="789">CH381</f>
        <v>39843</v>
      </c>
      <c r="CI396" s="897">
        <f t="shared" si="789"/>
        <v>0</v>
      </c>
      <c r="CQ396" s="664"/>
      <c r="CT396" s="900">
        <f t="shared" ref="CT396:CU396" si="790">CT381</f>
        <v>39843</v>
      </c>
      <c r="CU396" s="897">
        <f t="shared" si="790"/>
        <v>0</v>
      </c>
      <c r="DC396" s="664"/>
      <c r="DF396" s="900">
        <f t="shared" ref="DF396:DG396" si="791">DF381</f>
        <v>39843</v>
      </c>
      <c r="DG396" s="897">
        <f t="shared" si="791"/>
        <v>0</v>
      </c>
      <c r="DO396" s="664"/>
    </row>
    <row r="397" spans="2:119" hidden="1" x14ac:dyDescent="0.25">
      <c r="B397" s="896">
        <f>B382+$C$56</f>
        <v>41359</v>
      </c>
      <c r="C397" s="897">
        <f ca="1">C382</f>
        <v>0</v>
      </c>
      <c r="K397" s="664"/>
      <c r="N397" s="896">
        <f>N382+$C$56</f>
        <v>41359</v>
      </c>
      <c r="O397" s="897">
        <f ca="1">O382</f>
        <v>0</v>
      </c>
      <c r="U397" s="663"/>
      <c r="W397" s="664"/>
      <c r="Z397" s="896">
        <f>Z382+$C$56</f>
        <v>41359</v>
      </c>
      <c r="AA397" s="897">
        <f ca="1">AA382</f>
        <v>0</v>
      </c>
      <c r="AB397" s="663"/>
      <c r="AC397" s="663"/>
      <c r="AD397" s="663"/>
      <c r="AE397" s="663"/>
      <c r="AF397" s="663"/>
      <c r="AG397" s="663"/>
      <c r="AH397" s="663"/>
      <c r="AI397" s="664"/>
      <c r="AL397" s="896">
        <f>AL382+$C$56</f>
        <v>41359</v>
      </c>
      <c r="AM397" s="897">
        <f ca="1">AM382</f>
        <v>0</v>
      </c>
      <c r="AN397" s="663"/>
      <c r="AU397" s="664"/>
      <c r="AX397" s="896">
        <f>AX382+$C$56</f>
        <v>41359</v>
      </c>
      <c r="AY397" s="897">
        <f ca="1">AY382</f>
        <v>0</v>
      </c>
      <c r="BG397" s="664"/>
      <c r="BJ397" s="896">
        <f>BJ382+$C$56</f>
        <v>41359</v>
      </c>
      <c r="BK397" s="897">
        <f ca="1">BK382</f>
        <v>0</v>
      </c>
      <c r="BS397" s="664"/>
      <c r="BV397" s="896">
        <f>BV382+$C$56</f>
        <v>41359</v>
      </c>
      <c r="BW397" s="897">
        <f ca="1">BW382</f>
        <v>0</v>
      </c>
      <c r="CE397" s="664"/>
      <c r="CH397" s="896">
        <f>CH382+$C$56</f>
        <v>41359</v>
      </c>
      <c r="CI397" s="897">
        <f ca="1">CI382</f>
        <v>0</v>
      </c>
      <c r="CQ397" s="664"/>
      <c r="CT397" s="896">
        <f>CT382+$C$56</f>
        <v>41359</v>
      </c>
      <c r="CU397" s="897">
        <f ca="1">CU382</f>
        <v>0</v>
      </c>
      <c r="DC397" s="664"/>
      <c r="DF397" s="896">
        <f>DF382+$C$56</f>
        <v>41359</v>
      </c>
      <c r="DG397" s="897">
        <f ca="1">DG382</f>
        <v>0</v>
      </c>
      <c r="DO397" s="664"/>
    </row>
    <row r="398" spans="2:119" hidden="1" x14ac:dyDescent="0.25">
      <c r="B398" s="898">
        <f>IF(C387&lt;&gt;0,ROW(C387),IF(C388&lt;&gt;0,ROW(C388),IF(C389&lt;&gt;0,ROW(C389),IF(C390&lt;&gt;0,ROW(C390),IF(C391&lt;&gt;0,ROW(C391),IF(C392&lt;&gt;0,ROW(C392),IF(C393&lt;&gt;0,ROW(C393),IF(C394&lt;&gt;0,ROW(C394),IF(C395&lt;&gt;0,ROW(C395),IF(C396&lt;&gt;0,ROW(C396)))))))))))</f>
        <v>387</v>
      </c>
      <c r="C398" s="882" t="e">
        <f ca="1">IF(ISERROR(XIRR(INDIRECT(B400):C397,INDIRECT(B399):B397,-20%)),XIRR(INDIRECT(B400):C397,INDIRECT(B399):B397,20%),"N/A")</f>
        <v>#NUM!</v>
      </c>
      <c r="K398" s="664"/>
      <c r="N398" s="898">
        <f>IF(O387&lt;&gt;0,ROW(O387),IF(O388&lt;&gt;0,ROW(O388),IF(O389&lt;&gt;0,ROW(O389),IF(O390&lt;&gt;0,ROW(O390),IF(O391&lt;&gt;0,ROW(O391),IF(O392&lt;&gt;0,ROW(O392),IF(O393&lt;&gt;0,ROW(O393),IF(O394&lt;&gt;0,ROW(O394),IF(O395&lt;&gt;0,ROW(O395),IF(O396&lt;&gt;0,ROW(O396)))))))))))</f>
        <v>387</v>
      </c>
      <c r="O398" s="882" t="e">
        <f ca="1">IF(ISERROR(XIRR(INDIRECT(N400):O397,INDIRECT(N399):N397,-20%)),XIRR(INDIRECT(N400):O397,INDIRECT(N399):N397,20%),"N/A")</f>
        <v>#NUM!</v>
      </c>
      <c r="U398" s="663"/>
      <c r="W398" s="664"/>
      <c r="Z398" s="898">
        <f>IF(AA387&lt;&gt;0,ROW(AA387),IF(AA388&lt;&gt;0,ROW(AA388),IF(AA389&lt;&gt;0,ROW(AA389),IF(AA390&lt;&gt;0,ROW(AA390),IF(AA391&lt;&gt;0,ROW(AA391),IF(AA392&lt;&gt;0,ROW(AA392),IF(AA393&lt;&gt;0,ROW(AA393),IF(AA394&lt;&gt;0,ROW(AA394),IF(AA395&lt;&gt;0,ROW(AA395),IF(AA396&lt;&gt;0,ROW(AA396)))))))))))</f>
        <v>387</v>
      </c>
      <c r="AA398" s="882" t="e">
        <f ca="1">IF(ISERROR(XIRR(INDIRECT(Z400):AA397,INDIRECT(Z399):Z397,-20%)),XIRR(INDIRECT(Z400):AA397,INDIRECT(Z399):Z397,20%),"N/A")</f>
        <v>#NUM!</v>
      </c>
      <c r="AB398" s="663"/>
      <c r="AC398" s="663"/>
      <c r="AD398" s="663"/>
      <c r="AE398" s="663"/>
      <c r="AF398" s="663"/>
      <c r="AG398" s="663"/>
      <c r="AH398" s="663"/>
      <c r="AI398" s="664"/>
      <c r="AL398" s="898">
        <f>IF(AM387&lt;&gt;0,ROW(AM387),IF(AM388&lt;&gt;0,ROW(AM388),IF(AM389&lt;&gt;0,ROW(AM389),IF(AM390&lt;&gt;0,ROW(AM390),IF(AM391&lt;&gt;0,ROW(AM391),IF(AM392&lt;&gt;0,ROW(AM392),IF(AM393&lt;&gt;0,ROW(AM393),IF(AM394&lt;&gt;0,ROW(AM394),IF(AM395&lt;&gt;0,ROW(AM395),IF(AM396&lt;&gt;0,ROW(AM396)))))))))))</f>
        <v>387</v>
      </c>
      <c r="AM398" s="882" t="e">
        <f ca="1">IF(ISERROR(XIRR(INDIRECT(AL400):AM397,INDIRECT(AL399):AL397,-20%)),XIRR(INDIRECT(AL400):AM397,INDIRECT(AL399):AL397,20%),"N/A")</f>
        <v>#NUM!</v>
      </c>
      <c r="AN398" s="663"/>
      <c r="AU398" s="664"/>
      <c r="AX398" s="898">
        <f>IF(AY387&lt;&gt;0,ROW(AY387),IF(AY388&lt;&gt;0,ROW(AY388),IF(AY389&lt;&gt;0,ROW(AY389),IF(AY390&lt;&gt;0,ROW(AY390),IF(AY391&lt;&gt;0,ROW(AY391),IF(AY392&lt;&gt;0,ROW(AY392),IF(AY393&lt;&gt;0,ROW(AY393),IF(AY394&lt;&gt;0,ROW(AY394),IF(AY395&lt;&gt;0,ROW(AY395),IF(AY396&lt;&gt;0,ROW(AY396)))))))))))</f>
        <v>387</v>
      </c>
      <c r="AY398" s="882" t="e">
        <f ca="1">IF(ISERROR(XIRR(INDIRECT(AX400):AY397,INDIRECT(AX399):AX397,-20%)),XIRR(INDIRECT(AX400):AY397,INDIRECT(AX399):AX397,20%),"N/A")</f>
        <v>#NUM!</v>
      </c>
      <c r="BG398" s="664"/>
      <c r="BJ398" s="898">
        <f>IF(BK387&lt;&gt;0,ROW(BK387),IF(BK388&lt;&gt;0,ROW(BK388),IF(BK389&lt;&gt;0,ROW(BK389),IF(BK390&lt;&gt;0,ROW(BK390),IF(BK391&lt;&gt;0,ROW(BK391),IF(BK392&lt;&gt;0,ROW(BK392),IF(BK393&lt;&gt;0,ROW(BK393),IF(BK394&lt;&gt;0,ROW(BK394),IF(BK395&lt;&gt;0,ROW(BK395),IF(BK396&lt;&gt;0,ROW(BK396)))))))))))</f>
        <v>387</v>
      </c>
      <c r="BK398" s="882" t="e">
        <f ca="1">IF(ISERROR(XIRR(INDIRECT(BJ400):BK397,INDIRECT(BJ399):BJ397,-20%)),XIRR(INDIRECT(BJ400):BK397,INDIRECT(BJ399):BJ397,20%),"N/A")</f>
        <v>#NUM!</v>
      </c>
      <c r="BS398" s="664"/>
      <c r="BV398" s="898">
        <f>IF(BW387&lt;&gt;0,ROW(BW387),IF(BW388&lt;&gt;0,ROW(BW388),IF(BW389&lt;&gt;0,ROW(BW389),IF(BW390&lt;&gt;0,ROW(BW390),IF(BW391&lt;&gt;0,ROW(BW391),IF(BW392&lt;&gt;0,ROW(BW392),IF(BW393&lt;&gt;0,ROW(BW393),IF(BW394&lt;&gt;0,ROW(BW394),IF(BW395&lt;&gt;0,ROW(BW395),IF(BW396&lt;&gt;0,ROW(BW396)))))))))))</f>
        <v>387</v>
      </c>
      <c r="BW398" s="882" t="e">
        <f ca="1">IF(ISERROR(XIRR(INDIRECT(BV400):BW397,INDIRECT(BV399):BV397,-20%)),XIRR(INDIRECT(BV400):BW397,INDIRECT(BV399):BV397,20%),"N/A")</f>
        <v>#NUM!</v>
      </c>
      <c r="CE398" s="664"/>
      <c r="CH398" s="898">
        <f>IF(CI387&lt;&gt;0,ROW(CI387),IF(CI388&lt;&gt;0,ROW(CI388),IF(CI389&lt;&gt;0,ROW(CI389),IF(CI390&lt;&gt;0,ROW(CI390),IF(CI391&lt;&gt;0,ROW(CI391),IF(CI392&lt;&gt;0,ROW(CI392),IF(CI393&lt;&gt;0,ROW(CI393),IF(CI394&lt;&gt;0,ROW(CI394),IF(CI395&lt;&gt;0,ROW(CI395),IF(CI396&lt;&gt;0,ROW(CI396)))))))))))</f>
        <v>387</v>
      </c>
      <c r="CI398" s="882" t="e">
        <f ca="1">IF(ISERROR(XIRR(INDIRECT(CH400):CI397,INDIRECT(CH399):CH397,-20%)),XIRR(INDIRECT(CH400):CI397,INDIRECT(CH399):CH397,20%),"N/A")</f>
        <v>#NUM!</v>
      </c>
      <c r="CQ398" s="664"/>
      <c r="CT398" s="898">
        <f>IF(CU387&lt;&gt;0,ROW(CU387),IF(CU388&lt;&gt;0,ROW(CU388),IF(CU389&lt;&gt;0,ROW(CU389),IF(CU390&lt;&gt;0,ROW(CU390),IF(CU391&lt;&gt;0,ROW(CU391),IF(CU392&lt;&gt;0,ROW(CU392),IF(CU393&lt;&gt;0,ROW(CU393),IF(CU394&lt;&gt;0,ROW(CU394),IF(CU395&lt;&gt;0,ROW(CU395),IF(CU396&lt;&gt;0,ROW(CU396)))))))))))</f>
        <v>387</v>
      </c>
      <c r="CU398" s="882" t="e">
        <f ca="1">IF(ISERROR(XIRR(INDIRECT(CT400):CU397,INDIRECT(CT399):CT397,-20%)),XIRR(INDIRECT(CT400):CU397,INDIRECT(CT399):CT397,20%),"N/A")</f>
        <v>#NUM!</v>
      </c>
      <c r="DC398" s="664"/>
      <c r="DF398" s="898">
        <f>IF(DG387&lt;&gt;0,ROW(DG387),IF(DG388&lt;&gt;0,ROW(DG388),IF(DG389&lt;&gt;0,ROW(DG389),IF(DG390&lt;&gt;0,ROW(DG390),IF(DG391&lt;&gt;0,ROW(DG391),IF(DG392&lt;&gt;0,ROW(DG392),IF(DG393&lt;&gt;0,ROW(DG393),IF(DG394&lt;&gt;0,ROW(DG394),IF(DG395&lt;&gt;0,ROW(DG395),IF(DG396&lt;&gt;0,ROW(DG396)))))))))))</f>
        <v>387</v>
      </c>
      <c r="DG398" s="882" t="e">
        <f ca="1">IF(ISERROR(XIRR(INDIRECT(DF400):DG397,INDIRECT(DF399):DF397,-20%)),XIRR(INDIRECT(DF400):DG397,INDIRECT(DF399):DF397,20%),"N/A")</f>
        <v>#NUM!</v>
      </c>
      <c r="DO398" s="664"/>
    </row>
    <row r="399" spans="2:119" hidden="1" x14ac:dyDescent="0.25">
      <c r="B399" s="899" t="str">
        <f>CONCATENATE(CHAR(64+COLUMN(B398)),B398)</f>
        <v>B387</v>
      </c>
      <c r="C399" s="897"/>
      <c r="K399" s="664"/>
      <c r="N399" s="899" t="str">
        <f>CONCATENATE(CHAR(64+COLUMN(N398)),N398)</f>
        <v>N387</v>
      </c>
      <c r="O399" s="897"/>
      <c r="U399" s="663"/>
      <c r="W399" s="664"/>
      <c r="Z399" s="899" t="str">
        <f>CONCATENATE(IF(COLUMN(Z398)&lt;=26,CHAR(96+COLUMN(Z398)),(CHAR(96+(ROUNDDOWN((COLUMN(Z398)-1)/26,0)))&amp;CHAR(96+IF(MOD(COLUMN(Z398),26)=0,26,MOD(COLUMN(Z398),26))))),Z398)</f>
        <v>z387</v>
      </c>
      <c r="AA399" s="897"/>
      <c r="AB399" s="663"/>
      <c r="AC399" s="663"/>
      <c r="AD399" s="663"/>
      <c r="AE399" s="663"/>
      <c r="AF399" s="663"/>
      <c r="AG399" s="663"/>
      <c r="AH399" s="663"/>
      <c r="AI399" s="664"/>
      <c r="AL399" s="899" t="str">
        <f>CONCATENATE(IF(COLUMN(AL398)&lt;=26,CHAR(96+COLUMN(AL398)),(CHAR(96+(ROUNDDOWN((COLUMN(AL398)-1)/26,0)))&amp;CHAR(96+IF(MOD(COLUMN(AL398),26)=0,26,MOD(COLUMN(AL398),26))))),AL398)</f>
        <v>al387</v>
      </c>
      <c r="AM399" s="897"/>
      <c r="AN399" s="663"/>
      <c r="AU399" s="664"/>
      <c r="AX399" s="899" t="str">
        <f>CONCATENATE(IF(COLUMN(AX398)&lt;=26,CHAR(96+COLUMN(AX398)),(CHAR(96+(ROUNDDOWN((COLUMN(AX398)-1)/26,0)))&amp;CHAR(96+IF(MOD(COLUMN(AX398),26)=0,26,MOD(COLUMN(AX398),26))))),AX398)</f>
        <v>ax387</v>
      </c>
      <c r="AY399" s="897"/>
      <c r="BG399" s="664"/>
      <c r="BJ399" s="899" t="str">
        <f>CONCATENATE(IF(COLUMN(BJ398)&lt;=26,CHAR(96+COLUMN(BJ398)),(CHAR(96+(ROUNDDOWN((COLUMN(BJ398)-1)/26,0)))&amp;CHAR(96+IF(MOD(COLUMN(BJ398),26)=0,26,MOD(COLUMN(BJ398),26))))),BJ398)</f>
        <v>bj387</v>
      </c>
      <c r="BK399" s="897"/>
      <c r="BS399" s="664"/>
      <c r="BV399" s="899" t="str">
        <f>CONCATENATE(IF(COLUMN(BV398)&lt;=26,CHAR(96+COLUMN(BV398)),(CHAR(96+(ROUNDDOWN((COLUMN(BV398)-1)/26,0)))&amp;CHAR(96+IF(MOD(COLUMN(BV398),26)=0,26,MOD(COLUMN(BV398),26))))),BV398)</f>
        <v>bv387</v>
      </c>
      <c r="BW399" s="897"/>
      <c r="CE399" s="664"/>
      <c r="CH399" s="899" t="str">
        <f>CONCATENATE(IF(COLUMN(CH398)&lt;=26,CHAR(96+COLUMN(CH398)),(CHAR(96+(ROUNDDOWN((COLUMN(CH398)-1)/26,0)))&amp;CHAR(96+IF(MOD(COLUMN(CH398),26)=0,26,MOD(COLUMN(CH398),26))))),CH398)</f>
        <v>ch387</v>
      </c>
      <c r="CI399" s="897"/>
      <c r="CQ399" s="664"/>
      <c r="CT399" s="899" t="str">
        <f>CONCATENATE(IF(COLUMN(CT398)&lt;=26,CHAR(96+COLUMN(CT398)),(CHAR(96+(ROUNDDOWN((COLUMN(CT398)-1)/26,0)))&amp;CHAR(96+IF(MOD(COLUMN(CT398),26)=0,26,MOD(COLUMN(CT398),26))))),CT398)</f>
        <v>ct387</v>
      </c>
      <c r="CU399" s="897"/>
      <c r="DC399" s="664"/>
      <c r="DF399" s="899" t="str">
        <f>CONCATENATE(IF(COLUMN(DF398)&lt;=26,CHAR(96+COLUMN(DF398)),(CHAR(96+(ROUNDDOWN((COLUMN(DF398)-1)/26,0)))&amp;CHAR(96+IF(MOD(COLUMN(DF398),26)=0,26,MOD(COLUMN(DF398),26))))),DF398)</f>
        <v>df387</v>
      </c>
      <c r="DG399" s="897"/>
      <c r="DO399" s="664"/>
    </row>
    <row r="400" spans="2:119" hidden="1" x14ac:dyDescent="0.25">
      <c r="B400" s="899" t="str">
        <f>CONCATENATE(CHAR(64+COLUMN(C398)),B398)</f>
        <v>C387</v>
      </c>
      <c r="C400" s="897"/>
      <c r="K400" s="664"/>
      <c r="N400" s="899" t="str">
        <f>CONCATENATE(CHAR(64+COLUMN(O398)),N398)</f>
        <v>O387</v>
      </c>
      <c r="O400" s="897"/>
      <c r="U400" s="663"/>
      <c r="W400" s="664"/>
      <c r="Z400" s="899" t="str">
        <f>CONCATENATE(IF(COLUMN(AA398)&lt;=26,CHAR(96+COLUMN(AA398)),(CHAR(96+(ROUNDDOWN((COLUMN(AA398)-1)/26,0)))&amp;CHAR(96+IF(MOD(COLUMN(AA398),26)=0,26,MOD(COLUMN(AA398),26))))),Z398)</f>
        <v>aa387</v>
      </c>
      <c r="AA400" s="897"/>
      <c r="AB400" s="663"/>
      <c r="AC400" s="663"/>
      <c r="AD400" s="663"/>
      <c r="AE400" s="663"/>
      <c r="AF400" s="663"/>
      <c r="AG400" s="663"/>
      <c r="AH400" s="663"/>
      <c r="AI400" s="664"/>
      <c r="AL400" s="899" t="str">
        <f>CONCATENATE(IF(COLUMN(AM398)&lt;=26,CHAR(96+COLUMN(AM398)),(CHAR(96+(ROUNDDOWN((COLUMN(AM398)-1)/26,0)))&amp;CHAR(96+IF(MOD(COLUMN(AM398),26)=0,26,MOD(COLUMN(AM398),26))))),AL398)</f>
        <v>am387</v>
      </c>
      <c r="AM400" s="897"/>
      <c r="AN400" s="663"/>
      <c r="AU400" s="664"/>
      <c r="AX400" s="899" t="str">
        <f>CONCATENATE(IF(COLUMN(AY398)&lt;=26,CHAR(96+COLUMN(AY398)),(CHAR(96+(ROUNDDOWN((COLUMN(AY398)-1)/26,0)))&amp;CHAR(96+IF(MOD(COLUMN(AY398),26)=0,26,MOD(COLUMN(AY398),26))))),AX398)</f>
        <v>ay387</v>
      </c>
      <c r="AY400" s="897"/>
      <c r="BG400" s="664"/>
      <c r="BJ400" s="899" t="str">
        <f>CONCATENATE(IF(COLUMN(BK398)&lt;=26,CHAR(96+COLUMN(BK398)),(CHAR(96+(ROUNDDOWN((COLUMN(BK398)-1)/26,0)))&amp;CHAR(96+IF(MOD(COLUMN(BK398),26)=0,26,MOD(COLUMN(BK398),26))))),BJ398)</f>
        <v>bk387</v>
      </c>
      <c r="BK400" s="897"/>
      <c r="BS400" s="664"/>
      <c r="BV400" s="899" t="str">
        <f>CONCATENATE(IF(COLUMN(BW398)&lt;=26,CHAR(96+COLUMN(BW398)),(CHAR(96+(ROUNDDOWN((COLUMN(BW398)-1)/26,0)))&amp;CHAR(96+IF(MOD(COLUMN(BW398),26)=0,26,MOD(COLUMN(BW398),26))))),BV398)</f>
        <v>bw387</v>
      </c>
      <c r="BW400" s="897"/>
      <c r="CE400" s="664"/>
      <c r="CH400" s="899" t="str">
        <f>CONCATENATE(IF(COLUMN(CI398)&lt;=26,CHAR(96+COLUMN(CI398)),(CHAR(96+(ROUNDDOWN((COLUMN(CI398)-1)/26,0)))&amp;CHAR(96+IF(MOD(COLUMN(CI398),26)=0,26,MOD(COLUMN(CI398),26))))),CH398)</f>
        <v>ci387</v>
      </c>
      <c r="CI400" s="897"/>
      <c r="CQ400" s="664"/>
      <c r="CT400" s="899" t="str">
        <f>CONCATENATE(IF(COLUMN(CU398)&lt;=26,CHAR(96+COLUMN(CU398)),(CHAR(96+(ROUNDDOWN((COLUMN(CU398)-1)/26,0)))&amp;CHAR(96+IF(MOD(COLUMN(CU398),26)=0,26,MOD(COLUMN(CU398),26))))),CT398)</f>
        <v>cu387</v>
      </c>
      <c r="CU400" s="897"/>
      <c r="DC400" s="664"/>
      <c r="DF400" s="899" t="str">
        <f>CONCATENATE(IF(COLUMN(DG398)&lt;=26,CHAR(96+COLUMN(DG398)),(CHAR(96+(ROUNDDOWN((COLUMN(DG398)-1)/26,0)))&amp;CHAR(96+IF(MOD(COLUMN(DG398),26)=0,26,MOD(COLUMN(DG398),26))))),DF398)</f>
        <v>dg387</v>
      </c>
      <c r="DG400" s="897"/>
      <c r="DO400" s="664"/>
    </row>
    <row r="401" spans="2:119" hidden="1" x14ac:dyDescent="0.25">
      <c r="B401" s="896"/>
      <c r="C401" s="897"/>
      <c r="K401" s="664"/>
      <c r="N401" s="896"/>
      <c r="O401" s="897"/>
      <c r="U401" s="663"/>
      <c r="W401" s="664"/>
      <c r="Z401" s="896"/>
      <c r="AA401" s="897"/>
      <c r="AB401" s="663"/>
      <c r="AC401" s="663"/>
      <c r="AD401" s="663"/>
      <c r="AE401" s="663"/>
      <c r="AF401" s="663"/>
      <c r="AG401" s="663"/>
      <c r="AH401" s="663"/>
      <c r="AI401" s="664"/>
      <c r="AL401" s="896"/>
      <c r="AM401" s="897"/>
      <c r="AN401" s="663"/>
      <c r="AU401" s="664"/>
      <c r="AX401" s="896"/>
      <c r="AY401" s="897"/>
      <c r="BG401" s="664"/>
      <c r="BJ401" s="896"/>
      <c r="BK401" s="897"/>
      <c r="BS401" s="664"/>
      <c r="BV401" s="896"/>
      <c r="BW401" s="897"/>
      <c r="CE401" s="664"/>
      <c r="CH401" s="896"/>
      <c r="CI401" s="897"/>
      <c r="CQ401" s="664"/>
      <c r="CT401" s="896"/>
      <c r="CU401" s="897"/>
      <c r="DC401" s="664"/>
      <c r="DF401" s="896"/>
      <c r="DG401" s="897"/>
      <c r="DO401" s="664"/>
    </row>
    <row r="402" spans="2:119" hidden="1" x14ac:dyDescent="0.25">
      <c r="B402" s="896">
        <f>B387</f>
        <v>39113</v>
      </c>
      <c r="C402" s="897">
        <f>C387</f>
        <v>-1000000</v>
      </c>
      <c r="K402" s="664"/>
      <c r="N402" s="896">
        <f>N387</f>
        <v>39113</v>
      </c>
      <c r="O402" s="897">
        <f>O387</f>
        <v>-1000000</v>
      </c>
      <c r="U402" s="663"/>
      <c r="W402" s="664"/>
      <c r="Z402" s="896">
        <f>Z387</f>
        <v>39113</v>
      </c>
      <c r="AA402" s="897">
        <f>AA387</f>
        <v>-1000000</v>
      </c>
      <c r="AB402" s="663"/>
      <c r="AC402" s="663"/>
      <c r="AD402" s="663"/>
      <c r="AE402" s="663"/>
      <c r="AF402" s="663"/>
      <c r="AG402" s="663"/>
      <c r="AH402" s="663"/>
      <c r="AI402" s="664"/>
      <c r="AL402" s="896">
        <f>AL387</f>
        <v>39113</v>
      </c>
      <c r="AM402" s="897">
        <f>AM387</f>
        <v>-1000000</v>
      </c>
      <c r="AN402" s="663"/>
      <c r="AU402" s="664"/>
      <c r="AX402" s="896">
        <f>AX387</f>
        <v>39113</v>
      </c>
      <c r="AY402" s="897">
        <f>AY387</f>
        <v>-1000000</v>
      </c>
      <c r="BG402" s="664"/>
      <c r="BJ402" s="896">
        <f>BJ387</f>
        <v>39113</v>
      </c>
      <c r="BK402" s="897">
        <f>BK387</f>
        <v>-1000000</v>
      </c>
      <c r="BS402" s="664"/>
      <c r="BV402" s="896">
        <f>BV387</f>
        <v>39113</v>
      </c>
      <c r="BW402" s="897">
        <f>BW387</f>
        <v>-1000000</v>
      </c>
      <c r="CE402" s="664"/>
      <c r="CH402" s="896">
        <f>CH387</f>
        <v>39113</v>
      </c>
      <c r="CI402" s="897">
        <f>CI387</f>
        <v>-1000000</v>
      </c>
      <c r="CQ402" s="664"/>
      <c r="CT402" s="896">
        <f>CT387</f>
        <v>39113</v>
      </c>
      <c r="CU402" s="897">
        <f>CU387</f>
        <v>-1000000</v>
      </c>
      <c r="DC402" s="664"/>
      <c r="DF402" s="896">
        <f>DF387</f>
        <v>39113</v>
      </c>
      <c r="DG402" s="897">
        <f>DG387</f>
        <v>-1000000</v>
      </c>
      <c r="DO402" s="664"/>
    </row>
    <row r="403" spans="2:119" hidden="1" x14ac:dyDescent="0.25">
      <c r="B403" s="896">
        <f t="shared" ref="B403:C403" si="792">B388</f>
        <v>39478</v>
      </c>
      <c r="C403" s="897">
        <f t="shared" si="792"/>
        <v>-2000000</v>
      </c>
      <c r="K403" s="664"/>
      <c r="N403" s="896">
        <f t="shared" ref="N403:O403" si="793">N388</f>
        <v>39478</v>
      </c>
      <c r="O403" s="897">
        <f t="shared" si="793"/>
        <v>-2000000</v>
      </c>
      <c r="U403" s="663"/>
      <c r="W403" s="664"/>
      <c r="Z403" s="896">
        <f t="shared" ref="Z403:AA403" si="794">Z388</f>
        <v>39478</v>
      </c>
      <c r="AA403" s="897">
        <f t="shared" si="794"/>
        <v>-2000000</v>
      </c>
      <c r="AB403" s="663"/>
      <c r="AC403" s="663"/>
      <c r="AD403" s="663"/>
      <c r="AE403" s="663"/>
      <c r="AF403" s="663"/>
      <c r="AG403" s="663"/>
      <c r="AH403" s="663"/>
      <c r="AI403" s="664"/>
      <c r="AL403" s="896">
        <f t="shared" ref="AL403:AM403" si="795">AL388</f>
        <v>39478</v>
      </c>
      <c r="AM403" s="897">
        <f t="shared" si="795"/>
        <v>-2000000</v>
      </c>
      <c r="AN403" s="663"/>
      <c r="AU403" s="664"/>
      <c r="AX403" s="896">
        <f t="shared" ref="AX403:AY403" si="796">AX388</f>
        <v>39478</v>
      </c>
      <c r="AY403" s="897">
        <f t="shared" si="796"/>
        <v>-2000000</v>
      </c>
      <c r="BG403" s="664"/>
      <c r="BJ403" s="896">
        <f t="shared" ref="BJ403:BK403" si="797">BJ388</f>
        <v>39478</v>
      </c>
      <c r="BK403" s="897">
        <f t="shared" si="797"/>
        <v>-2000000</v>
      </c>
      <c r="BS403" s="664"/>
      <c r="BV403" s="896">
        <f t="shared" ref="BV403:BW403" si="798">BV388</f>
        <v>39478</v>
      </c>
      <c r="BW403" s="897">
        <f t="shared" si="798"/>
        <v>-2000000</v>
      </c>
      <c r="CE403" s="664"/>
      <c r="CH403" s="896">
        <f t="shared" ref="CH403:CI403" si="799">CH388</f>
        <v>39478</v>
      </c>
      <c r="CI403" s="897">
        <f t="shared" si="799"/>
        <v>-2000000</v>
      </c>
      <c r="CQ403" s="664"/>
      <c r="CT403" s="896">
        <f t="shared" ref="CT403:CU403" si="800">CT388</f>
        <v>39478</v>
      </c>
      <c r="CU403" s="897">
        <f t="shared" si="800"/>
        <v>-2000000</v>
      </c>
      <c r="DC403" s="664"/>
      <c r="DF403" s="896">
        <f t="shared" ref="DF403:DG403" si="801">DF388</f>
        <v>39478</v>
      </c>
      <c r="DG403" s="897">
        <f t="shared" si="801"/>
        <v>-2000000</v>
      </c>
      <c r="DO403" s="664"/>
    </row>
    <row r="404" spans="2:119" hidden="1" x14ac:dyDescent="0.25">
      <c r="B404" s="896">
        <f t="shared" ref="B404:C404" si="802">B389</f>
        <v>39843</v>
      </c>
      <c r="C404" s="897">
        <f t="shared" si="802"/>
        <v>-2500000</v>
      </c>
      <c r="K404" s="664"/>
      <c r="N404" s="896">
        <f t="shared" ref="N404:O404" si="803">N389</f>
        <v>39843</v>
      </c>
      <c r="O404" s="897">
        <f t="shared" si="803"/>
        <v>-2500000</v>
      </c>
      <c r="U404" s="663"/>
      <c r="W404" s="664"/>
      <c r="Z404" s="896">
        <f t="shared" ref="Z404:AA404" si="804">Z389</f>
        <v>39843</v>
      </c>
      <c r="AA404" s="897">
        <f t="shared" si="804"/>
        <v>-2500000</v>
      </c>
      <c r="AB404" s="663"/>
      <c r="AC404" s="663"/>
      <c r="AD404" s="663"/>
      <c r="AE404" s="663"/>
      <c r="AF404" s="663"/>
      <c r="AG404" s="663"/>
      <c r="AH404" s="663"/>
      <c r="AI404" s="664"/>
      <c r="AL404" s="896">
        <f t="shared" ref="AL404:AM404" si="805">AL389</f>
        <v>39843</v>
      </c>
      <c r="AM404" s="897">
        <f t="shared" si="805"/>
        <v>-2500000</v>
      </c>
      <c r="AN404" s="663"/>
      <c r="AU404" s="664"/>
      <c r="AX404" s="896">
        <f t="shared" ref="AX404:AY404" si="806">AX389</f>
        <v>39843</v>
      </c>
      <c r="AY404" s="897">
        <f t="shared" si="806"/>
        <v>-2500000</v>
      </c>
      <c r="BG404" s="664"/>
      <c r="BJ404" s="896">
        <f t="shared" ref="BJ404:BK404" si="807">BJ389</f>
        <v>39843</v>
      </c>
      <c r="BK404" s="897">
        <f t="shared" si="807"/>
        <v>-2500000</v>
      </c>
      <c r="BS404" s="664"/>
      <c r="BV404" s="896">
        <f t="shared" ref="BV404:BW404" si="808">BV389</f>
        <v>39843</v>
      </c>
      <c r="BW404" s="897">
        <f t="shared" si="808"/>
        <v>-2500000</v>
      </c>
      <c r="CE404" s="664"/>
      <c r="CH404" s="896">
        <f t="shared" ref="CH404:CI404" si="809">CH389</f>
        <v>39843</v>
      </c>
      <c r="CI404" s="897">
        <f t="shared" si="809"/>
        <v>-2500000</v>
      </c>
      <c r="CQ404" s="664"/>
      <c r="CT404" s="896">
        <f t="shared" ref="CT404:CU404" si="810">CT389</f>
        <v>39843</v>
      </c>
      <c r="CU404" s="897">
        <f t="shared" si="810"/>
        <v>-2500000</v>
      </c>
      <c r="DC404" s="664"/>
      <c r="DF404" s="896">
        <f t="shared" ref="DF404:DG404" si="811">DF389</f>
        <v>39843</v>
      </c>
      <c r="DG404" s="897">
        <f t="shared" si="811"/>
        <v>-2500000</v>
      </c>
      <c r="DO404" s="664"/>
    </row>
    <row r="405" spans="2:119" hidden="1" x14ac:dyDescent="0.25">
      <c r="B405" s="896">
        <f t="shared" ref="B405:C405" si="812">B390</f>
        <v>39843</v>
      </c>
      <c r="C405" s="897">
        <f t="shared" si="812"/>
        <v>0</v>
      </c>
      <c r="K405" s="664"/>
      <c r="N405" s="896">
        <f t="shared" ref="N405:O405" si="813">N390</f>
        <v>39843</v>
      </c>
      <c r="O405" s="897">
        <f t="shared" si="813"/>
        <v>0</v>
      </c>
      <c r="U405" s="663"/>
      <c r="W405" s="664"/>
      <c r="Z405" s="896">
        <f t="shared" ref="Z405:AA405" si="814">Z390</f>
        <v>39843</v>
      </c>
      <c r="AA405" s="897">
        <f t="shared" si="814"/>
        <v>0</v>
      </c>
      <c r="AB405" s="663"/>
      <c r="AC405" s="663"/>
      <c r="AD405" s="663"/>
      <c r="AE405" s="663"/>
      <c r="AF405" s="663"/>
      <c r="AG405" s="663"/>
      <c r="AH405" s="663"/>
      <c r="AI405" s="664"/>
      <c r="AL405" s="896">
        <f t="shared" ref="AL405:AM405" si="815">AL390</f>
        <v>39843</v>
      </c>
      <c r="AM405" s="897">
        <f t="shared" si="815"/>
        <v>0</v>
      </c>
      <c r="AN405" s="663"/>
      <c r="AU405" s="664"/>
      <c r="AX405" s="896">
        <f t="shared" ref="AX405:AY405" si="816">AX390</f>
        <v>39843</v>
      </c>
      <c r="AY405" s="897">
        <f t="shared" si="816"/>
        <v>0</v>
      </c>
      <c r="BG405" s="664"/>
      <c r="BJ405" s="896">
        <f t="shared" ref="BJ405:BK405" si="817">BJ390</f>
        <v>39843</v>
      </c>
      <c r="BK405" s="897">
        <f t="shared" si="817"/>
        <v>0</v>
      </c>
      <c r="BS405" s="664"/>
      <c r="BV405" s="896">
        <f t="shared" ref="BV405:BW405" si="818">BV390</f>
        <v>39843</v>
      </c>
      <c r="BW405" s="897">
        <f t="shared" si="818"/>
        <v>0</v>
      </c>
      <c r="CE405" s="664"/>
      <c r="CH405" s="896">
        <f t="shared" ref="CH405:CI405" si="819">CH390</f>
        <v>39843</v>
      </c>
      <c r="CI405" s="897">
        <f t="shared" si="819"/>
        <v>0</v>
      </c>
      <c r="CQ405" s="664"/>
      <c r="CT405" s="896">
        <f t="shared" ref="CT405:CU405" si="820">CT390</f>
        <v>39843</v>
      </c>
      <c r="CU405" s="897">
        <f t="shared" si="820"/>
        <v>0</v>
      </c>
      <c r="DC405" s="664"/>
      <c r="DF405" s="896">
        <f t="shared" ref="DF405:DG405" si="821">DF390</f>
        <v>39843</v>
      </c>
      <c r="DG405" s="897">
        <f t="shared" si="821"/>
        <v>0</v>
      </c>
      <c r="DO405" s="664"/>
    </row>
    <row r="406" spans="2:119" hidden="1" x14ac:dyDescent="0.25">
      <c r="B406" s="896">
        <f t="shared" ref="B406:C406" si="822">B391</f>
        <v>39843</v>
      </c>
      <c r="C406" s="897">
        <f t="shared" si="822"/>
        <v>0</v>
      </c>
      <c r="K406" s="664"/>
      <c r="N406" s="896">
        <f t="shared" ref="N406:O406" si="823">N391</f>
        <v>39843</v>
      </c>
      <c r="O406" s="897">
        <f t="shared" si="823"/>
        <v>0</v>
      </c>
      <c r="U406" s="663"/>
      <c r="W406" s="664"/>
      <c r="Z406" s="896">
        <f t="shared" ref="Z406:AA406" si="824">Z391</f>
        <v>39843</v>
      </c>
      <c r="AA406" s="897">
        <f t="shared" si="824"/>
        <v>0</v>
      </c>
      <c r="AB406" s="663"/>
      <c r="AC406" s="663"/>
      <c r="AD406" s="663"/>
      <c r="AE406" s="663"/>
      <c r="AF406" s="663"/>
      <c r="AG406" s="663"/>
      <c r="AH406" s="663"/>
      <c r="AI406" s="664"/>
      <c r="AL406" s="896">
        <f t="shared" ref="AL406:AM406" si="825">AL391</f>
        <v>39843</v>
      </c>
      <c r="AM406" s="897">
        <f t="shared" si="825"/>
        <v>0</v>
      </c>
      <c r="AN406" s="663"/>
      <c r="AU406" s="664"/>
      <c r="AX406" s="896">
        <f t="shared" ref="AX406:AY406" si="826">AX391</f>
        <v>39843</v>
      </c>
      <c r="AY406" s="897">
        <f t="shared" si="826"/>
        <v>0</v>
      </c>
      <c r="BG406" s="664"/>
      <c r="BJ406" s="896">
        <f t="shared" ref="BJ406:BK406" si="827">BJ391</f>
        <v>39843</v>
      </c>
      <c r="BK406" s="897">
        <f t="shared" si="827"/>
        <v>0</v>
      </c>
      <c r="BS406" s="664"/>
      <c r="BV406" s="896">
        <f t="shared" ref="BV406:BW406" si="828">BV391</f>
        <v>39843</v>
      </c>
      <c r="BW406" s="897">
        <f t="shared" si="828"/>
        <v>0</v>
      </c>
      <c r="CE406" s="664"/>
      <c r="CH406" s="896">
        <f t="shared" ref="CH406:CI406" si="829">CH391</f>
        <v>39843</v>
      </c>
      <c r="CI406" s="897">
        <f t="shared" si="829"/>
        <v>0</v>
      </c>
      <c r="CQ406" s="664"/>
      <c r="CT406" s="896">
        <f t="shared" ref="CT406:CU406" si="830">CT391</f>
        <v>39843</v>
      </c>
      <c r="CU406" s="897">
        <f t="shared" si="830"/>
        <v>0</v>
      </c>
      <c r="DC406" s="664"/>
      <c r="DF406" s="896">
        <f t="shared" ref="DF406:DG406" si="831">DF391</f>
        <v>39843</v>
      </c>
      <c r="DG406" s="897">
        <f t="shared" si="831"/>
        <v>0</v>
      </c>
      <c r="DO406" s="664"/>
    </row>
    <row r="407" spans="2:119" hidden="1" x14ac:dyDescent="0.25">
      <c r="B407" s="896">
        <f t="shared" ref="B407:C407" si="832">B392</f>
        <v>39843</v>
      </c>
      <c r="C407" s="897">
        <f t="shared" si="832"/>
        <v>0</v>
      </c>
      <c r="K407" s="664"/>
      <c r="N407" s="896">
        <f t="shared" ref="N407:O407" si="833">N392</f>
        <v>39843</v>
      </c>
      <c r="O407" s="897">
        <f t="shared" si="833"/>
        <v>0</v>
      </c>
      <c r="U407" s="663"/>
      <c r="W407" s="664"/>
      <c r="Z407" s="896">
        <f t="shared" ref="Z407:AA407" si="834">Z392</f>
        <v>39843</v>
      </c>
      <c r="AA407" s="897">
        <f t="shared" si="834"/>
        <v>0</v>
      </c>
      <c r="AB407" s="663"/>
      <c r="AC407" s="663"/>
      <c r="AD407" s="663"/>
      <c r="AE407" s="663"/>
      <c r="AF407" s="663"/>
      <c r="AG407" s="663"/>
      <c r="AH407" s="663"/>
      <c r="AI407" s="664"/>
      <c r="AL407" s="896">
        <f t="shared" ref="AL407:AM407" si="835">AL392</f>
        <v>39843</v>
      </c>
      <c r="AM407" s="897">
        <f t="shared" si="835"/>
        <v>0</v>
      </c>
      <c r="AN407" s="663"/>
      <c r="AU407" s="664"/>
      <c r="AX407" s="896">
        <f t="shared" ref="AX407:AY407" si="836">AX392</f>
        <v>39843</v>
      </c>
      <c r="AY407" s="897">
        <f t="shared" si="836"/>
        <v>0</v>
      </c>
      <c r="BG407" s="664"/>
      <c r="BJ407" s="896">
        <f t="shared" ref="BJ407:BK407" si="837">BJ392</f>
        <v>39843</v>
      </c>
      <c r="BK407" s="897">
        <f t="shared" si="837"/>
        <v>0</v>
      </c>
      <c r="BS407" s="664"/>
      <c r="BV407" s="896">
        <f t="shared" ref="BV407:BW407" si="838">BV392</f>
        <v>39843</v>
      </c>
      <c r="BW407" s="897">
        <f t="shared" si="838"/>
        <v>0</v>
      </c>
      <c r="CE407" s="664"/>
      <c r="CH407" s="896">
        <f t="shared" ref="CH407:CI407" si="839">CH392</f>
        <v>39843</v>
      </c>
      <c r="CI407" s="897">
        <f t="shared" si="839"/>
        <v>0</v>
      </c>
      <c r="CQ407" s="664"/>
      <c r="CT407" s="896">
        <f t="shared" ref="CT407:CU407" si="840">CT392</f>
        <v>39843</v>
      </c>
      <c r="CU407" s="897">
        <f t="shared" si="840"/>
        <v>0</v>
      </c>
      <c r="DC407" s="664"/>
      <c r="DF407" s="896">
        <f t="shared" ref="DF407:DG407" si="841">DF392</f>
        <v>39843</v>
      </c>
      <c r="DG407" s="897">
        <f t="shared" si="841"/>
        <v>0</v>
      </c>
      <c r="DO407" s="664"/>
    </row>
    <row r="408" spans="2:119" hidden="1" x14ac:dyDescent="0.25">
      <c r="B408" s="896">
        <f t="shared" ref="B408:C408" si="842">B393</f>
        <v>39843</v>
      </c>
      <c r="C408" s="897">
        <f t="shared" si="842"/>
        <v>0</v>
      </c>
      <c r="K408" s="664"/>
      <c r="N408" s="896">
        <f t="shared" ref="N408:O408" si="843">N393</f>
        <v>39843</v>
      </c>
      <c r="O408" s="897">
        <f t="shared" si="843"/>
        <v>0</v>
      </c>
      <c r="U408" s="663"/>
      <c r="W408" s="664"/>
      <c r="Z408" s="896">
        <f t="shared" ref="Z408:AA408" si="844">Z393</f>
        <v>39843</v>
      </c>
      <c r="AA408" s="897">
        <f t="shared" si="844"/>
        <v>0</v>
      </c>
      <c r="AB408" s="663"/>
      <c r="AC408" s="663"/>
      <c r="AD408" s="663"/>
      <c r="AE408" s="663"/>
      <c r="AF408" s="663"/>
      <c r="AG408" s="663"/>
      <c r="AH408" s="663"/>
      <c r="AI408" s="664"/>
      <c r="AL408" s="896">
        <f t="shared" ref="AL408:AM408" si="845">AL393</f>
        <v>39843</v>
      </c>
      <c r="AM408" s="897">
        <f t="shared" si="845"/>
        <v>0</v>
      </c>
      <c r="AN408" s="663"/>
      <c r="AU408" s="664"/>
      <c r="AX408" s="896">
        <f t="shared" ref="AX408:AY408" si="846">AX393</f>
        <v>39843</v>
      </c>
      <c r="AY408" s="897">
        <f t="shared" si="846"/>
        <v>0</v>
      </c>
      <c r="BG408" s="664"/>
      <c r="BJ408" s="896">
        <f t="shared" ref="BJ408:BK408" si="847">BJ393</f>
        <v>39843</v>
      </c>
      <c r="BK408" s="897">
        <f t="shared" si="847"/>
        <v>0</v>
      </c>
      <c r="BS408" s="664"/>
      <c r="BV408" s="896">
        <f t="shared" ref="BV408:BW408" si="848">BV393</f>
        <v>39843</v>
      </c>
      <c r="BW408" s="897">
        <f t="shared" si="848"/>
        <v>0</v>
      </c>
      <c r="CE408" s="664"/>
      <c r="CH408" s="896">
        <f t="shared" ref="CH408:CI408" si="849">CH393</f>
        <v>39843</v>
      </c>
      <c r="CI408" s="897">
        <f t="shared" si="849"/>
        <v>0</v>
      </c>
      <c r="CQ408" s="664"/>
      <c r="CT408" s="896">
        <f t="shared" ref="CT408:CU408" si="850">CT393</f>
        <v>39843</v>
      </c>
      <c r="CU408" s="897">
        <f t="shared" si="850"/>
        <v>0</v>
      </c>
      <c r="DC408" s="664"/>
      <c r="DF408" s="896">
        <f t="shared" ref="DF408:DG408" si="851">DF393</f>
        <v>39843</v>
      </c>
      <c r="DG408" s="897">
        <f t="shared" si="851"/>
        <v>0</v>
      </c>
      <c r="DO408" s="664"/>
    </row>
    <row r="409" spans="2:119" hidden="1" x14ac:dyDescent="0.25">
      <c r="B409" s="896">
        <f t="shared" ref="B409:C409" si="852">B394</f>
        <v>39843</v>
      </c>
      <c r="C409" s="897">
        <f t="shared" si="852"/>
        <v>0</v>
      </c>
      <c r="K409" s="664"/>
      <c r="N409" s="896">
        <f t="shared" ref="N409:O409" si="853">N394</f>
        <v>39843</v>
      </c>
      <c r="O409" s="897">
        <f t="shared" si="853"/>
        <v>0</v>
      </c>
      <c r="U409" s="663"/>
      <c r="W409" s="664"/>
      <c r="Z409" s="896">
        <f t="shared" ref="Z409:AA409" si="854">Z394</f>
        <v>39843</v>
      </c>
      <c r="AA409" s="897">
        <f t="shared" si="854"/>
        <v>0</v>
      </c>
      <c r="AB409" s="663"/>
      <c r="AC409" s="663"/>
      <c r="AD409" s="663"/>
      <c r="AE409" s="663"/>
      <c r="AF409" s="663"/>
      <c r="AG409" s="663"/>
      <c r="AH409" s="663"/>
      <c r="AI409" s="664"/>
      <c r="AL409" s="896">
        <f t="shared" ref="AL409:AM409" si="855">AL394</f>
        <v>39843</v>
      </c>
      <c r="AM409" s="897">
        <f t="shared" si="855"/>
        <v>0</v>
      </c>
      <c r="AN409" s="663"/>
      <c r="AU409" s="664"/>
      <c r="AX409" s="896">
        <f t="shared" ref="AX409:AY409" si="856">AX394</f>
        <v>39843</v>
      </c>
      <c r="AY409" s="897">
        <f t="shared" si="856"/>
        <v>0</v>
      </c>
      <c r="BG409" s="664"/>
      <c r="BJ409" s="896">
        <f t="shared" ref="BJ409:BK409" si="857">BJ394</f>
        <v>39843</v>
      </c>
      <c r="BK409" s="897">
        <f t="shared" si="857"/>
        <v>0</v>
      </c>
      <c r="BS409" s="664"/>
      <c r="BV409" s="896">
        <f t="shared" ref="BV409:BW409" si="858">BV394</f>
        <v>39843</v>
      </c>
      <c r="BW409" s="897">
        <f t="shared" si="858"/>
        <v>0</v>
      </c>
      <c r="CE409" s="664"/>
      <c r="CH409" s="896">
        <f t="shared" ref="CH409:CI409" si="859">CH394</f>
        <v>39843</v>
      </c>
      <c r="CI409" s="897">
        <f t="shared" si="859"/>
        <v>0</v>
      </c>
      <c r="CQ409" s="664"/>
      <c r="CT409" s="896">
        <f t="shared" ref="CT409:CU409" si="860">CT394</f>
        <v>39843</v>
      </c>
      <c r="CU409" s="897">
        <f t="shared" si="860"/>
        <v>0</v>
      </c>
      <c r="DC409" s="664"/>
      <c r="DF409" s="896">
        <f t="shared" ref="DF409:DG409" si="861">DF394</f>
        <v>39843</v>
      </c>
      <c r="DG409" s="897">
        <f t="shared" si="861"/>
        <v>0</v>
      </c>
      <c r="DO409" s="664"/>
    </row>
    <row r="410" spans="2:119" hidden="1" x14ac:dyDescent="0.25">
      <c r="B410" s="896">
        <f t="shared" ref="B410:C410" si="862">B395</f>
        <v>39843</v>
      </c>
      <c r="C410" s="897">
        <f t="shared" si="862"/>
        <v>0</v>
      </c>
      <c r="K410" s="664"/>
      <c r="N410" s="896">
        <f t="shared" ref="N410:O410" si="863">N395</f>
        <v>39843</v>
      </c>
      <c r="O410" s="897">
        <f t="shared" si="863"/>
        <v>0</v>
      </c>
      <c r="U410" s="663"/>
      <c r="W410" s="664"/>
      <c r="Z410" s="896">
        <f t="shared" ref="Z410:AA410" si="864">Z395</f>
        <v>39843</v>
      </c>
      <c r="AA410" s="897">
        <f t="shared" si="864"/>
        <v>0</v>
      </c>
      <c r="AB410" s="663"/>
      <c r="AC410" s="663"/>
      <c r="AD410" s="663"/>
      <c r="AE410" s="663"/>
      <c r="AF410" s="663"/>
      <c r="AG410" s="663"/>
      <c r="AH410" s="663"/>
      <c r="AI410" s="664"/>
      <c r="AL410" s="896">
        <f t="shared" ref="AL410:AM410" si="865">AL395</f>
        <v>39843</v>
      </c>
      <c r="AM410" s="897">
        <f t="shared" si="865"/>
        <v>0</v>
      </c>
      <c r="AN410" s="663"/>
      <c r="AU410" s="664"/>
      <c r="AX410" s="896">
        <f t="shared" ref="AX410:AY410" si="866">AX395</f>
        <v>39843</v>
      </c>
      <c r="AY410" s="897">
        <f t="shared" si="866"/>
        <v>0</v>
      </c>
      <c r="BG410" s="664"/>
      <c r="BJ410" s="896">
        <f t="shared" ref="BJ410:BK410" si="867">BJ395</f>
        <v>39843</v>
      </c>
      <c r="BK410" s="897">
        <f t="shared" si="867"/>
        <v>0</v>
      </c>
      <c r="BS410" s="664"/>
      <c r="BV410" s="896">
        <f t="shared" ref="BV410:BW410" si="868">BV395</f>
        <v>39843</v>
      </c>
      <c r="BW410" s="897">
        <f t="shared" si="868"/>
        <v>0</v>
      </c>
      <c r="CE410" s="664"/>
      <c r="CH410" s="896">
        <f t="shared" ref="CH410:CI410" si="869">CH395</f>
        <v>39843</v>
      </c>
      <c r="CI410" s="897">
        <f t="shared" si="869"/>
        <v>0</v>
      </c>
      <c r="CQ410" s="664"/>
      <c r="CT410" s="896">
        <f t="shared" ref="CT410:CU410" si="870">CT395</f>
        <v>39843</v>
      </c>
      <c r="CU410" s="897">
        <f t="shared" si="870"/>
        <v>0</v>
      </c>
      <c r="DC410" s="664"/>
      <c r="DF410" s="896">
        <f t="shared" ref="DF410:DG410" si="871">DF395</f>
        <v>39843</v>
      </c>
      <c r="DG410" s="897">
        <f t="shared" si="871"/>
        <v>0</v>
      </c>
      <c r="DO410" s="664"/>
    </row>
    <row r="411" spans="2:119" hidden="1" x14ac:dyDescent="0.25">
      <c r="B411" s="896">
        <f t="shared" ref="B411:C411" si="872">B396</f>
        <v>39843</v>
      </c>
      <c r="C411" s="897">
        <f t="shared" si="872"/>
        <v>0</v>
      </c>
      <c r="K411" s="664"/>
      <c r="N411" s="896">
        <f t="shared" ref="N411:O411" si="873">N396</f>
        <v>39843</v>
      </c>
      <c r="O411" s="897">
        <f t="shared" si="873"/>
        <v>0</v>
      </c>
      <c r="U411" s="663"/>
      <c r="W411" s="664"/>
      <c r="Z411" s="896">
        <f t="shared" ref="Z411:AA411" si="874">Z396</f>
        <v>39843</v>
      </c>
      <c r="AA411" s="897">
        <f t="shared" si="874"/>
        <v>0</v>
      </c>
      <c r="AB411" s="663"/>
      <c r="AC411" s="663"/>
      <c r="AD411" s="663"/>
      <c r="AE411" s="663"/>
      <c r="AF411" s="663"/>
      <c r="AG411" s="663"/>
      <c r="AH411" s="663"/>
      <c r="AI411" s="664"/>
      <c r="AL411" s="896">
        <f t="shared" ref="AL411:AM411" si="875">AL396</f>
        <v>39843</v>
      </c>
      <c r="AM411" s="897">
        <f t="shared" si="875"/>
        <v>0</v>
      </c>
      <c r="AN411" s="663"/>
      <c r="AU411" s="664"/>
      <c r="AX411" s="896">
        <f t="shared" ref="AX411:AY411" si="876">AX396</f>
        <v>39843</v>
      </c>
      <c r="AY411" s="897">
        <f t="shared" si="876"/>
        <v>0</v>
      </c>
      <c r="BG411" s="664"/>
      <c r="BJ411" s="896">
        <f t="shared" ref="BJ411:BK411" si="877">BJ396</f>
        <v>39843</v>
      </c>
      <c r="BK411" s="897">
        <f t="shared" si="877"/>
        <v>0</v>
      </c>
      <c r="BS411" s="664"/>
      <c r="BV411" s="896">
        <f t="shared" ref="BV411:BW411" si="878">BV396</f>
        <v>39843</v>
      </c>
      <c r="BW411" s="897">
        <f t="shared" si="878"/>
        <v>0</v>
      </c>
      <c r="CE411" s="664"/>
      <c r="CH411" s="896">
        <f t="shared" ref="CH411:CI411" si="879">CH396</f>
        <v>39843</v>
      </c>
      <c r="CI411" s="897">
        <f t="shared" si="879"/>
        <v>0</v>
      </c>
      <c r="CQ411" s="664"/>
      <c r="CT411" s="896">
        <f t="shared" ref="CT411:CU411" si="880">CT396</f>
        <v>39843</v>
      </c>
      <c r="CU411" s="897">
        <f t="shared" si="880"/>
        <v>0</v>
      </c>
      <c r="DC411" s="664"/>
      <c r="DF411" s="896">
        <f t="shared" ref="DF411:DG411" si="881">DF396</f>
        <v>39843</v>
      </c>
      <c r="DG411" s="897">
        <f t="shared" si="881"/>
        <v>0</v>
      </c>
      <c r="DO411" s="664"/>
    </row>
    <row r="412" spans="2:119" hidden="1" x14ac:dyDescent="0.25">
      <c r="B412" s="896">
        <f>B397+$C$56</f>
        <v>41539</v>
      </c>
      <c r="C412" s="897">
        <f ca="1">C397</f>
        <v>0</v>
      </c>
      <c r="K412" s="664"/>
      <c r="N412" s="896">
        <f>N397+$C$56</f>
        <v>41539</v>
      </c>
      <c r="O412" s="897">
        <f ca="1">O397</f>
        <v>0</v>
      </c>
      <c r="U412" s="663"/>
      <c r="W412" s="664"/>
      <c r="Z412" s="896">
        <f>Z397+$C$56</f>
        <v>41539</v>
      </c>
      <c r="AA412" s="897">
        <f ca="1">AA397</f>
        <v>0</v>
      </c>
      <c r="AB412" s="663"/>
      <c r="AC412" s="663"/>
      <c r="AD412" s="663"/>
      <c r="AE412" s="663"/>
      <c r="AF412" s="663"/>
      <c r="AG412" s="663"/>
      <c r="AH412" s="663"/>
      <c r="AI412" s="664"/>
      <c r="AL412" s="896">
        <f>AL397+$C$56</f>
        <v>41539</v>
      </c>
      <c r="AM412" s="897">
        <f ca="1">AM397</f>
        <v>0</v>
      </c>
      <c r="AN412" s="663"/>
      <c r="AU412" s="664"/>
      <c r="AX412" s="896">
        <f>AX397+$C$56</f>
        <v>41539</v>
      </c>
      <c r="AY412" s="897">
        <f ca="1">AY397</f>
        <v>0</v>
      </c>
      <c r="BG412" s="664"/>
      <c r="BJ412" s="896">
        <f>BJ397+$C$56</f>
        <v>41539</v>
      </c>
      <c r="BK412" s="897">
        <f ca="1">BK397</f>
        <v>0</v>
      </c>
      <c r="BS412" s="664"/>
      <c r="BV412" s="896">
        <f>BV397+$C$56</f>
        <v>41539</v>
      </c>
      <c r="BW412" s="897">
        <f ca="1">BW397</f>
        <v>0</v>
      </c>
      <c r="CE412" s="664"/>
      <c r="CH412" s="896">
        <f>CH397+$C$56</f>
        <v>41539</v>
      </c>
      <c r="CI412" s="897">
        <f ca="1">CI397</f>
        <v>0</v>
      </c>
      <c r="CQ412" s="664"/>
      <c r="CT412" s="896">
        <f>CT397+$C$56</f>
        <v>41539</v>
      </c>
      <c r="CU412" s="897">
        <f ca="1">CU397</f>
        <v>0</v>
      </c>
      <c r="DC412" s="664"/>
      <c r="DF412" s="896">
        <f>DF397+$C$56</f>
        <v>41539</v>
      </c>
      <c r="DG412" s="897">
        <f ca="1">DG397</f>
        <v>0</v>
      </c>
      <c r="DO412" s="664"/>
    </row>
    <row r="413" spans="2:119" hidden="1" x14ac:dyDescent="0.25">
      <c r="B413" s="898">
        <f>IF(C402&lt;&gt;0,ROW(C402),IF(C403&lt;&gt;0,ROW(C403),IF(C404&lt;&gt;0,ROW(C404),IF(C405&lt;&gt;0,ROW(C405),IF(C406&lt;&gt;0,ROW(C406),IF(C407&lt;&gt;0,ROW(C407),IF(C408&lt;&gt;0,ROW(C408),IF(C409&lt;&gt;0,ROW(C409),IF(C410&lt;&gt;0,ROW(C410),IF(C411&lt;&gt;0,ROW(C411)))))))))))</f>
        <v>402</v>
      </c>
      <c r="C413" s="882" t="e">
        <f ca="1">IF(ISERROR(XIRR(INDIRECT(B415):C412,INDIRECT(B414):B412,-20%)),XIRR(INDIRECT(B415):C412,INDIRECT(B414):B412,20%),"N/A")</f>
        <v>#NUM!</v>
      </c>
      <c r="K413" s="664"/>
      <c r="N413" s="898">
        <f>IF(O402&lt;&gt;0,ROW(O402),IF(O403&lt;&gt;0,ROW(O403),IF(O404&lt;&gt;0,ROW(O404),IF(O405&lt;&gt;0,ROW(O405),IF(O406&lt;&gt;0,ROW(O406),IF(O407&lt;&gt;0,ROW(O407),IF(O408&lt;&gt;0,ROW(O408),IF(O409&lt;&gt;0,ROW(O409),IF(O410&lt;&gt;0,ROW(O410),IF(O411&lt;&gt;0,ROW(O411)))))))))))</f>
        <v>402</v>
      </c>
      <c r="O413" s="882" t="e">
        <f ca="1">IF(ISERROR(XIRR(INDIRECT(N415):O412,INDIRECT(N414):N412,-20%)),XIRR(INDIRECT(N415):O412,INDIRECT(N414):N412,20%),"N/A")</f>
        <v>#NUM!</v>
      </c>
      <c r="U413" s="663"/>
      <c r="W413" s="664"/>
      <c r="Z413" s="898">
        <f>IF(AA402&lt;&gt;0,ROW(AA402),IF(AA403&lt;&gt;0,ROW(AA403),IF(AA404&lt;&gt;0,ROW(AA404),IF(AA405&lt;&gt;0,ROW(AA405),IF(AA406&lt;&gt;0,ROW(AA406),IF(AA407&lt;&gt;0,ROW(AA407),IF(AA408&lt;&gt;0,ROW(AA408),IF(AA409&lt;&gt;0,ROW(AA409),IF(AA410&lt;&gt;0,ROW(AA410),IF(AA411&lt;&gt;0,ROW(AA411)))))))))))</f>
        <v>402</v>
      </c>
      <c r="AA413" s="882" t="e">
        <f ca="1">IF(ISERROR(XIRR(INDIRECT(Z415):AA412,INDIRECT(Z414):Z412,-20%)),XIRR(INDIRECT(Z415):AA412,INDIRECT(Z414):Z412,20%),"N/A")</f>
        <v>#NUM!</v>
      </c>
      <c r="AB413" s="663"/>
      <c r="AC413" s="663"/>
      <c r="AD413" s="663"/>
      <c r="AE413" s="663"/>
      <c r="AF413" s="663"/>
      <c r="AG413" s="663"/>
      <c r="AH413" s="663"/>
      <c r="AI413" s="664"/>
      <c r="AL413" s="898">
        <f>IF(AM402&lt;&gt;0,ROW(AM402),IF(AM403&lt;&gt;0,ROW(AM403),IF(AM404&lt;&gt;0,ROW(AM404),IF(AM405&lt;&gt;0,ROW(AM405),IF(AM406&lt;&gt;0,ROW(AM406),IF(AM407&lt;&gt;0,ROW(AM407),IF(AM408&lt;&gt;0,ROW(AM408),IF(AM409&lt;&gt;0,ROW(AM409),IF(AM410&lt;&gt;0,ROW(AM410),IF(AM411&lt;&gt;0,ROW(AM411)))))))))))</f>
        <v>402</v>
      </c>
      <c r="AM413" s="882" t="e">
        <f ca="1">IF(ISERROR(XIRR(INDIRECT(AL415):AM412,INDIRECT(AL414):AL412,-20%)),XIRR(INDIRECT(AL415):AM412,INDIRECT(AL414):AL412,20%),"N/A")</f>
        <v>#NUM!</v>
      </c>
      <c r="AN413" s="663"/>
      <c r="AU413" s="664"/>
      <c r="AX413" s="898">
        <f>IF(AY402&lt;&gt;0,ROW(AY402),IF(AY403&lt;&gt;0,ROW(AY403),IF(AY404&lt;&gt;0,ROW(AY404),IF(AY405&lt;&gt;0,ROW(AY405),IF(AY406&lt;&gt;0,ROW(AY406),IF(AY407&lt;&gt;0,ROW(AY407),IF(AY408&lt;&gt;0,ROW(AY408),IF(AY409&lt;&gt;0,ROW(AY409),IF(AY410&lt;&gt;0,ROW(AY410),IF(AY411&lt;&gt;0,ROW(AY411)))))))))))</f>
        <v>402</v>
      </c>
      <c r="AY413" s="882" t="e">
        <f ca="1">IF(ISERROR(XIRR(INDIRECT(AX415):AY412,INDIRECT(AX414):AX412,-20%)),XIRR(INDIRECT(AX415):AY412,INDIRECT(AX414):AX412,20%),"N/A")</f>
        <v>#NUM!</v>
      </c>
      <c r="BG413" s="664"/>
      <c r="BJ413" s="898">
        <f>IF(BK402&lt;&gt;0,ROW(BK402),IF(BK403&lt;&gt;0,ROW(BK403),IF(BK404&lt;&gt;0,ROW(BK404),IF(BK405&lt;&gt;0,ROW(BK405),IF(BK406&lt;&gt;0,ROW(BK406),IF(BK407&lt;&gt;0,ROW(BK407),IF(BK408&lt;&gt;0,ROW(BK408),IF(BK409&lt;&gt;0,ROW(BK409),IF(BK410&lt;&gt;0,ROW(BK410),IF(BK411&lt;&gt;0,ROW(BK411)))))))))))</f>
        <v>402</v>
      </c>
      <c r="BK413" s="882" t="e">
        <f ca="1">IF(ISERROR(XIRR(INDIRECT(BJ415):BK412,INDIRECT(BJ414):BJ412,-20%)),XIRR(INDIRECT(BJ415):BK412,INDIRECT(BJ414):BJ412,20%),"N/A")</f>
        <v>#NUM!</v>
      </c>
      <c r="BS413" s="664"/>
      <c r="BV413" s="898">
        <f>IF(BW402&lt;&gt;0,ROW(BW402),IF(BW403&lt;&gt;0,ROW(BW403),IF(BW404&lt;&gt;0,ROW(BW404),IF(BW405&lt;&gt;0,ROW(BW405),IF(BW406&lt;&gt;0,ROW(BW406),IF(BW407&lt;&gt;0,ROW(BW407),IF(BW408&lt;&gt;0,ROW(BW408),IF(BW409&lt;&gt;0,ROW(BW409),IF(BW410&lt;&gt;0,ROW(BW410),IF(BW411&lt;&gt;0,ROW(BW411)))))))))))</f>
        <v>402</v>
      </c>
      <c r="BW413" s="882" t="e">
        <f ca="1">IF(ISERROR(XIRR(INDIRECT(BV415):BW412,INDIRECT(BV414):BV412,-20%)),XIRR(INDIRECT(BV415):BW412,INDIRECT(BV414):BV412,20%),"N/A")</f>
        <v>#NUM!</v>
      </c>
      <c r="CE413" s="664"/>
      <c r="CH413" s="898">
        <f>IF(CI402&lt;&gt;0,ROW(CI402),IF(CI403&lt;&gt;0,ROW(CI403),IF(CI404&lt;&gt;0,ROW(CI404),IF(CI405&lt;&gt;0,ROW(CI405),IF(CI406&lt;&gt;0,ROW(CI406),IF(CI407&lt;&gt;0,ROW(CI407),IF(CI408&lt;&gt;0,ROW(CI408),IF(CI409&lt;&gt;0,ROW(CI409),IF(CI410&lt;&gt;0,ROW(CI410),IF(CI411&lt;&gt;0,ROW(CI411)))))))))))</f>
        <v>402</v>
      </c>
      <c r="CI413" s="882" t="e">
        <f ca="1">IF(ISERROR(XIRR(INDIRECT(CH415):CI412,INDIRECT(CH414):CH412,-20%)),XIRR(INDIRECT(CH415):CI412,INDIRECT(CH414):CH412,20%),"N/A")</f>
        <v>#NUM!</v>
      </c>
      <c r="CQ413" s="664"/>
      <c r="CT413" s="898">
        <f>IF(CU402&lt;&gt;0,ROW(CU402),IF(CU403&lt;&gt;0,ROW(CU403),IF(CU404&lt;&gt;0,ROW(CU404),IF(CU405&lt;&gt;0,ROW(CU405),IF(CU406&lt;&gt;0,ROW(CU406),IF(CU407&lt;&gt;0,ROW(CU407),IF(CU408&lt;&gt;0,ROW(CU408),IF(CU409&lt;&gt;0,ROW(CU409),IF(CU410&lt;&gt;0,ROW(CU410),IF(CU411&lt;&gt;0,ROW(CU411)))))))))))</f>
        <v>402</v>
      </c>
      <c r="CU413" s="882" t="e">
        <f ca="1">IF(ISERROR(XIRR(INDIRECT(CT415):CU412,INDIRECT(CT414):CT412,-20%)),XIRR(INDIRECT(CT415):CU412,INDIRECT(CT414):CT412,20%),"N/A")</f>
        <v>#NUM!</v>
      </c>
      <c r="DC413" s="664"/>
      <c r="DF413" s="898">
        <f>IF(DG402&lt;&gt;0,ROW(DG402),IF(DG403&lt;&gt;0,ROW(DG403),IF(DG404&lt;&gt;0,ROW(DG404),IF(DG405&lt;&gt;0,ROW(DG405),IF(DG406&lt;&gt;0,ROW(DG406),IF(DG407&lt;&gt;0,ROW(DG407),IF(DG408&lt;&gt;0,ROW(DG408),IF(DG409&lt;&gt;0,ROW(DG409),IF(DG410&lt;&gt;0,ROW(DG410),IF(DG411&lt;&gt;0,ROW(DG411)))))))))))</f>
        <v>402</v>
      </c>
      <c r="DG413" s="882" t="e">
        <f ca="1">IF(ISERROR(XIRR(INDIRECT(DF415):DG412,INDIRECT(DF414):DF412,-20%)),XIRR(INDIRECT(DF415):DG412,INDIRECT(DF414):DF412,20%),"N/A")</f>
        <v>#NUM!</v>
      </c>
      <c r="DO413" s="664"/>
    </row>
    <row r="414" spans="2:119" hidden="1" x14ac:dyDescent="0.25">
      <c r="B414" s="899" t="str">
        <f>CONCATENATE(CHAR(64+COLUMN(B413)),B413)</f>
        <v>B402</v>
      </c>
      <c r="C414" s="897"/>
      <c r="K414" s="664"/>
      <c r="N414" s="899" t="str">
        <f>CONCATENATE(CHAR(64+COLUMN(N413)),N413)</f>
        <v>N402</v>
      </c>
      <c r="O414" s="897"/>
      <c r="U414" s="663"/>
      <c r="W414" s="664"/>
      <c r="Z414" s="899" t="str">
        <f>CONCATENATE(IF(COLUMN(Z413)&lt;=26,CHAR(96+COLUMN(Z413)),(CHAR(96+(ROUNDDOWN((COLUMN(Z413)-1)/26,0)))&amp;CHAR(96+IF(MOD(COLUMN(Z413),26)=0,26,MOD(COLUMN(Z413),26))))),Z413)</f>
        <v>z402</v>
      </c>
      <c r="AA414" s="897"/>
      <c r="AB414" s="663"/>
      <c r="AC414" s="663"/>
      <c r="AD414" s="663"/>
      <c r="AE414" s="663"/>
      <c r="AF414" s="663"/>
      <c r="AG414" s="663"/>
      <c r="AH414" s="663"/>
      <c r="AI414" s="664"/>
      <c r="AL414" s="899" t="str">
        <f>CONCATENATE(IF(COLUMN(AL413)&lt;=26,CHAR(96+COLUMN(AL413)),(CHAR(96+(ROUNDDOWN((COLUMN(AL413)-1)/26,0)))&amp;CHAR(96+IF(MOD(COLUMN(AL413),26)=0,26,MOD(COLUMN(AL413),26))))),AL413)</f>
        <v>al402</v>
      </c>
      <c r="AM414" s="897"/>
      <c r="AN414" s="663"/>
      <c r="AU414" s="664"/>
      <c r="AX414" s="899" t="str">
        <f>CONCATENATE(IF(COLUMN(AX413)&lt;=26,CHAR(96+COLUMN(AX413)),(CHAR(96+(ROUNDDOWN((COLUMN(AX413)-1)/26,0)))&amp;CHAR(96+IF(MOD(COLUMN(AX413),26)=0,26,MOD(COLUMN(AX413),26))))),AX413)</f>
        <v>ax402</v>
      </c>
      <c r="AY414" s="897"/>
      <c r="BG414" s="664"/>
      <c r="BJ414" s="899" t="str">
        <f>CONCATENATE(IF(COLUMN(BJ413)&lt;=26,CHAR(96+COLUMN(BJ413)),(CHAR(96+(ROUNDDOWN((COLUMN(BJ413)-1)/26,0)))&amp;CHAR(96+IF(MOD(COLUMN(BJ413),26)=0,26,MOD(COLUMN(BJ413),26))))),BJ413)</f>
        <v>bj402</v>
      </c>
      <c r="BK414" s="897"/>
      <c r="BS414" s="664"/>
      <c r="BV414" s="899" t="str">
        <f>CONCATENATE(IF(COLUMN(BV413)&lt;=26,CHAR(96+COLUMN(BV413)),(CHAR(96+(ROUNDDOWN((COLUMN(BV413)-1)/26,0)))&amp;CHAR(96+IF(MOD(COLUMN(BV413),26)=0,26,MOD(COLUMN(BV413),26))))),BV413)</f>
        <v>bv402</v>
      </c>
      <c r="BW414" s="897"/>
      <c r="CE414" s="664"/>
      <c r="CH414" s="899" t="str">
        <f>CONCATENATE(IF(COLUMN(CH413)&lt;=26,CHAR(96+COLUMN(CH413)),(CHAR(96+(ROUNDDOWN((COLUMN(CH413)-1)/26,0)))&amp;CHAR(96+IF(MOD(COLUMN(CH413),26)=0,26,MOD(COLUMN(CH413),26))))),CH413)</f>
        <v>ch402</v>
      </c>
      <c r="CI414" s="897"/>
      <c r="CQ414" s="664"/>
      <c r="CT414" s="899" t="str">
        <f>CONCATENATE(IF(COLUMN(CT413)&lt;=26,CHAR(96+COLUMN(CT413)),(CHAR(96+(ROUNDDOWN((COLUMN(CT413)-1)/26,0)))&amp;CHAR(96+IF(MOD(COLUMN(CT413),26)=0,26,MOD(COLUMN(CT413),26))))),CT413)</f>
        <v>ct402</v>
      </c>
      <c r="CU414" s="897"/>
      <c r="DC414" s="664"/>
      <c r="DF414" s="899" t="str">
        <f>CONCATENATE(IF(COLUMN(DF413)&lt;=26,CHAR(96+COLUMN(DF413)),(CHAR(96+(ROUNDDOWN((COLUMN(DF413)-1)/26,0)))&amp;CHAR(96+IF(MOD(COLUMN(DF413),26)=0,26,MOD(COLUMN(DF413),26))))),DF413)</f>
        <v>df402</v>
      </c>
      <c r="DG414" s="897"/>
      <c r="DO414" s="664"/>
    </row>
    <row r="415" spans="2:119" hidden="1" x14ac:dyDescent="0.25">
      <c r="B415" s="899" t="str">
        <f>CONCATENATE(CHAR(64+COLUMN(C413)),B413)</f>
        <v>C402</v>
      </c>
      <c r="C415" s="897"/>
      <c r="K415" s="664"/>
      <c r="N415" s="899" t="str">
        <f>CONCATENATE(CHAR(64+COLUMN(O413)),N413)</f>
        <v>O402</v>
      </c>
      <c r="O415" s="897"/>
      <c r="U415" s="663"/>
      <c r="W415" s="664"/>
      <c r="Z415" s="899" t="str">
        <f>CONCATENATE(IF(COLUMN(AA413)&lt;=26,CHAR(96+COLUMN(AA413)),(CHAR(96+(ROUNDDOWN((COLUMN(AA413)-1)/26,0)))&amp;CHAR(96+IF(MOD(COLUMN(AA413),26)=0,26,MOD(COLUMN(AA413),26))))),Z413)</f>
        <v>aa402</v>
      </c>
      <c r="AA415" s="897"/>
      <c r="AB415" s="663"/>
      <c r="AC415" s="663"/>
      <c r="AD415" s="663"/>
      <c r="AE415" s="663"/>
      <c r="AF415" s="663"/>
      <c r="AG415" s="663"/>
      <c r="AH415" s="663"/>
      <c r="AI415" s="664"/>
      <c r="AL415" s="899" t="str">
        <f>CONCATENATE(IF(COLUMN(AM413)&lt;=26,CHAR(96+COLUMN(AM413)),(CHAR(96+(ROUNDDOWN((COLUMN(AM413)-1)/26,0)))&amp;CHAR(96+IF(MOD(COLUMN(AM413),26)=0,26,MOD(COLUMN(AM413),26))))),AL413)</f>
        <v>am402</v>
      </c>
      <c r="AM415" s="897"/>
      <c r="AN415" s="663"/>
      <c r="AU415" s="664"/>
      <c r="AX415" s="899" t="str">
        <f>CONCATENATE(IF(COLUMN(AY413)&lt;=26,CHAR(96+COLUMN(AY413)),(CHAR(96+(ROUNDDOWN((COLUMN(AY413)-1)/26,0)))&amp;CHAR(96+IF(MOD(COLUMN(AY413),26)=0,26,MOD(COLUMN(AY413),26))))),AX413)</f>
        <v>ay402</v>
      </c>
      <c r="AY415" s="897"/>
      <c r="BG415" s="664"/>
      <c r="BJ415" s="899" t="str">
        <f>CONCATENATE(IF(COLUMN(BK413)&lt;=26,CHAR(96+COLUMN(BK413)),(CHAR(96+(ROUNDDOWN((COLUMN(BK413)-1)/26,0)))&amp;CHAR(96+IF(MOD(COLUMN(BK413),26)=0,26,MOD(COLUMN(BK413),26))))),BJ413)</f>
        <v>bk402</v>
      </c>
      <c r="BK415" s="897"/>
      <c r="BS415" s="664"/>
      <c r="BV415" s="899" t="str">
        <f>CONCATENATE(IF(COLUMN(BW413)&lt;=26,CHAR(96+COLUMN(BW413)),(CHAR(96+(ROUNDDOWN((COLUMN(BW413)-1)/26,0)))&amp;CHAR(96+IF(MOD(COLUMN(BW413),26)=0,26,MOD(COLUMN(BW413),26))))),BV413)</f>
        <v>bw402</v>
      </c>
      <c r="BW415" s="897"/>
      <c r="CE415" s="664"/>
      <c r="CH415" s="899" t="str">
        <f>CONCATENATE(IF(COLUMN(CI413)&lt;=26,CHAR(96+COLUMN(CI413)),(CHAR(96+(ROUNDDOWN((COLUMN(CI413)-1)/26,0)))&amp;CHAR(96+IF(MOD(COLUMN(CI413),26)=0,26,MOD(COLUMN(CI413),26))))),CH413)</f>
        <v>ci402</v>
      </c>
      <c r="CI415" s="897"/>
      <c r="CQ415" s="664"/>
      <c r="CT415" s="899" t="str">
        <f>CONCATENATE(IF(COLUMN(CU413)&lt;=26,CHAR(96+COLUMN(CU413)),(CHAR(96+(ROUNDDOWN((COLUMN(CU413)-1)/26,0)))&amp;CHAR(96+IF(MOD(COLUMN(CU413),26)=0,26,MOD(COLUMN(CU413),26))))),CT413)</f>
        <v>cu402</v>
      </c>
      <c r="CU415" s="897"/>
      <c r="DC415" s="664"/>
      <c r="DF415" s="899" t="str">
        <f>CONCATENATE(IF(COLUMN(DG413)&lt;=26,CHAR(96+COLUMN(DG413)),(CHAR(96+(ROUNDDOWN((COLUMN(DG413)-1)/26,0)))&amp;CHAR(96+IF(MOD(COLUMN(DG413),26)=0,26,MOD(COLUMN(DG413),26))))),DF413)</f>
        <v>dg402</v>
      </c>
      <c r="DG415" s="897"/>
      <c r="DO415" s="664"/>
    </row>
    <row r="416" spans="2:119" hidden="1" x14ac:dyDescent="0.25">
      <c r="B416" s="894"/>
      <c r="C416" s="881"/>
      <c r="K416" s="664"/>
      <c r="N416" s="894"/>
      <c r="O416" s="881"/>
      <c r="U416" s="663"/>
      <c r="W416" s="664"/>
      <c r="Z416" s="894"/>
      <c r="AA416" s="881"/>
      <c r="AB416" s="663"/>
      <c r="AC416" s="663"/>
      <c r="AD416" s="663"/>
      <c r="AE416" s="663"/>
      <c r="AF416" s="663"/>
      <c r="AG416" s="663"/>
      <c r="AH416" s="663"/>
      <c r="AI416" s="664"/>
      <c r="AL416" s="894"/>
      <c r="AM416" s="881"/>
      <c r="AN416" s="663"/>
      <c r="AU416" s="664"/>
      <c r="AX416" s="894"/>
      <c r="AY416" s="881"/>
      <c r="BG416" s="664"/>
      <c r="BJ416" s="894"/>
      <c r="BK416" s="881"/>
      <c r="BS416" s="664"/>
      <c r="BV416" s="894"/>
      <c r="BW416" s="881"/>
      <c r="CE416" s="664"/>
      <c r="CH416" s="894"/>
      <c r="CI416" s="881"/>
      <c r="CQ416" s="664"/>
      <c r="CT416" s="894"/>
      <c r="CU416" s="881"/>
      <c r="DC416" s="664"/>
      <c r="DF416" s="894"/>
      <c r="DG416" s="881"/>
      <c r="DO416" s="664"/>
    </row>
    <row r="417" spans="2:119" hidden="1" x14ac:dyDescent="0.25">
      <c r="B417" s="894"/>
      <c r="C417" s="881"/>
      <c r="K417" s="664"/>
      <c r="N417" s="894"/>
      <c r="O417" s="881"/>
      <c r="U417" s="663"/>
      <c r="W417" s="664"/>
      <c r="Z417" s="894"/>
      <c r="AA417" s="881"/>
      <c r="AB417" s="663"/>
      <c r="AC417" s="663"/>
      <c r="AD417" s="663"/>
      <c r="AE417" s="663"/>
      <c r="AF417" s="663"/>
      <c r="AG417" s="663"/>
      <c r="AH417" s="663"/>
      <c r="AI417" s="664"/>
      <c r="AL417" s="894"/>
      <c r="AM417" s="881"/>
      <c r="AN417" s="663"/>
      <c r="AU417" s="664"/>
      <c r="AX417" s="894"/>
      <c r="AY417" s="881"/>
      <c r="BG417" s="664"/>
      <c r="BJ417" s="894"/>
      <c r="BK417" s="881"/>
      <c r="BS417" s="664"/>
      <c r="BV417" s="894"/>
      <c r="BW417" s="881"/>
      <c r="CE417" s="664"/>
      <c r="CH417" s="894"/>
      <c r="CI417" s="881"/>
      <c r="CQ417" s="664"/>
      <c r="CT417" s="894"/>
      <c r="CU417" s="881"/>
      <c r="DC417" s="664"/>
      <c r="DF417" s="894"/>
      <c r="DG417" s="881"/>
      <c r="DO417" s="664"/>
    </row>
    <row r="418" spans="2:119" hidden="1" x14ac:dyDescent="0.25">
      <c r="B418" s="894" t="str">
        <f>CONCATENATE(B205," Gross Return Analysis")</f>
        <v>Inv D Gross Return Analysis</v>
      </c>
      <c r="C418" s="666"/>
      <c r="K418" s="664"/>
      <c r="N418" s="894" t="str">
        <f>CONCATENATE(N205," Gross Return Analysis")</f>
        <v>Inv D Gross Return Analysis</v>
      </c>
      <c r="O418" s="666"/>
      <c r="U418" s="663"/>
      <c r="W418" s="664"/>
      <c r="Z418" s="894" t="str">
        <f>CONCATENATE(Z205," Gross Return Analysis")</f>
        <v>Inv D Gross Return Analysis</v>
      </c>
      <c r="AA418" s="666"/>
      <c r="AB418" s="663"/>
      <c r="AC418" s="663"/>
      <c r="AD418" s="663"/>
      <c r="AE418" s="663"/>
      <c r="AF418" s="663"/>
      <c r="AG418" s="663"/>
      <c r="AH418" s="663"/>
      <c r="AI418" s="664"/>
      <c r="AL418" s="894" t="str">
        <f>CONCATENATE(AL205," Gross Return Analysis")</f>
        <v>Inv D Gross Return Analysis</v>
      </c>
      <c r="AM418" s="666"/>
      <c r="AN418" s="663"/>
      <c r="AU418" s="664"/>
      <c r="AX418" s="894" t="str">
        <f>CONCATENATE(AX205," Gross Return Analysis")</f>
        <v>Inv D Gross Return Analysis</v>
      </c>
      <c r="AY418" s="666"/>
      <c r="BG418" s="664"/>
      <c r="BJ418" s="894" t="str">
        <f>CONCATENATE(BJ205," Gross Return Analysis")</f>
        <v>Inv D Gross Return Analysis</v>
      </c>
      <c r="BK418" s="666"/>
      <c r="BS418" s="664"/>
      <c r="BV418" s="894" t="str">
        <f>CONCATENATE(BV205," Gross Return Analysis")</f>
        <v>Inv D Gross Return Analysis</v>
      </c>
      <c r="BW418" s="666"/>
      <c r="CE418" s="664"/>
      <c r="CH418" s="894" t="str">
        <f>CONCATENATE(CH205," Gross Return Analysis")</f>
        <v>Inv D Gross Return Analysis</v>
      </c>
      <c r="CI418" s="666"/>
      <c r="CQ418" s="664"/>
      <c r="CT418" s="894" t="str">
        <f>CONCATENATE(CT205," Gross Return Analysis")</f>
        <v>Inv D Gross Return Analysis</v>
      </c>
      <c r="CU418" s="666"/>
      <c r="DC418" s="664"/>
      <c r="DF418" s="894" t="str">
        <f>CONCATENATE(DF205," Gross Return Analysis")</f>
        <v>Inv D Gross Return Analysis</v>
      </c>
      <c r="DG418" s="666"/>
      <c r="DO418" s="664"/>
    </row>
    <row r="419" spans="2:119" hidden="1" x14ac:dyDescent="0.25">
      <c r="B419" s="668" t="s">
        <v>114</v>
      </c>
      <c r="C419" s="666">
        <f ca="1">C205</f>
        <v>0</v>
      </c>
      <c r="K419" s="664"/>
      <c r="N419" s="668" t="s">
        <v>114</v>
      </c>
      <c r="O419" s="666">
        <f ca="1">O205</f>
        <v>0</v>
      </c>
      <c r="U419" s="663"/>
      <c r="W419" s="664"/>
      <c r="Z419" s="668" t="s">
        <v>114</v>
      </c>
      <c r="AA419" s="666">
        <f ca="1">AA205</f>
        <v>0</v>
      </c>
      <c r="AB419" s="663"/>
      <c r="AC419" s="663"/>
      <c r="AD419" s="663"/>
      <c r="AE419" s="663"/>
      <c r="AF419" s="663"/>
      <c r="AG419" s="663"/>
      <c r="AH419" s="663"/>
      <c r="AI419" s="664"/>
      <c r="AL419" s="668" t="s">
        <v>114</v>
      </c>
      <c r="AM419" s="666">
        <f ca="1">AM205</f>
        <v>0</v>
      </c>
      <c r="AN419" s="663"/>
      <c r="AU419" s="664"/>
      <c r="AX419" s="668" t="s">
        <v>114</v>
      </c>
      <c r="AY419" s="666">
        <f ca="1">AY205</f>
        <v>0</v>
      </c>
      <c r="BG419" s="664"/>
      <c r="BJ419" s="668" t="s">
        <v>114</v>
      </c>
      <c r="BK419" s="666">
        <f ca="1">BK205</f>
        <v>0</v>
      </c>
      <c r="BS419" s="664"/>
      <c r="BV419" s="668" t="s">
        <v>114</v>
      </c>
      <c r="BW419" s="666">
        <f ca="1">BW205</f>
        <v>0</v>
      </c>
      <c r="CE419" s="664"/>
      <c r="CH419" s="668" t="s">
        <v>114</v>
      </c>
      <c r="CI419" s="666">
        <f ca="1">CI205</f>
        <v>0</v>
      </c>
      <c r="CQ419" s="664"/>
      <c r="CT419" s="668" t="s">
        <v>114</v>
      </c>
      <c r="CU419" s="666">
        <f ca="1">CU205</f>
        <v>0</v>
      </c>
      <c r="DC419" s="664"/>
      <c r="DF419" s="668" t="s">
        <v>114</v>
      </c>
      <c r="DG419" s="666">
        <f ca="1">DG205</f>
        <v>0</v>
      </c>
      <c r="DO419" s="664"/>
    </row>
    <row r="420" spans="2:119" hidden="1" x14ac:dyDescent="0.25">
      <c r="B420" s="668" t="s">
        <v>115</v>
      </c>
      <c r="C420" s="895">
        <f ca="1">IF($P$32=0,0,C205/$P$32)</f>
        <v>0</v>
      </c>
      <c r="K420" s="664"/>
      <c r="N420" s="668" t="s">
        <v>115</v>
      </c>
      <c r="O420" s="895">
        <f ca="1">IF($P$32=0,0,O205/$P$32)</f>
        <v>0</v>
      </c>
      <c r="U420" s="663"/>
      <c r="W420" s="664"/>
      <c r="Z420" s="668" t="s">
        <v>115</v>
      </c>
      <c r="AA420" s="895">
        <f ca="1">IF($P$32=0,0,AA205/$P$32)</f>
        <v>0</v>
      </c>
      <c r="AB420" s="663"/>
      <c r="AC420" s="663"/>
      <c r="AD420" s="663"/>
      <c r="AE420" s="663"/>
      <c r="AF420" s="663"/>
      <c r="AG420" s="663"/>
      <c r="AH420" s="663"/>
      <c r="AI420" s="664"/>
      <c r="AL420" s="668" t="s">
        <v>115</v>
      </c>
      <c r="AM420" s="895">
        <f ca="1">IF($P$32=0,0,AM205/$P$32)</f>
        <v>0</v>
      </c>
      <c r="AN420" s="663"/>
      <c r="AU420" s="664"/>
      <c r="AX420" s="668" t="s">
        <v>115</v>
      </c>
      <c r="AY420" s="895">
        <f ca="1">IF($P$32=0,0,AY205/$P$32)</f>
        <v>0</v>
      </c>
      <c r="BG420" s="664"/>
      <c r="BJ420" s="668" t="s">
        <v>115</v>
      </c>
      <c r="BK420" s="895">
        <f ca="1">IF($P$32=0,0,BK205/$P$32)</f>
        <v>0</v>
      </c>
      <c r="BS420" s="664"/>
      <c r="BV420" s="668" t="s">
        <v>115</v>
      </c>
      <c r="BW420" s="895">
        <f ca="1">IF($P$32=0,0,BW205/$P$32)</f>
        <v>0</v>
      </c>
      <c r="CE420" s="664"/>
      <c r="CH420" s="668" t="s">
        <v>115</v>
      </c>
      <c r="CI420" s="895">
        <f ca="1">IF($P$32=0,0,CI205/$P$32)</f>
        <v>0</v>
      </c>
      <c r="CQ420" s="664"/>
      <c r="CT420" s="668" t="s">
        <v>115</v>
      </c>
      <c r="CU420" s="895">
        <f ca="1">IF($P$32=0,0,CU205/$P$32)</f>
        <v>0</v>
      </c>
      <c r="DC420" s="664"/>
      <c r="DF420" s="668" t="s">
        <v>115</v>
      </c>
      <c r="DG420" s="895">
        <f ca="1">IF($P$32=0,0,DG205/$P$32)</f>
        <v>0</v>
      </c>
      <c r="DO420" s="664"/>
    </row>
    <row r="421" spans="2:119" hidden="1" x14ac:dyDescent="0.25">
      <c r="B421" s="896">
        <f>$F$5</f>
        <v>39113</v>
      </c>
      <c r="C421" s="897">
        <f>-$F$32</f>
        <v>-1000000</v>
      </c>
      <c r="K421" s="664"/>
      <c r="N421" s="896">
        <f>$F$5</f>
        <v>39113</v>
      </c>
      <c r="O421" s="897">
        <f>-$F$32</f>
        <v>-1000000</v>
      </c>
      <c r="U421" s="663"/>
      <c r="W421" s="664"/>
      <c r="Z421" s="896">
        <f>$F$5</f>
        <v>39113</v>
      </c>
      <c r="AA421" s="897">
        <f>-$F$32</f>
        <v>-1000000</v>
      </c>
      <c r="AB421" s="663"/>
      <c r="AC421" s="663"/>
      <c r="AD421" s="663"/>
      <c r="AE421" s="663"/>
      <c r="AF421" s="663"/>
      <c r="AG421" s="663"/>
      <c r="AH421" s="663"/>
      <c r="AI421" s="664"/>
      <c r="AL421" s="896">
        <f>$F$5</f>
        <v>39113</v>
      </c>
      <c r="AM421" s="897">
        <f>-$F$32</f>
        <v>-1000000</v>
      </c>
      <c r="AN421" s="663"/>
      <c r="AU421" s="664"/>
      <c r="AX421" s="896">
        <f>$F$5</f>
        <v>39113</v>
      </c>
      <c r="AY421" s="897">
        <f>-$F$32</f>
        <v>-1000000</v>
      </c>
      <c r="BG421" s="664"/>
      <c r="BJ421" s="896">
        <f>$F$5</f>
        <v>39113</v>
      </c>
      <c r="BK421" s="897">
        <f>-$F$32</f>
        <v>-1000000</v>
      </c>
      <c r="BS421" s="664"/>
      <c r="BV421" s="896">
        <f>$F$5</f>
        <v>39113</v>
      </c>
      <c r="BW421" s="897">
        <f>-$F$32</f>
        <v>-1000000</v>
      </c>
      <c r="CE421" s="664"/>
      <c r="CH421" s="896">
        <f>$F$5</f>
        <v>39113</v>
      </c>
      <c r="CI421" s="897">
        <f>-$F$32</f>
        <v>-1000000</v>
      </c>
      <c r="CQ421" s="664"/>
      <c r="CT421" s="896">
        <f>$F$5</f>
        <v>39113</v>
      </c>
      <c r="CU421" s="897">
        <f>-$F$32</f>
        <v>-1000000</v>
      </c>
      <c r="DC421" s="664"/>
      <c r="DF421" s="896">
        <f>$F$5</f>
        <v>39113</v>
      </c>
      <c r="DG421" s="897">
        <f>-$F$32</f>
        <v>-1000000</v>
      </c>
      <c r="DO421" s="664"/>
    </row>
    <row r="422" spans="2:119" hidden="1" x14ac:dyDescent="0.25">
      <c r="B422" s="896">
        <f>$G$5</f>
        <v>39478</v>
      </c>
      <c r="C422" s="897">
        <f>-$G$32</f>
        <v>-2000000</v>
      </c>
      <c r="K422" s="664"/>
      <c r="N422" s="896">
        <f>$G$5</f>
        <v>39478</v>
      </c>
      <c r="O422" s="897">
        <f>-$G$32</f>
        <v>-2000000</v>
      </c>
      <c r="U422" s="663"/>
      <c r="W422" s="664"/>
      <c r="Z422" s="896">
        <f>$G$5</f>
        <v>39478</v>
      </c>
      <c r="AA422" s="897">
        <f>-$G$32</f>
        <v>-2000000</v>
      </c>
      <c r="AB422" s="663"/>
      <c r="AC422" s="663"/>
      <c r="AD422" s="663"/>
      <c r="AE422" s="663"/>
      <c r="AF422" s="663"/>
      <c r="AG422" s="663"/>
      <c r="AH422" s="663"/>
      <c r="AI422" s="664"/>
      <c r="AL422" s="896">
        <f>$G$5</f>
        <v>39478</v>
      </c>
      <c r="AM422" s="897">
        <f>-$G$32</f>
        <v>-2000000</v>
      </c>
      <c r="AN422" s="663"/>
      <c r="AU422" s="664"/>
      <c r="AX422" s="896">
        <f>$G$5</f>
        <v>39478</v>
      </c>
      <c r="AY422" s="897">
        <f>-$G$32</f>
        <v>-2000000</v>
      </c>
      <c r="BG422" s="664"/>
      <c r="BJ422" s="896">
        <f>$G$5</f>
        <v>39478</v>
      </c>
      <c r="BK422" s="897">
        <f>-$G$32</f>
        <v>-2000000</v>
      </c>
      <c r="BS422" s="664"/>
      <c r="BV422" s="896">
        <f>$G$5</f>
        <v>39478</v>
      </c>
      <c r="BW422" s="897">
        <f>-$G$32</f>
        <v>-2000000</v>
      </c>
      <c r="CE422" s="664"/>
      <c r="CH422" s="896">
        <f>$G$5</f>
        <v>39478</v>
      </c>
      <c r="CI422" s="897">
        <f>-$G$32</f>
        <v>-2000000</v>
      </c>
      <c r="CQ422" s="664"/>
      <c r="CT422" s="896">
        <f>$G$5</f>
        <v>39478</v>
      </c>
      <c r="CU422" s="897">
        <f>-$G$32</f>
        <v>-2000000</v>
      </c>
      <c r="DC422" s="664"/>
      <c r="DF422" s="896">
        <f>$G$5</f>
        <v>39478</v>
      </c>
      <c r="DG422" s="897">
        <f>-$G$32</f>
        <v>-2000000</v>
      </c>
      <c r="DO422" s="664"/>
    </row>
    <row r="423" spans="2:119" hidden="1" x14ac:dyDescent="0.25">
      <c r="B423" s="896">
        <f>$H$5</f>
        <v>39843</v>
      </c>
      <c r="C423" s="897">
        <f>-$H$32</f>
        <v>-2500000</v>
      </c>
      <c r="K423" s="664"/>
      <c r="N423" s="896">
        <f>$H$5</f>
        <v>39843</v>
      </c>
      <c r="O423" s="897">
        <f>-$H$32</f>
        <v>-2500000</v>
      </c>
      <c r="U423" s="663"/>
      <c r="W423" s="664"/>
      <c r="Z423" s="896">
        <f>$H$5</f>
        <v>39843</v>
      </c>
      <c r="AA423" s="897">
        <f>-$H$32</f>
        <v>-2500000</v>
      </c>
      <c r="AB423" s="663"/>
      <c r="AC423" s="663"/>
      <c r="AD423" s="663"/>
      <c r="AE423" s="663"/>
      <c r="AF423" s="663"/>
      <c r="AG423" s="663"/>
      <c r="AH423" s="663"/>
      <c r="AI423" s="664"/>
      <c r="AL423" s="896">
        <f>$H$5</f>
        <v>39843</v>
      </c>
      <c r="AM423" s="897">
        <f>-$H$32</f>
        <v>-2500000</v>
      </c>
      <c r="AN423" s="663"/>
      <c r="AU423" s="664"/>
      <c r="AX423" s="896">
        <f>$H$5</f>
        <v>39843</v>
      </c>
      <c r="AY423" s="897">
        <f>-$H$32</f>
        <v>-2500000</v>
      </c>
      <c r="BG423" s="664"/>
      <c r="BJ423" s="896">
        <f>$H$5</f>
        <v>39843</v>
      </c>
      <c r="BK423" s="897">
        <f>-$H$32</f>
        <v>-2500000</v>
      </c>
      <c r="BS423" s="664"/>
      <c r="BV423" s="896">
        <f>$H$5</f>
        <v>39843</v>
      </c>
      <c r="BW423" s="897">
        <f>-$H$32</f>
        <v>-2500000</v>
      </c>
      <c r="CE423" s="664"/>
      <c r="CH423" s="896">
        <f>$H$5</f>
        <v>39843</v>
      </c>
      <c r="CI423" s="897">
        <f>-$H$32</f>
        <v>-2500000</v>
      </c>
      <c r="CQ423" s="664"/>
      <c r="CT423" s="896">
        <f>$H$5</f>
        <v>39843</v>
      </c>
      <c r="CU423" s="897">
        <f>-$H$32</f>
        <v>-2500000</v>
      </c>
      <c r="DC423" s="664"/>
      <c r="DF423" s="896">
        <f>$H$5</f>
        <v>39843</v>
      </c>
      <c r="DG423" s="897">
        <f>-$H$32</f>
        <v>-2500000</v>
      </c>
      <c r="DO423" s="664"/>
    </row>
    <row r="424" spans="2:119" hidden="1" x14ac:dyDescent="0.25">
      <c r="B424" s="896">
        <f>$I$5</f>
        <v>39843</v>
      </c>
      <c r="C424" s="897">
        <f>-$I$32</f>
        <v>0</v>
      </c>
      <c r="K424" s="664"/>
      <c r="N424" s="896">
        <f>$I$5</f>
        <v>39843</v>
      </c>
      <c r="O424" s="897">
        <f>-$I$32</f>
        <v>0</v>
      </c>
      <c r="U424" s="663"/>
      <c r="W424" s="664"/>
      <c r="Z424" s="896">
        <f>$I$5</f>
        <v>39843</v>
      </c>
      <c r="AA424" s="897">
        <f>-$I$32</f>
        <v>0</v>
      </c>
      <c r="AB424" s="663"/>
      <c r="AC424" s="663"/>
      <c r="AD424" s="663"/>
      <c r="AE424" s="663"/>
      <c r="AF424" s="663"/>
      <c r="AG424" s="663"/>
      <c r="AH424" s="663"/>
      <c r="AI424" s="664"/>
      <c r="AL424" s="896">
        <f>$I$5</f>
        <v>39843</v>
      </c>
      <c r="AM424" s="897">
        <f>-$I$32</f>
        <v>0</v>
      </c>
      <c r="AN424" s="663"/>
      <c r="AU424" s="664"/>
      <c r="AX424" s="896">
        <f>$I$5</f>
        <v>39843</v>
      </c>
      <c r="AY424" s="897">
        <f>-$I$32</f>
        <v>0</v>
      </c>
      <c r="BG424" s="664"/>
      <c r="BJ424" s="896">
        <f>$I$5</f>
        <v>39843</v>
      </c>
      <c r="BK424" s="897">
        <f>-$I$32</f>
        <v>0</v>
      </c>
      <c r="BS424" s="664"/>
      <c r="BV424" s="896">
        <f>$I$5</f>
        <v>39843</v>
      </c>
      <c r="BW424" s="897">
        <f>-$I$32</f>
        <v>0</v>
      </c>
      <c r="CE424" s="664"/>
      <c r="CH424" s="896">
        <f>$I$5</f>
        <v>39843</v>
      </c>
      <c r="CI424" s="897">
        <f>-$I$32</f>
        <v>0</v>
      </c>
      <c r="CQ424" s="664"/>
      <c r="CT424" s="896">
        <f>$I$5</f>
        <v>39843</v>
      </c>
      <c r="CU424" s="897">
        <f>-$I$32</f>
        <v>0</v>
      </c>
      <c r="DC424" s="664"/>
      <c r="DF424" s="896">
        <f>$I$5</f>
        <v>39843</v>
      </c>
      <c r="DG424" s="897">
        <f>-$I$32</f>
        <v>0</v>
      </c>
      <c r="DO424" s="664"/>
    </row>
    <row r="425" spans="2:119" hidden="1" x14ac:dyDescent="0.25">
      <c r="B425" s="896">
        <f>$J$5</f>
        <v>39843</v>
      </c>
      <c r="C425" s="897">
        <f>-$J$32</f>
        <v>0</v>
      </c>
      <c r="K425" s="664"/>
      <c r="N425" s="896">
        <f>$J$5</f>
        <v>39843</v>
      </c>
      <c r="O425" s="897">
        <f>-$J$32</f>
        <v>0</v>
      </c>
      <c r="U425" s="663"/>
      <c r="W425" s="664"/>
      <c r="Z425" s="896">
        <f>$J$5</f>
        <v>39843</v>
      </c>
      <c r="AA425" s="897">
        <f>-$J$32</f>
        <v>0</v>
      </c>
      <c r="AB425" s="663"/>
      <c r="AC425" s="663"/>
      <c r="AD425" s="663"/>
      <c r="AE425" s="663"/>
      <c r="AF425" s="663"/>
      <c r="AG425" s="663"/>
      <c r="AH425" s="663"/>
      <c r="AI425" s="664"/>
      <c r="AL425" s="896">
        <f>$J$5</f>
        <v>39843</v>
      </c>
      <c r="AM425" s="897">
        <f>-$J$32</f>
        <v>0</v>
      </c>
      <c r="AN425" s="663"/>
      <c r="AU425" s="664"/>
      <c r="AX425" s="896">
        <f>$J$5</f>
        <v>39843</v>
      </c>
      <c r="AY425" s="897">
        <f>-$J$32</f>
        <v>0</v>
      </c>
      <c r="BG425" s="664"/>
      <c r="BJ425" s="896">
        <f>$J$5</f>
        <v>39843</v>
      </c>
      <c r="BK425" s="897">
        <f>-$J$32</f>
        <v>0</v>
      </c>
      <c r="BS425" s="664"/>
      <c r="BV425" s="896">
        <f>$J$5</f>
        <v>39843</v>
      </c>
      <c r="BW425" s="897">
        <f>-$J$32</f>
        <v>0</v>
      </c>
      <c r="CE425" s="664"/>
      <c r="CH425" s="896">
        <f>$J$5</f>
        <v>39843</v>
      </c>
      <c r="CI425" s="897">
        <f>-$J$32</f>
        <v>0</v>
      </c>
      <c r="CQ425" s="664"/>
      <c r="CT425" s="896">
        <f>$J$5</f>
        <v>39843</v>
      </c>
      <c r="CU425" s="897">
        <f>-$J$32</f>
        <v>0</v>
      </c>
      <c r="DC425" s="664"/>
      <c r="DF425" s="896">
        <f>$J$5</f>
        <v>39843</v>
      </c>
      <c r="DG425" s="897">
        <f>-$J$32</f>
        <v>0</v>
      </c>
      <c r="DO425" s="664"/>
    </row>
    <row r="426" spans="2:119" hidden="1" x14ac:dyDescent="0.25">
      <c r="B426" s="896">
        <f>$K$5</f>
        <v>39843</v>
      </c>
      <c r="C426" s="897">
        <f>-$K$32</f>
        <v>0</v>
      </c>
      <c r="K426" s="664"/>
      <c r="N426" s="896">
        <f>$K$5</f>
        <v>39843</v>
      </c>
      <c r="O426" s="897">
        <f>-$K$32</f>
        <v>0</v>
      </c>
      <c r="U426" s="663"/>
      <c r="W426" s="664"/>
      <c r="Z426" s="896">
        <f>$K$5</f>
        <v>39843</v>
      </c>
      <c r="AA426" s="897">
        <f>-$K$32</f>
        <v>0</v>
      </c>
      <c r="AB426" s="663"/>
      <c r="AC426" s="663"/>
      <c r="AD426" s="663"/>
      <c r="AE426" s="663"/>
      <c r="AF426" s="663"/>
      <c r="AG426" s="663"/>
      <c r="AH426" s="663"/>
      <c r="AI426" s="664"/>
      <c r="AL426" s="896">
        <f>$K$5</f>
        <v>39843</v>
      </c>
      <c r="AM426" s="897">
        <f>-$K$32</f>
        <v>0</v>
      </c>
      <c r="AN426" s="663"/>
      <c r="AU426" s="664"/>
      <c r="AX426" s="896">
        <f>$K$5</f>
        <v>39843</v>
      </c>
      <c r="AY426" s="897">
        <f>-$K$32</f>
        <v>0</v>
      </c>
      <c r="BG426" s="664"/>
      <c r="BJ426" s="896">
        <f>$K$5</f>
        <v>39843</v>
      </c>
      <c r="BK426" s="897">
        <f>-$K$32</f>
        <v>0</v>
      </c>
      <c r="BS426" s="664"/>
      <c r="BV426" s="896">
        <f>$K$5</f>
        <v>39843</v>
      </c>
      <c r="BW426" s="897">
        <f>-$K$32</f>
        <v>0</v>
      </c>
      <c r="CE426" s="664"/>
      <c r="CH426" s="896">
        <f>$K$5</f>
        <v>39843</v>
      </c>
      <c r="CI426" s="897">
        <f>-$K$32</f>
        <v>0</v>
      </c>
      <c r="CQ426" s="664"/>
      <c r="CT426" s="896">
        <f>$K$5</f>
        <v>39843</v>
      </c>
      <c r="CU426" s="897">
        <f>-$K$32</f>
        <v>0</v>
      </c>
      <c r="DC426" s="664"/>
      <c r="DF426" s="896">
        <f>$K$5</f>
        <v>39843</v>
      </c>
      <c r="DG426" s="897">
        <f>-$K$32</f>
        <v>0</v>
      </c>
      <c r="DO426" s="664"/>
    </row>
    <row r="427" spans="2:119" hidden="1" x14ac:dyDescent="0.25">
      <c r="B427" s="896">
        <f>$L$5</f>
        <v>39843</v>
      </c>
      <c r="C427" s="897">
        <f>-$L$32</f>
        <v>0</v>
      </c>
      <c r="K427" s="664"/>
      <c r="N427" s="896">
        <f>$L$5</f>
        <v>39843</v>
      </c>
      <c r="O427" s="897">
        <f>-$L$32</f>
        <v>0</v>
      </c>
      <c r="U427" s="663"/>
      <c r="W427" s="664"/>
      <c r="Z427" s="896">
        <f>$L$5</f>
        <v>39843</v>
      </c>
      <c r="AA427" s="897">
        <f>-$L$32</f>
        <v>0</v>
      </c>
      <c r="AB427" s="663"/>
      <c r="AC427" s="663"/>
      <c r="AD427" s="663"/>
      <c r="AE427" s="663"/>
      <c r="AF427" s="663"/>
      <c r="AG427" s="663"/>
      <c r="AH427" s="663"/>
      <c r="AI427" s="664"/>
      <c r="AL427" s="896">
        <f>$L$5</f>
        <v>39843</v>
      </c>
      <c r="AM427" s="897">
        <f>-$L$32</f>
        <v>0</v>
      </c>
      <c r="AN427" s="663"/>
      <c r="AU427" s="664"/>
      <c r="AX427" s="896">
        <f>$L$5</f>
        <v>39843</v>
      </c>
      <c r="AY427" s="897">
        <f>-$L$32</f>
        <v>0</v>
      </c>
      <c r="BG427" s="664"/>
      <c r="BJ427" s="896">
        <f>$L$5</f>
        <v>39843</v>
      </c>
      <c r="BK427" s="897">
        <f>-$L$32</f>
        <v>0</v>
      </c>
      <c r="BS427" s="664"/>
      <c r="BV427" s="896">
        <f>$L$5</f>
        <v>39843</v>
      </c>
      <c r="BW427" s="897">
        <f>-$L$32</f>
        <v>0</v>
      </c>
      <c r="CE427" s="664"/>
      <c r="CH427" s="896">
        <f>$L$5</f>
        <v>39843</v>
      </c>
      <c r="CI427" s="897">
        <f>-$L$32</f>
        <v>0</v>
      </c>
      <c r="CQ427" s="664"/>
      <c r="CT427" s="896">
        <f>$L$5</f>
        <v>39843</v>
      </c>
      <c r="CU427" s="897">
        <f>-$L$32</f>
        <v>0</v>
      </c>
      <c r="DC427" s="664"/>
      <c r="DF427" s="896">
        <f>$L$5</f>
        <v>39843</v>
      </c>
      <c r="DG427" s="897">
        <f>-$L$32</f>
        <v>0</v>
      </c>
      <c r="DO427" s="664"/>
    </row>
    <row r="428" spans="2:119" hidden="1" x14ac:dyDescent="0.25">
      <c r="B428" s="896">
        <f>$M$5</f>
        <v>39843</v>
      </c>
      <c r="C428" s="897">
        <f>-$M$32</f>
        <v>0</v>
      </c>
      <c r="K428" s="664"/>
      <c r="N428" s="896">
        <f>$M$5</f>
        <v>39843</v>
      </c>
      <c r="O428" s="897">
        <f>-$M$32</f>
        <v>0</v>
      </c>
      <c r="U428" s="663"/>
      <c r="W428" s="664"/>
      <c r="Z428" s="896">
        <f>$M$5</f>
        <v>39843</v>
      </c>
      <c r="AA428" s="897">
        <f>-$M$32</f>
        <v>0</v>
      </c>
      <c r="AB428" s="663"/>
      <c r="AC428" s="663"/>
      <c r="AD428" s="663"/>
      <c r="AE428" s="663"/>
      <c r="AF428" s="663"/>
      <c r="AG428" s="663"/>
      <c r="AH428" s="663"/>
      <c r="AI428" s="664"/>
      <c r="AL428" s="896">
        <f>$M$5</f>
        <v>39843</v>
      </c>
      <c r="AM428" s="897">
        <f>-$M$32</f>
        <v>0</v>
      </c>
      <c r="AN428" s="663"/>
      <c r="AU428" s="664"/>
      <c r="AX428" s="896">
        <f>$M$5</f>
        <v>39843</v>
      </c>
      <c r="AY428" s="897">
        <f>-$M$32</f>
        <v>0</v>
      </c>
      <c r="BG428" s="664"/>
      <c r="BJ428" s="896">
        <f>$M$5</f>
        <v>39843</v>
      </c>
      <c r="BK428" s="897">
        <f>-$M$32</f>
        <v>0</v>
      </c>
      <c r="BS428" s="664"/>
      <c r="BV428" s="896">
        <f>$M$5</f>
        <v>39843</v>
      </c>
      <c r="BW428" s="897">
        <f>-$M$32</f>
        <v>0</v>
      </c>
      <c r="CE428" s="664"/>
      <c r="CH428" s="896">
        <f>$M$5</f>
        <v>39843</v>
      </c>
      <c r="CI428" s="897">
        <f>-$M$32</f>
        <v>0</v>
      </c>
      <c r="CQ428" s="664"/>
      <c r="CT428" s="896">
        <f>$M$5</f>
        <v>39843</v>
      </c>
      <c r="CU428" s="897">
        <f>-$M$32</f>
        <v>0</v>
      </c>
      <c r="DC428" s="664"/>
      <c r="DF428" s="896">
        <f>$M$5</f>
        <v>39843</v>
      </c>
      <c r="DG428" s="897">
        <f>-$M$32</f>
        <v>0</v>
      </c>
      <c r="DO428" s="664"/>
    </row>
    <row r="429" spans="2:119" hidden="1" x14ac:dyDescent="0.25">
      <c r="B429" s="896">
        <f>$N$5</f>
        <v>39843</v>
      </c>
      <c r="C429" s="897">
        <f>-$N$32</f>
        <v>0</v>
      </c>
      <c r="K429" s="664"/>
      <c r="N429" s="896">
        <f>$N$5</f>
        <v>39843</v>
      </c>
      <c r="O429" s="897">
        <f>-$N$32</f>
        <v>0</v>
      </c>
      <c r="U429" s="663"/>
      <c r="W429" s="664"/>
      <c r="Z429" s="896">
        <f>$N$5</f>
        <v>39843</v>
      </c>
      <c r="AA429" s="897">
        <f>-$N$32</f>
        <v>0</v>
      </c>
      <c r="AB429" s="663"/>
      <c r="AC429" s="663"/>
      <c r="AD429" s="663"/>
      <c r="AE429" s="663"/>
      <c r="AF429" s="663"/>
      <c r="AG429" s="663"/>
      <c r="AH429" s="663"/>
      <c r="AI429" s="664"/>
      <c r="AL429" s="896">
        <f>$N$5</f>
        <v>39843</v>
      </c>
      <c r="AM429" s="897">
        <f>-$N$32</f>
        <v>0</v>
      </c>
      <c r="AN429" s="663"/>
      <c r="AU429" s="664"/>
      <c r="AX429" s="896">
        <f>$N$5</f>
        <v>39843</v>
      </c>
      <c r="AY429" s="897">
        <f>-$N$32</f>
        <v>0</v>
      </c>
      <c r="BG429" s="664"/>
      <c r="BJ429" s="896">
        <f>$N$5</f>
        <v>39843</v>
      </c>
      <c r="BK429" s="897">
        <f>-$N$32</f>
        <v>0</v>
      </c>
      <c r="BS429" s="664"/>
      <c r="BV429" s="896">
        <f>$N$5</f>
        <v>39843</v>
      </c>
      <c r="BW429" s="897">
        <f>-$N$32</f>
        <v>0</v>
      </c>
      <c r="CE429" s="664"/>
      <c r="CH429" s="896">
        <f>$N$5</f>
        <v>39843</v>
      </c>
      <c r="CI429" s="897">
        <f>-$N$32</f>
        <v>0</v>
      </c>
      <c r="CQ429" s="664"/>
      <c r="CT429" s="896">
        <f>$N$5</f>
        <v>39843</v>
      </c>
      <c r="CU429" s="897">
        <f>-$N$32</f>
        <v>0</v>
      </c>
      <c r="DC429" s="664"/>
      <c r="DF429" s="896">
        <f>$N$5</f>
        <v>39843</v>
      </c>
      <c r="DG429" s="897">
        <f>-$N$32</f>
        <v>0</v>
      </c>
      <c r="DO429" s="664"/>
    </row>
    <row r="430" spans="2:119" hidden="1" x14ac:dyDescent="0.25">
      <c r="B430" s="896">
        <f>$O$5</f>
        <v>39843</v>
      </c>
      <c r="C430" s="897">
        <f>-$O$32</f>
        <v>0</v>
      </c>
      <c r="K430" s="664"/>
      <c r="N430" s="896">
        <f>$O$5</f>
        <v>39843</v>
      </c>
      <c r="O430" s="897">
        <f>-$O$32</f>
        <v>0</v>
      </c>
      <c r="U430" s="663"/>
      <c r="W430" s="664"/>
      <c r="Z430" s="896">
        <f>$O$5</f>
        <v>39843</v>
      </c>
      <c r="AA430" s="897">
        <f>-$O$32</f>
        <v>0</v>
      </c>
      <c r="AB430" s="663"/>
      <c r="AC430" s="663"/>
      <c r="AD430" s="663"/>
      <c r="AE430" s="663"/>
      <c r="AF430" s="663"/>
      <c r="AG430" s="663"/>
      <c r="AH430" s="663"/>
      <c r="AI430" s="664"/>
      <c r="AL430" s="896">
        <f>$O$5</f>
        <v>39843</v>
      </c>
      <c r="AM430" s="897">
        <f>-$O$32</f>
        <v>0</v>
      </c>
      <c r="AN430" s="663"/>
      <c r="AU430" s="664"/>
      <c r="AX430" s="896">
        <f>$O$5</f>
        <v>39843</v>
      </c>
      <c r="AY430" s="897">
        <f>-$O$32</f>
        <v>0</v>
      </c>
      <c r="BG430" s="664"/>
      <c r="BJ430" s="896">
        <f>$O$5</f>
        <v>39843</v>
      </c>
      <c r="BK430" s="897">
        <f>-$O$32</f>
        <v>0</v>
      </c>
      <c r="BS430" s="664"/>
      <c r="BV430" s="896">
        <f>$O$5</f>
        <v>39843</v>
      </c>
      <c r="BW430" s="897">
        <f>-$O$32</f>
        <v>0</v>
      </c>
      <c r="CE430" s="664"/>
      <c r="CH430" s="896">
        <f>$O$5</f>
        <v>39843</v>
      </c>
      <c r="CI430" s="897">
        <f>-$O$32</f>
        <v>0</v>
      </c>
      <c r="CQ430" s="664"/>
      <c r="CT430" s="896">
        <f>$O$5</f>
        <v>39843</v>
      </c>
      <c r="CU430" s="897">
        <f>-$O$32</f>
        <v>0</v>
      </c>
      <c r="DC430" s="664"/>
      <c r="DF430" s="896">
        <f>$O$5</f>
        <v>39843</v>
      </c>
      <c r="DG430" s="897">
        <f>-$O$32</f>
        <v>0</v>
      </c>
      <c r="DO430" s="664"/>
    </row>
    <row r="431" spans="2:119" hidden="1" x14ac:dyDescent="0.25">
      <c r="B431" s="896">
        <f>$C$55</f>
        <v>40999</v>
      </c>
      <c r="C431" s="897">
        <f ca="1">C419</f>
        <v>0</v>
      </c>
      <c r="K431" s="664"/>
      <c r="N431" s="896">
        <f>$C$55</f>
        <v>40999</v>
      </c>
      <c r="O431" s="897">
        <f ca="1">O419</f>
        <v>0</v>
      </c>
      <c r="U431" s="663"/>
      <c r="W431" s="664"/>
      <c r="Z431" s="896">
        <f>$C$55</f>
        <v>40999</v>
      </c>
      <c r="AA431" s="897">
        <f ca="1">AA419</f>
        <v>0</v>
      </c>
      <c r="AB431" s="663"/>
      <c r="AC431" s="663"/>
      <c r="AD431" s="663"/>
      <c r="AE431" s="663"/>
      <c r="AF431" s="663"/>
      <c r="AG431" s="663"/>
      <c r="AH431" s="663"/>
      <c r="AI431" s="664"/>
      <c r="AL431" s="896">
        <f>$C$55</f>
        <v>40999</v>
      </c>
      <c r="AM431" s="897">
        <f ca="1">AM419</f>
        <v>0</v>
      </c>
      <c r="AN431" s="663"/>
      <c r="AU431" s="664"/>
      <c r="AX431" s="896">
        <f>$C$55</f>
        <v>40999</v>
      </c>
      <c r="AY431" s="897">
        <f ca="1">AY419</f>
        <v>0</v>
      </c>
      <c r="BG431" s="664"/>
      <c r="BJ431" s="896">
        <f>$C$55</f>
        <v>40999</v>
      </c>
      <c r="BK431" s="897">
        <f ca="1">BK419</f>
        <v>0</v>
      </c>
      <c r="BS431" s="664"/>
      <c r="BV431" s="896">
        <f>$C$55</f>
        <v>40999</v>
      </c>
      <c r="BW431" s="897">
        <f ca="1">BW419</f>
        <v>0</v>
      </c>
      <c r="CE431" s="664"/>
      <c r="CH431" s="896">
        <f>$C$55</f>
        <v>40999</v>
      </c>
      <c r="CI431" s="897">
        <f ca="1">CI419</f>
        <v>0</v>
      </c>
      <c r="CQ431" s="664"/>
      <c r="CT431" s="896">
        <f>$C$55</f>
        <v>40999</v>
      </c>
      <c r="CU431" s="897">
        <f ca="1">CU419</f>
        <v>0</v>
      </c>
      <c r="DC431" s="664"/>
      <c r="DF431" s="896">
        <f>$C$55</f>
        <v>40999</v>
      </c>
      <c r="DG431" s="897">
        <f ca="1">DG419</f>
        <v>0</v>
      </c>
      <c r="DO431" s="664"/>
    </row>
    <row r="432" spans="2:119" hidden="1" x14ac:dyDescent="0.25">
      <c r="B432" s="898">
        <f>IF(C421&lt;&gt;0,ROW(C421),IF(C422&lt;&gt;0,ROW(C422),IF(C423&lt;&gt;0,ROW(C423),IF(C424&lt;&gt;0,ROW(C424),IF(C425&lt;&gt;0,ROW(C425),IF(C426&lt;&gt;0,ROW(C426),IF(C427&lt;&gt;0,ROW(C427),IF(C428&lt;&gt;0,ROW(C428),IF(C429&lt;&gt;0,ROW(C429),IF(C430&lt;&gt;0,ROW(C430),0))))))))))</f>
        <v>421</v>
      </c>
      <c r="C432" s="882" t="e">
        <f ca="1">IF(ISERROR(XIRR(INDIRECT(B434):C431,INDIRECT(B433):B431,-20%)),XIRR(INDIRECT(B434):C431,INDIRECT(B433):B431,20%),"N/A")</f>
        <v>#NUM!</v>
      </c>
      <c r="K432" s="664"/>
      <c r="N432" s="898">
        <f>IF(O421&lt;&gt;0,ROW(O421),IF(O422&lt;&gt;0,ROW(O422),IF(O423&lt;&gt;0,ROW(O423),IF(O424&lt;&gt;0,ROW(O424),IF(O425&lt;&gt;0,ROW(O425),IF(O426&lt;&gt;0,ROW(O426),IF(O427&lt;&gt;0,ROW(O427),IF(O428&lt;&gt;0,ROW(O428),IF(O429&lt;&gt;0,ROW(O429),IF(O430&lt;&gt;0,ROW(O430),0))))))))))</f>
        <v>421</v>
      </c>
      <c r="O432" s="882" t="e">
        <f ca="1">IF(ISERROR(XIRR(INDIRECT(N434):O431,INDIRECT(N433):N431,-20%)),XIRR(INDIRECT(N434):O431,INDIRECT(N433):N431,20%),"N/A")</f>
        <v>#NUM!</v>
      </c>
      <c r="U432" s="663"/>
      <c r="W432" s="664"/>
      <c r="Z432" s="898">
        <f>IF(AA421&lt;&gt;0,ROW(AA421),IF(AA422&lt;&gt;0,ROW(AA422),IF(AA423&lt;&gt;0,ROW(AA423),IF(AA424&lt;&gt;0,ROW(AA424),IF(AA425&lt;&gt;0,ROW(AA425),IF(AA426&lt;&gt;0,ROW(AA426),IF(AA427&lt;&gt;0,ROW(AA427),IF(AA428&lt;&gt;0,ROW(AA428),IF(AA429&lt;&gt;0,ROW(AA429),IF(AA430&lt;&gt;0,ROW(AA430),0))))))))))</f>
        <v>421</v>
      </c>
      <c r="AA432" s="882" t="e">
        <f ca="1">IF(ISERROR(XIRR(INDIRECT(Z434):AA431,INDIRECT(Z433):Z431,-20%)),XIRR(INDIRECT(Z434):AA431,INDIRECT(Z433):Z431,20%),"N/A")</f>
        <v>#NUM!</v>
      </c>
      <c r="AB432" s="663"/>
      <c r="AC432" s="663"/>
      <c r="AD432" s="663"/>
      <c r="AE432" s="663"/>
      <c r="AF432" s="663"/>
      <c r="AG432" s="663"/>
      <c r="AH432" s="663"/>
      <c r="AI432" s="664"/>
      <c r="AL432" s="898">
        <f>IF(AM421&lt;&gt;0,ROW(AM421),IF(AM422&lt;&gt;0,ROW(AM422),IF(AM423&lt;&gt;0,ROW(AM423),IF(AM424&lt;&gt;0,ROW(AM424),IF(AM425&lt;&gt;0,ROW(AM425),IF(AM426&lt;&gt;0,ROW(AM426),IF(AM427&lt;&gt;0,ROW(AM427),IF(AM428&lt;&gt;0,ROW(AM428),IF(AM429&lt;&gt;0,ROW(AM429),IF(AM430&lt;&gt;0,ROW(AM430),0))))))))))</f>
        <v>421</v>
      </c>
      <c r="AM432" s="882" t="e">
        <f ca="1">IF(ISERROR(XIRR(INDIRECT(AL434):AM431,INDIRECT(AL433):AL431,-20%)),XIRR(INDIRECT(AL434):AM431,INDIRECT(AL433):AL431,20%),"N/A")</f>
        <v>#NUM!</v>
      </c>
      <c r="AN432" s="663"/>
      <c r="AU432" s="664"/>
      <c r="AX432" s="898">
        <f>IF(AY421&lt;&gt;0,ROW(AY421),IF(AY422&lt;&gt;0,ROW(AY422),IF(AY423&lt;&gt;0,ROW(AY423),IF(AY424&lt;&gt;0,ROW(AY424),IF(AY425&lt;&gt;0,ROW(AY425),IF(AY426&lt;&gt;0,ROW(AY426),IF(AY427&lt;&gt;0,ROW(AY427),IF(AY428&lt;&gt;0,ROW(AY428),IF(AY429&lt;&gt;0,ROW(AY429),IF(AY430&lt;&gt;0,ROW(AY430),0))))))))))</f>
        <v>421</v>
      </c>
      <c r="AY432" s="882" t="e">
        <f ca="1">IF(ISERROR(XIRR(INDIRECT(AX434):AY431,INDIRECT(AX433):AX431,-20%)),XIRR(INDIRECT(AX434):AY431,INDIRECT(AX433):AX431,20%),"N/A")</f>
        <v>#NUM!</v>
      </c>
      <c r="BG432" s="664"/>
      <c r="BJ432" s="898">
        <f>IF(BK421&lt;&gt;0,ROW(BK421),IF(BK422&lt;&gt;0,ROW(BK422),IF(BK423&lt;&gt;0,ROW(BK423),IF(BK424&lt;&gt;0,ROW(BK424),IF(BK425&lt;&gt;0,ROW(BK425),IF(BK426&lt;&gt;0,ROW(BK426),IF(BK427&lt;&gt;0,ROW(BK427),IF(BK428&lt;&gt;0,ROW(BK428),IF(BK429&lt;&gt;0,ROW(BK429),IF(BK430&lt;&gt;0,ROW(BK430),0))))))))))</f>
        <v>421</v>
      </c>
      <c r="BK432" s="882" t="e">
        <f ca="1">IF(ISERROR(XIRR(INDIRECT(BJ434):BK431,INDIRECT(BJ433):BJ431,-20%)),XIRR(INDIRECT(BJ434):BK431,INDIRECT(BJ433):BJ431,20%),"N/A")</f>
        <v>#NUM!</v>
      </c>
      <c r="BS432" s="664"/>
      <c r="BV432" s="898">
        <f>IF(BW421&lt;&gt;0,ROW(BW421),IF(BW422&lt;&gt;0,ROW(BW422),IF(BW423&lt;&gt;0,ROW(BW423),IF(BW424&lt;&gt;0,ROW(BW424),IF(BW425&lt;&gt;0,ROW(BW425),IF(BW426&lt;&gt;0,ROW(BW426),IF(BW427&lt;&gt;0,ROW(BW427),IF(BW428&lt;&gt;0,ROW(BW428),IF(BW429&lt;&gt;0,ROW(BW429),IF(BW430&lt;&gt;0,ROW(BW430),0))))))))))</f>
        <v>421</v>
      </c>
      <c r="BW432" s="882" t="e">
        <f ca="1">IF(ISERROR(XIRR(INDIRECT(BV434):BW431,INDIRECT(BV433):BV431,-20%)),XIRR(INDIRECT(BV434):BW431,INDIRECT(BV433):BV431,20%),"N/A")</f>
        <v>#NUM!</v>
      </c>
      <c r="CE432" s="664"/>
      <c r="CH432" s="898">
        <f>IF(CI421&lt;&gt;0,ROW(CI421),IF(CI422&lt;&gt;0,ROW(CI422),IF(CI423&lt;&gt;0,ROW(CI423),IF(CI424&lt;&gt;0,ROW(CI424),IF(CI425&lt;&gt;0,ROW(CI425),IF(CI426&lt;&gt;0,ROW(CI426),IF(CI427&lt;&gt;0,ROW(CI427),IF(CI428&lt;&gt;0,ROW(CI428),IF(CI429&lt;&gt;0,ROW(CI429),IF(CI430&lt;&gt;0,ROW(CI430),0))))))))))</f>
        <v>421</v>
      </c>
      <c r="CI432" s="882" t="e">
        <f ca="1">IF(ISERROR(XIRR(INDIRECT(CH434):CI431,INDIRECT(CH433):CH431,-20%)),XIRR(INDIRECT(CH434):CI431,INDIRECT(CH433):CH431,20%),"N/A")</f>
        <v>#NUM!</v>
      </c>
      <c r="CQ432" s="664"/>
      <c r="CT432" s="898">
        <f>IF(CU421&lt;&gt;0,ROW(CU421),IF(CU422&lt;&gt;0,ROW(CU422),IF(CU423&lt;&gt;0,ROW(CU423),IF(CU424&lt;&gt;0,ROW(CU424),IF(CU425&lt;&gt;0,ROW(CU425),IF(CU426&lt;&gt;0,ROW(CU426),IF(CU427&lt;&gt;0,ROW(CU427),IF(CU428&lt;&gt;0,ROW(CU428),IF(CU429&lt;&gt;0,ROW(CU429),IF(CU430&lt;&gt;0,ROW(CU430),0))))))))))</f>
        <v>421</v>
      </c>
      <c r="CU432" s="882" t="e">
        <f ca="1">IF(ISERROR(XIRR(INDIRECT(CT434):CU431,INDIRECT(CT433):CT431,-20%)),XIRR(INDIRECT(CT434):CU431,INDIRECT(CT433):CT431,20%),"N/A")</f>
        <v>#NUM!</v>
      </c>
      <c r="DC432" s="664"/>
      <c r="DF432" s="898">
        <f>IF(DG421&lt;&gt;0,ROW(DG421),IF(DG422&lt;&gt;0,ROW(DG422),IF(DG423&lt;&gt;0,ROW(DG423),IF(DG424&lt;&gt;0,ROW(DG424),IF(DG425&lt;&gt;0,ROW(DG425),IF(DG426&lt;&gt;0,ROW(DG426),IF(DG427&lt;&gt;0,ROW(DG427),IF(DG428&lt;&gt;0,ROW(DG428),IF(DG429&lt;&gt;0,ROW(DG429),IF(DG430&lt;&gt;0,ROW(DG430),0))))))))))</f>
        <v>421</v>
      </c>
      <c r="DG432" s="882" t="e">
        <f ca="1">IF(ISERROR(XIRR(INDIRECT(DF434):DG431,INDIRECT(DF433):DF431,-20%)),XIRR(INDIRECT(DF434):DG431,INDIRECT(DF433):DF431,20%),"N/A")</f>
        <v>#NUM!</v>
      </c>
      <c r="DO432" s="664"/>
    </row>
    <row r="433" spans="2:119" hidden="1" x14ac:dyDescent="0.25">
      <c r="B433" s="899" t="str">
        <f>CONCATENATE(CHAR(64+COLUMN(B432)),B432)</f>
        <v>B421</v>
      </c>
      <c r="C433" s="897"/>
      <c r="K433" s="664"/>
      <c r="N433" s="899" t="str">
        <f>CONCATENATE(CHAR(64+COLUMN(N432)),N432)</f>
        <v>N421</v>
      </c>
      <c r="O433" s="897"/>
      <c r="U433" s="663"/>
      <c r="W433" s="664"/>
      <c r="Z433" s="899" t="str">
        <f>CONCATENATE(IF(COLUMN(Z432)&lt;=26,CHAR(96+COLUMN(Z432)),(CHAR(96+(ROUNDDOWN((COLUMN(Z432)-1)/26,0)))&amp;CHAR(96+IF(MOD(COLUMN(Z432),26)=0,26,MOD(COLUMN(Z432),26))))),Z432)</f>
        <v>z421</v>
      </c>
      <c r="AA433" s="897"/>
      <c r="AB433" s="663"/>
      <c r="AC433" s="663"/>
      <c r="AD433" s="663"/>
      <c r="AE433" s="663"/>
      <c r="AF433" s="663"/>
      <c r="AG433" s="663"/>
      <c r="AH433" s="663"/>
      <c r="AI433" s="664"/>
      <c r="AL433" s="899" t="str">
        <f>CONCATENATE(IF(COLUMN(AL432)&lt;=26,CHAR(96+COLUMN(AL432)),(CHAR(96+(ROUNDDOWN((COLUMN(AL432)-1)/26,0)))&amp;CHAR(96+IF(MOD(COLUMN(AL432),26)=0,26,MOD(COLUMN(AL432),26))))),AL432)</f>
        <v>al421</v>
      </c>
      <c r="AM433" s="897"/>
      <c r="AN433" s="663"/>
      <c r="AU433" s="664"/>
      <c r="AX433" s="899" t="str">
        <f>CONCATENATE(IF(COLUMN(AX432)&lt;=26,CHAR(96+COLUMN(AX432)),(CHAR(96+(ROUNDDOWN((COLUMN(AX432)-1)/26,0)))&amp;CHAR(96+IF(MOD(COLUMN(AX432),26)=0,26,MOD(COLUMN(AX432),26))))),AX432)</f>
        <v>ax421</v>
      </c>
      <c r="AY433" s="897"/>
      <c r="BG433" s="664"/>
      <c r="BJ433" s="899" t="str">
        <f>CONCATENATE(IF(COLUMN(BJ432)&lt;=26,CHAR(96+COLUMN(BJ432)),(CHAR(96+(ROUNDDOWN((COLUMN(BJ432)-1)/26,0)))&amp;CHAR(96+IF(MOD(COLUMN(BJ432),26)=0,26,MOD(COLUMN(BJ432),26))))),BJ432)</f>
        <v>bj421</v>
      </c>
      <c r="BK433" s="897"/>
      <c r="BS433" s="664"/>
      <c r="BV433" s="899" t="str">
        <f>CONCATENATE(IF(COLUMN(BV432)&lt;=26,CHAR(96+COLUMN(BV432)),(CHAR(96+(ROUNDDOWN((COLUMN(BV432)-1)/26,0)))&amp;CHAR(96+IF(MOD(COLUMN(BV432),26)=0,26,MOD(COLUMN(BV432),26))))),BV432)</f>
        <v>bv421</v>
      </c>
      <c r="BW433" s="897"/>
      <c r="CE433" s="664"/>
      <c r="CH433" s="899" t="str">
        <f>CONCATENATE(IF(COLUMN(CH432)&lt;=26,CHAR(96+COLUMN(CH432)),(CHAR(96+(ROUNDDOWN((COLUMN(CH432)-1)/26,0)))&amp;CHAR(96+IF(MOD(COLUMN(CH432),26)=0,26,MOD(COLUMN(CH432),26))))),CH432)</f>
        <v>ch421</v>
      </c>
      <c r="CI433" s="897"/>
      <c r="CQ433" s="664"/>
      <c r="CT433" s="899" t="str">
        <f>CONCATENATE(IF(COLUMN(CT432)&lt;=26,CHAR(96+COLUMN(CT432)),(CHAR(96+(ROUNDDOWN((COLUMN(CT432)-1)/26,0)))&amp;CHAR(96+IF(MOD(COLUMN(CT432),26)=0,26,MOD(COLUMN(CT432),26))))),CT432)</f>
        <v>ct421</v>
      </c>
      <c r="CU433" s="897"/>
      <c r="DC433" s="664"/>
      <c r="DF433" s="899" t="str">
        <f>CONCATENATE(IF(COLUMN(DF432)&lt;=26,CHAR(96+COLUMN(DF432)),(CHAR(96+(ROUNDDOWN((COLUMN(DF432)-1)/26,0)))&amp;CHAR(96+IF(MOD(COLUMN(DF432),26)=0,26,MOD(COLUMN(DF432),26))))),DF432)</f>
        <v>df421</v>
      </c>
      <c r="DG433" s="897"/>
      <c r="DO433" s="664"/>
    </row>
    <row r="434" spans="2:119" hidden="1" x14ac:dyDescent="0.25">
      <c r="B434" s="899" t="str">
        <f>CONCATENATE(CHAR(64+COLUMN(C432)),B432)</f>
        <v>C421</v>
      </c>
      <c r="C434" s="897"/>
      <c r="K434" s="664"/>
      <c r="N434" s="899" t="str">
        <f>CONCATENATE(CHAR(64+COLUMN(O432)),N432)</f>
        <v>O421</v>
      </c>
      <c r="O434" s="897"/>
      <c r="U434" s="663"/>
      <c r="W434" s="664"/>
      <c r="Z434" s="899" t="str">
        <f>CONCATENATE(IF(COLUMN(AA432)&lt;=26,CHAR(96+COLUMN(AA432)),(CHAR(96+(ROUNDDOWN((COLUMN(AA432)-1)/26,0)))&amp;CHAR(96+IF(MOD(COLUMN(AA432),26)=0,26,MOD(COLUMN(AA432),26))))),Z432)</f>
        <v>aa421</v>
      </c>
      <c r="AA434" s="897"/>
      <c r="AB434" s="663"/>
      <c r="AC434" s="663"/>
      <c r="AD434" s="663"/>
      <c r="AE434" s="663"/>
      <c r="AF434" s="663"/>
      <c r="AG434" s="663"/>
      <c r="AH434" s="663"/>
      <c r="AI434" s="664"/>
      <c r="AL434" s="899" t="str">
        <f>CONCATENATE(IF(COLUMN(AM432)&lt;=26,CHAR(96+COLUMN(AM432)),(CHAR(96+(ROUNDDOWN((COLUMN(AM432)-1)/26,0)))&amp;CHAR(96+IF(MOD(COLUMN(AM432),26)=0,26,MOD(COLUMN(AM432),26))))),AL432)</f>
        <v>am421</v>
      </c>
      <c r="AM434" s="897"/>
      <c r="AN434" s="663"/>
      <c r="AU434" s="664"/>
      <c r="AX434" s="899" t="str">
        <f>CONCATENATE(IF(COLUMN(AY432)&lt;=26,CHAR(96+COLUMN(AY432)),(CHAR(96+(ROUNDDOWN((COLUMN(AY432)-1)/26,0)))&amp;CHAR(96+IF(MOD(COLUMN(AY432),26)=0,26,MOD(COLUMN(AY432),26))))),AX432)</f>
        <v>ay421</v>
      </c>
      <c r="AY434" s="897"/>
      <c r="BG434" s="664"/>
      <c r="BJ434" s="899" t="str">
        <f>CONCATENATE(IF(COLUMN(BK432)&lt;=26,CHAR(96+COLUMN(BK432)),(CHAR(96+(ROUNDDOWN((COLUMN(BK432)-1)/26,0)))&amp;CHAR(96+IF(MOD(COLUMN(BK432),26)=0,26,MOD(COLUMN(BK432),26))))),BJ432)</f>
        <v>bk421</v>
      </c>
      <c r="BK434" s="897"/>
      <c r="BS434" s="664"/>
      <c r="BV434" s="899" t="str">
        <f>CONCATENATE(IF(COLUMN(BW432)&lt;=26,CHAR(96+COLUMN(BW432)),(CHAR(96+(ROUNDDOWN((COLUMN(BW432)-1)/26,0)))&amp;CHAR(96+IF(MOD(COLUMN(BW432),26)=0,26,MOD(COLUMN(BW432),26))))),BV432)</f>
        <v>bw421</v>
      </c>
      <c r="BW434" s="897"/>
      <c r="CE434" s="664"/>
      <c r="CH434" s="899" t="str">
        <f>CONCATENATE(IF(COLUMN(CI432)&lt;=26,CHAR(96+COLUMN(CI432)),(CHAR(96+(ROUNDDOWN((COLUMN(CI432)-1)/26,0)))&amp;CHAR(96+IF(MOD(COLUMN(CI432),26)=0,26,MOD(COLUMN(CI432),26))))),CH432)</f>
        <v>ci421</v>
      </c>
      <c r="CI434" s="897"/>
      <c r="CQ434" s="664"/>
      <c r="CT434" s="899" t="str">
        <f>CONCATENATE(IF(COLUMN(CU432)&lt;=26,CHAR(96+COLUMN(CU432)),(CHAR(96+(ROUNDDOWN((COLUMN(CU432)-1)/26,0)))&amp;CHAR(96+IF(MOD(COLUMN(CU432),26)=0,26,MOD(COLUMN(CU432),26))))),CT432)</f>
        <v>cu421</v>
      </c>
      <c r="CU434" s="897"/>
      <c r="DC434" s="664"/>
      <c r="DF434" s="899" t="str">
        <f>CONCATENATE(IF(COLUMN(DG432)&lt;=26,CHAR(96+COLUMN(DG432)),(CHAR(96+(ROUNDDOWN((COLUMN(DG432)-1)/26,0)))&amp;CHAR(96+IF(MOD(COLUMN(DG432),26)=0,26,MOD(COLUMN(DG432),26))))),DF432)</f>
        <v>dg421</v>
      </c>
      <c r="DG434" s="897"/>
      <c r="DO434" s="664"/>
    </row>
    <row r="435" spans="2:119" hidden="1" x14ac:dyDescent="0.25">
      <c r="B435" s="668"/>
      <c r="C435" s="895"/>
      <c r="K435" s="664"/>
      <c r="N435" s="668"/>
      <c r="O435" s="895"/>
      <c r="U435" s="663"/>
      <c r="W435" s="664"/>
      <c r="Z435" s="668"/>
      <c r="AA435" s="895"/>
      <c r="AB435" s="663"/>
      <c r="AC435" s="663"/>
      <c r="AD435" s="663"/>
      <c r="AE435" s="663"/>
      <c r="AF435" s="663"/>
      <c r="AG435" s="663"/>
      <c r="AH435" s="663"/>
      <c r="AI435" s="664"/>
      <c r="AL435" s="668"/>
      <c r="AM435" s="895"/>
      <c r="AN435" s="663"/>
      <c r="AU435" s="664"/>
      <c r="AX435" s="668"/>
      <c r="AY435" s="895"/>
      <c r="BG435" s="664"/>
      <c r="BJ435" s="668"/>
      <c r="BK435" s="895"/>
      <c r="BS435" s="664"/>
      <c r="BV435" s="668"/>
      <c r="BW435" s="895"/>
      <c r="CE435" s="664"/>
      <c r="CH435" s="668"/>
      <c r="CI435" s="895"/>
      <c r="CQ435" s="664"/>
      <c r="CT435" s="668"/>
      <c r="CU435" s="895"/>
      <c r="DC435" s="664"/>
      <c r="DF435" s="668"/>
      <c r="DG435" s="895"/>
      <c r="DO435" s="664"/>
    </row>
    <row r="436" spans="2:119" hidden="1" x14ac:dyDescent="0.25">
      <c r="B436" s="896">
        <f>B421</f>
        <v>39113</v>
      </c>
      <c r="C436" s="897">
        <f>C421</f>
        <v>-1000000</v>
      </c>
      <c r="K436" s="664"/>
      <c r="N436" s="896">
        <f>N421</f>
        <v>39113</v>
      </c>
      <c r="O436" s="897">
        <f>O421</f>
        <v>-1000000</v>
      </c>
      <c r="U436" s="663"/>
      <c r="W436" s="664"/>
      <c r="Z436" s="896">
        <f>Z421</f>
        <v>39113</v>
      </c>
      <c r="AA436" s="897">
        <f>AA421</f>
        <v>-1000000</v>
      </c>
      <c r="AB436" s="663"/>
      <c r="AC436" s="663"/>
      <c r="AD436" s="663"/>
      <c r="AE436" s="663"/>
      <c r="AF436" s="663"/>
      <c r="AG436" s="663"/>
      <c r="AH436" s="663"/>
      <c r="AI436" s="664"/>
      <c r="AL436" s="896">
        <f>AL421</f>
        <v>39113</v>
      </c>
      <c r="AM436" s="897">
        <f>AM421</f>
        <v>-1000000</v>
      </c>
      <c r="AN436" s="663"/>
      <c r="AU436" s="664"/>
      <c r="AX436" s="896">
        <f>AX421</f>
        <v>39113</v>
      </c>
      <c r="AY436" s="897">
        <f>AY421</f>
        <v>-1000000</v>
      </c>
      <c r="BG436" s="664"/>
      <c r="BJ436" s="896">
        <f>BJ421</f>
        <v>39113</v>
      </c>
      <c r="BK436" s="897">
        <f>BK421</f>
        <v>-1000000</v>
      </c>
      <c r="BS436" s="664"/>
      <c r="BV436" s="896">
        <f>BV421</f>
        <v>39113</v>
      </c>
      <c r="BW436" s="897">
        <f>BW421</f>
        <v>-1000000</v>
      </c>
      <c r="CE436" s="664"/>
      <c r="CH436" s="896">
        <f>CH421</f>
        <v>39113</v>
      </c>
      <c r="CI436" s="897">
        <f>CI421</f>
        <v>-1000000</v>
      </c>
      <c r="CQ436" s="664"/>
      <c r="CT436" s="896">
        <f>CT421</f>
        <v>39113</v>
      </c>
      <c r="CU436" s="897">
        <f>CU421</f>
        <v>-1000000</v>
      </c>
      <c r="DC436" s="664"/>
      <c r="DF436" s="896">
        <f>DF421</f>
        <v>39113</v>
      </c>
      <c r="DG436" s="897">
        <f>DG421</f>
        <v>-1000000</v>
      </c>
      <c r="DO436" s="664"/>
    </row>
    <row r="437" spans="2:119" hidden="1" x14ac:dyDescent="0.25">
      <c r="B437" s="896">
        <f t="shared" ref="B437:C437" si="882">B422</f>
        <v>39478</v>
      </c>
      <c r="C437" s="897">
        <f t="shared" si="882"/>
        <v>-2000000</v>
      </c>
      <c r="K437" s="664"/>
      <c r="N437" s="896">
        <f t="shared" ref="N437:O437" si="883">N422</f>
        <v>39478</v>
      </c>
      <c r="O437" s="897">
        <f t="shared" si="883"/>
        <v>-2000000</v>
      </c>
      <c r="U437" s="663"/>
      <c r="W437" s="664"/>
      <c r="Z437" s="896">
        <f t="shared" ref="Z437:AA437" si="884">Z422</f>
        <v>39478</v>
      </c>
      <c r="AA437" s="897">
        <f t="shared" si="884"/>
        <v>-2000000</v>
      </c>
      <c r="AB437" s="663"/>
      <c r="AC437" s="663"/>
      <c r="AD437" s="663"/>
      <c r="AE437" s="663"/>
      <c r="AF437" s="663"/>
      <c r="AG437" s="663"/>
      <c r="AH437" s="663"/>
      <c r="AI437" s="664"/>
      <c r="AL437" s="896">
        <f t="shared" ref="AL437:AM437" si="885">AL422</f>
        <v>39478</v>
      </c>
      <c r="AM437" s="897">
        <f t="shared" si="885"/>
        <v>-2000000</v>
      </c>
      <c r="AN437" s="663"/>
      <c r="AU437" s="664"/>
      <c r="AX437" s="896">
        <f t="shared" ref="AX437:AY437" si="886">AX422</f>
        <v>39478</v>
      </c>
      <c r="AY437" s="897">
        <f t="shared" si="886"/>
        <v>-2000000</v>
      </c>
      <c r="BG437" s="664"/>
      <c r="BJ437" s="896">
        <f t="shared" ref="BJ437:BK437" si="887">BJ422</f>
        <v>39478</v>
      </c>
      <c r="BK437" s="897">
        <f t="shared" si="887"/>
        <v>-2000000</v>
      </c>
      <c r="BS437" s="664"/>
      <c r="BV437" s="896">
        <f t="shared" ref="BV437:BW437" si="888">BV422</f>
        <v>39478</v>
      </c>
      <c r="BW437" s="897">
        <f t="shared" si="888"/>
        <v>-2000000</v>
      </c>
      <c r="CE437" s="664"/>
      <c r="CH437" s="896">
        <f t="shared" ref="CH437:CI437" si="889">CH422</f>
        <v>39478</v>
      </c>
      <c r="CI437" s="897">
        <f t="shared" si="889"/>
        <v>-2000000</v>
      </c>
      <c r="CQ437" s="664"/>
      <c r="CT437" s="896">
        <f t="shared" ref="CT437:CU437" si="890">CT422</f>
        <v>39478</v>
      </c>
      <c r="CU437" s="897">
        <f t="shared" si="890"/>
        <v>-2000000</v>
      </c>
      <c r="DC437" s="664"/>
      <c r="DF437" s="896">
        <f t="shared" ref="DF437:DG437" si="891">DF422</f>
        <v>39478</v>
      </c>
      <c r="DG437" s="897">
        <f t="shared" si="891"/>
        <v>-2000000</v>
      </c>
      <c r="DO437" s="664"/>
    </row>
    <row r="438" spans="2:119" hidden="1" x14ac:dyDescent="0.25">
      <c r="B438" s="896">
        <f t="shared" ref="B438:C438" si="892">B423</f>
        <v>39843</v>
      </c>
      <c r="C438" s="897">
        <f t="shared" si="892"/>
        <v>-2500000</v>
      </c>
      <c r="K438" s="664"/>
      <c r="N438" s="896">
        <f t="shared" ref="N438:O438" si="893">N423</f>
        <v>39843</v>
      </c>
      <c r="O438" s="897">
        <f t="shared" si="893"/>
        <v>-2500000</v>
      </c>
      <c r="U438" s="663"/>
      <c r="W438" s="664"/>
      <c r="Z438" s="896">
        <f t="shared" ref="Z438:AA438" si="894">Z423</f>
        <v>39843</v>
      </c>
      <c r="AA438" s="897">
        <f t="shared" si="894"/>
        <v>-2500000</v>
      </c>
      <c r="AB438" s="663"/>
      <c r="AC438" s="663"/>
      <c r="AD438" s="663"/>
      <c r="AE438" s="663"/>
      <c r="AF438" s="663"/>
      <c r="AG438" s="663"/>
      <c r="AH438" s="663"/>
      <c r="AI438" s="664"/>
      <c r="AL438" s="896">
        <f t="shared" ref="AL438:AM438" si="895">AL423</f>
        <v>39843</v>
      </c>
      <c r="AM438" s="897">
        <f t="shared" si="895"/>
        <v>-2500000</v>
      </c>
      <c r="AN438" s="663"/>
      <c r="AU438" s="664"/>
      <c r="AX438" s="896">
        <f t="shared" ref="AX438:AY438" si="896">AX423</f>
        <v>39843</v>
      </c>
      <c r="AY438" s="897">
        <f t="shared" si="896"/>
        <v>-2500000</v>
      </c>
      <c r="BG438" s="664"/>
      <c r="BJ438" s="896">
        <f t="shared" ref="BJ438:BK438" si="897">BJ423</f>
        <v>39843</v>
      </c>
      <c r="BK438" s="897">
        <f t="shared" si="897"/>
        <v>-2500000</v>
      </c>
      <c r="BS438" s="664"/>
      <c r="BV438" s="896">
        <f t="shared" ref="BV438:BW438" si="898">BV423</f>
        <v>39843</v>
      </c>
      <c r="BW438" s="897">
        <f t="shared" si="898"/>
        <v>-2500000</v>
      </c>
      <c r="CE438" s="664"/>
      <c r="CH438" s="896">
        <f t="shared" ref="CH438:CI438" si="899">CH423</f>
        <v>39843</v>
      </c>
      <c r="CI438" s="897">
        <f t="shared" si="899"/>
        <v>-2500000</v>
      </c>
      <c r="CQ438" s="664"/>
      <c r="CT438" s="896">
        <f t="shared" ref="CT438:CU438" si="900">CT423</f>
        <v>39843</v>
      </c>
      <c r="CU438" s="897">
        <f t="shared" si="900"/>
        <v>-2500000</v>
      </c>
      <c r="DC438" s="664"/>
      <c r="DF438" s="896">
        <f t="shared" ref="DF438:DG438" si="901">DF423</f>
        <v>39843</v>
      </c>
      <c r="DG438" s="897">
        <f t="shared" si="901"/>
        <v>-2500000</v>
      </c>
      <c r="DO438" s="664"/>
    </row>
    <row r="439" spans="2:119" hidden="1" x14ac:dyDescent="0.25">
      <c r="B439" s="896">
        <f t="shared" ref="B439:C439" si="902">B424</f>
        <v>39843</v>
      </c>
      <c r="C439" s="897">
        <f t="shared" si="902"/>
        <v>0</v>
      </c>
      <c r="K439" s="664"/>
      <c r="N439" s="896">
        <f t="shared" ref="N439:O439" si="903">N424</f>
        <v>39843</v>
      </c>
      <c r="O439" s="897">
        <f t="shared" si="903"/>
        <v>0</v>
      </c>
      <c r="U439" s="663"/>
      <c r="W439" s="664"/>
      <c r="Z439" s="896">
        <f t="shared" ref="Z439:AA439" si="904">Z424</f>
        <v>39843</v>
      </c>
      <c r="AA439" s="897">
        <f t="shared" si="904"/>
        <v>0</v>
      </c>
      <c r="AB439" s="663"/>
      <c r="AC439" s="663"/>
      <c r="AD439" s="663"/>
      <c r="AE439" s="663"/>
      <c r="AF439" s="663"/>
      <c r="AG439" s="663"/>
      <c r="AH439" s="663"/>
      <c r="AI439" s="664"/>
      <c r="AL439" s="896">
        <f t="shared" ref="AL439:AM439" si="905">AL424</f>
        <v>39843</v>
      </c>
      <c r="AM439" s="897">
        <f t="shared" si="905"/>
        <v>0</v>
      </c>
      <c r="AN439" s="663"/>
      <c r="AU439" s="664"/>
      <c r="AX439" s="896">
        <f t="shared" ref="AX439:AY439" si="906">AX424</f>
        <v>39843</v>
      </c>
      <c r="AY439" s="897">
        <f t="shared" si="906"/>
        <v>0</v>
      </c>
      <c r="BG439" s="664"/>
      <c r="BJ439" s="896">
        <f t="shared" ref="BJ439:BK439" si="907">BJ424</f>
        <v>39843</v>
      </c>
      <c r="BK439" s="897">
        <f t="shared" si="907"/>
        <v>0</v>
      </c>
      <c r="BS439" s="664"/>
      <c r="BV439" s="896">
        <f t="shared" ref="BV439:BW439" si="908">BV424</f>
        <v>39843</v>
      </c>
      <c r="BW439" s="897">
        <f t="shared" si="908"/>
        <v>0</v>
      </c>
      <c r="CE439" s="664"/>
      <c r="CH439" s="896">
        <f t="shared" ref="CH439:CI439" si="909">CH424</f>
        <v>39843</v>
      </c>
      <c r="CI439" s="897">
        <f t="shared" si="909"/>
        <v>0</v>
      </c>
      <c r="CQ439" s="664"/>
      <c r="CT439" s="896">
        <f t="shared" ref="CT439:CU439" si="910">CT424</f>
        <v>39843</v>
      </c>
      <c r="CU439" s="897">
        <f t="shared" si="910"/>
        <v>0</v>
      </c>
      <c r="DC439" s="664"/>
      <c r="DF439" s="896">
        <f t="shared" ref="DF439:DG439" si="911">DF424</f>
        <v>39843</v>
      </c>
      <c r="DG439" s="897">
        <f t="shared" si="911"/>
        <v>0</v>
      </c>
      <c r="DO439" s="664"/>
    </row>
    <row r="440" spans="2:119" hidden="1" x14ac:dyDescent="0.25">
      <c r="B440" s="896">
        <f t="shared" ref="B440:C440" si="912">B425</f>
        <v>39843</v>
      </c>
      <c r="C440" s="897">
        <f t="shared" si="912"/>
        <v>0</v>
      </c>
      <c r="K440" s="664"/>
      <c r="N440" s="896">
        <f t="shared" ref="N440:O440" si="913">N425</f>
        <v>39843</v>
      </c>
      <c r="O440" s="897">
        <f t="shared" si="913"/>
        <v>0</v>
      </c>
      <c r="U440" s="663"/>
      <c r="W440" s="664"/>
      <c r="Z440" s="896">
        <f t="shared" ref="Z440:AA440" si="914">Z425</f>
        <v>39843</v>
      </c>
      <c r="AA440" s="897">
        <f t="shared" si="914"/>
        <v>0</v>
      </c>
      <c r="AB440" s="663"/>
      <c r="AC440" s="663"/>
      <c r="AD440" s="663"/>
      <c r="AE440" s="663"/>
      <c r="AF440" s="663"/>
      <c r="AG440" s="663"/>
      <c r="AH440" s="663"/>
      <c r="AI440" s="664"/>
      <c r="AL440" s="896">
        <f t="shared" ref="AL440:AM440" si="915">AL425</f>
        <v>39843</v>
      </c>
      <c r="AM440" s="897">
        <f t="shared" si="915"/>
        <v>0</v>
      </c>
      <c r="AN440" s="663"/>
      <c r="AU440" s="664"/>
      <c r="AX440" s="896">
        <f t="shared" ref="AX440:AY440" si="916">AX425</f>
        <v>39843</v>
      </c>
      <c r="AY440" s="897">
        <f t="shared" si="916"/>
        <v>0</v>
      </c>
      <c r="BG440" s="664"/>
      <c r="BJ440" s="896">
        <f t="shared" ref="BJ440:BK440" si="917">BJ425</f>
        <v>39843</v>
      </c>
      <c r="BK440" s="897">
        <f t="shared" si="917"/>
        <v>0</v>
      </c>
      <c r="BS440" s="664"/>
      <c r="BV440" s="896">
        <f t="shared" ref="BV440:BW440" si="918">BV425</f>
        <v>39843</v>
      </c>
      <c r="BW440" s="897">
        <f t="shared" si="918"/>
        <v>0</v>
      </c>
      <c r="CE440" s="664"/>
      <c r="CH440" s="896">
        <f t="shared" ref="CH440:CI440" si="919">CH425</f>
        <v>39843</v>
      </c>
      <c r="CI440" s="897">
        <f t="shared" si="919"/>
        <v>0</v>
      </c>
      <c r="CQ440" s="664"/>
      <c r="CT440" s="896">
        <f t="shared" ref="CT440:CU440" si="920">CT425</f>
        <v>39843</v>
      </c>
      <c r="CU440" s="897">
        <f t="shared" si="920"/>
        <v>0</v>
      </c>
      <c r="DC440" s="664"/>
      <c r="DF440" s="896">
        <f t="shared" ref="DF440:DG440" si="921">DF425</f>
        <v>39843</v>
      </c>
      <c r="DG440" s="897">
        <f t="shared" si="921"/>
        <v>0</v>
      </c>
      <c r="DO440" s="664"/>
    </row>
    <row r="441" spans="2:119" hidden="1" x14ac:dyDescent="0.25">
      <c r="B441" s="896">
        <f t="shared" ref="B441:C441" si="922">B426</f>
        <v>39843</v>
      </c>
      <c r="C441" s="897">
        <f t="shared" si="922"/>
        <v>0</v>
      </c>
      <c r="K441" s="664"/>
      <c r="N441" s="896">
        <f t="shared" ref="N441:O441" si="923">N426</f>
        <v>39843</v>
      </c>
      <c r="O441" s="897">
        <f t="shared" si="923"/>
        <v>0</v>
      </c>
      <c r="U441" s="663"/>
      <c r="W441" s="664"/>
      <c r="Z441" s="896">
        <f t="shared" ref="Z441:AA441" si="924">Z426</f>
        <v>39843</v>
      </c>
      <c r="AA441" s="897">
        <f t="shared" si="924"/>
        <v>0</v>
      </c>
      <c r="AB441" s="663"/>
      <c r="AC441" s="663"/>
      <c r="AD441" s="663"/>
      <c r="AE441" s="663"/>
      <c r="AF441" s="663"/>
      <c r="AG441" s="663"/>
      <c r="AH441" s="663"/>
      <c r="AI441" s="664"/>
      <c r="AL441" s="896">
        <f t="shared" ref="AL441:AM441" si="925">AL426</f>
        <v>39843</v>
      </c>
      <c r="AM441" s="897">
        <f t="shared" si="925"/>
        <v>0</v>
      </c>
      <c r="AN441" s="663"/>
      <c r="AU441" s="664"/>
      <c r="AX441" s="896">
        <f t="shared" ref="AX441:AY441" si="926">AX426</f>
        <v>39843</v>
      </c>
      <c r="AY441" s="897">
        <f t="shared" si="926"/>
        <v>0</v>
      </c>
      <c r="BG441" s="664"/>
      <c r="BJ441" s="896">
        <f t="shared" ref="BJ441:BK441" si="927">BJ426</f>
        <v>39843</v>
      </c>
      <c r="BK441" s="897">
        <f t="shared" si="927"/>
        <v>0</v>
      </c>
      <c r="BS441" s="664"/>
      <c r="BV441" s="896">
        <f t="shared" ref="BV441:BW441" si="928">BV426</f>
        <v>39843</v>
      </c>
      <c r="BW441" s="897">
        <f t="shared" si="928"/>
        <v>0</v>
      </c>
      <c r="CE441" s="664"/>
      <c r="CH441" s="896">
        <f t="shared" ref="CH441:CI441" si="929">CH426</f>
        <v>39843</v>
      </c>
      <c r="CI441" s="897">
        <f t="shared" si="929"/>
        <v>0</v>
      </c>
      <c r="CQ441" s="664"/>
      <c r="CT441" s="896">
        <f t="shared" ref="CT441:CU441" si="930">CT426</f>
        <v>39843</v>
      </c>
      <c r="CU441" s="897">
        <f t="shared" si="930"/>
        <v>0</v>
      </c>
      <c r="DC441" s="664"/>
      <c r="DF441" s="896">
        <f t="shared" ref="DF441:DG441" si="931">DF426</f>
        <v>39843</v>
      </c>
      <c r="DG441" s="897">
        <f t="shared" si="931"/>
        <v>0</v>
      </c>
      <c r="DO441" s="664"/>
    </row>
    <row r="442" spans="2:119" hidden="1" x14ac:dyDescent="0.25">
      <c r="B442" s="896">
        <f t="shared" ref="B442:C442" si="932">B427</f>
        <v>39843</v>
      </c>
      <c r="C442" s="897">
        <f t="shared" si="932"/>
        <v>0</v>
      </c>
      <c r="K442" s="664"/>
      <c r="N442" s="896">
        <f t="shared" ref="N442:O442" si="933">N427</f>
        <v>39843</v>
      </c>
      <c r="O442" s="897">
        <f t="shared" si="933"/>
        <v>0</v>
      </c>
      <c r="U442" s="663"/>
      <c r="W442" s="664"/>
      <c r="Z442" s="896">
        <f t="shared" ref="Z442:AA442" si="934">Z427</f>
        <v>39843</v>
      </c>
      <c r="AA442" s="897">
        <f t="shared" si="934"/>
        <v>0</v>
      </c>
      <c r="AB442" s="663"/>
      <c r="AC442" s="663"/>
      <c r="AD442" s="663"/>
      <c r="AE442" s="663"/>
      <c r="AF442" s="663"/>
      <c r="AG442" s="663"/>
      <c r="AH442" s="663"/>
      <c r="AI442" s="664"/>
      <c r="AL442" s="896">
        <f t="shared" ref="AL442:AM442" si="935">AL427</f>
        <v>39843</v>
      </c>
      <c r="AM442" s="897">
        <f t="shared" si="935"/>
        <v>0</v>
      </c>
      <c r="AN442" s="663"/>
      <c r="AU442" s="664"/>
      <c r="AX442" s="896">
        <f t="shared" ref="AX442:AY442" si="936">AX427</f>
        <v>39843</v>
      </c>
      <c r="AY442" s="897">
        <f t="shared" si="936"/>
        <v>0</v>
      </c>
      <c r="BG442" s="664"/>
      <c r="BJ442" s="896">
        <f t="shared" ref="BJ442:BK442" si="937">BJ427</f>
        <v>39843</v>
      </c>
      <c r="BK442" s="897">
        <f t="shared" si="937"/>
        <v>0</v>
      </c>
      <c r="BS442" s="664"/>
      <c r="BV442" s="896">
        <f t="shared" ref="BV442:BW442" si="938">BV427</f>
        <v>39843</v>
      </c>
      <c r="BW442" s="897">
        <f t="shared" si="938"/>
        <v>0</v>
      </c>
      <c r="CE442" s="664"/>
      <c r="CH442" s="896">
        <f t="shared" ref="CH442:CI442" si="939">CH427</f>
        <v>39843</v>
      </c>
      <c r="CI442" s="897">
        <f t="shared" si="939"/>
        <v>0</v>
      </c>
      <c r="CQ442" s="664"/>
      <c r="CT442" s="896">
        <f t="shared" ref="CT442:CU442" si="940">CT427</f>
        <v>39843</v>
      </c>
      <c r="CU442" s="897">
        <f t="shared" si="940"/>
        <v>0</v>
      </c>
      <c r="DC442" s="664"/>
      <c r="DF442" s="896">
        <f t="shared" ref="DF442:DG442" si="941">DF427</f>
        <v>39843</v>
      </c>
      <c r="DG442" s="897">
        <f t="shared" si="941"/>
        <v>0</v>
      </c>
      <c r="DO442" s="664"/>
    </row>
    <row r="443" spans="2:119" hidden="1" x14ac:dyDescent="0.25">
      <c r="B443" s="896">
        <f t="shared" ref="B443:C444" si="942">B428</f>
        <v>39843</v>
      </c>
      <c r="C443" s="897">
        <f t="shared" si="942"/>
        <v>0</v>
      </c>
      <c r="K443" s="664"/>
      <c r="N443" s="896">
        <f t="shared" ref="N443:O443" si="943">N428</f>
        <v>39843</v>
      </c>
      <c r="O443" s="897">
        <f t="shared" si="943"/>
        <v>0</v>
      </c>
      <c r="U443" s="663"/>
      <c r="W443" s="664"/>
      <c r="Z443" s="896">
        <f t="shared" ref="Z443:AA443" si="944">Z428</f>
        <v>39843</v>
      </c>
      <c r="AA443" s="897">
        <f t="shared" si="944"/>
        <v>0</v>
      </c>
      <c r="AB443" s="663"/>
      <c r="AC443" s="663"/>
      <c r="AD443" s="663"/>
      <c r="AE443" s="663"/>
      <c r="AF443" s="663"/>
      <c r="AG443" s="663"/>
      <c r="AH443" s="663"/>
      <c r="AI443" s="664"/>
      <c r="AL443" s="896">
        <f t="shared" ref="AL443:AM443" si="945">AL428</f>
        <v>39843</v>
      </c>
      <c r="AM443" s="897">
        <f t="shared" si="945"/>
        <v>0</v>
      </c>
      <c r="AN443" s="663"/>
      <c r="AU443" s="664"/>
      <c r="AX443" s="896">
        <f t="shared" ref="AX443:AY443" si="946">AX428</f>
        <v>39843</v>
      </c>
      <c r="AY443" s="897">
        <f t="shared" si="946"/>
        <v>0</v>
      </c>
      <c r="BG443" s="664"/>
      <c r="BJ443" s="896">
        <f t="shared" ref="BJ443:BK443" si="947">BJ428</f>
        <v>39843</v>
      </c>
      <c r="BK443" s="897">
        <f t="shared" si="947"/>
        <v>0</v>
      </c>
      <c r="BS443" s="664"/>
      <c r="BV443" s="896">
        <f t="shared" ref="BV443:BW443" si="948">BV428</f>
        <v>39843</v>
      </c>
      <c r="BW443" s="897">
        <f t="shared" si="948"/>
        <v>0</v>
      </c>
      <c r="CE443" s="664"/>
      <c r="CH443" s="896">
        <f t="shared" ref="CH443:CI443" si="949">CH428</f>
        <v>39843</v>
      </c>
      <c r="CI443" s="897">
        <f t="shared" si="949"/>
        <v>0</v>
      </c>
      <c r="CQ443" s="664"/>
      <c r="CT443" s="896">
        <f t="shared" ref="CT443:CU443" si="950">CT428</f>
        <v>39843</v>
      </c>
      <c r="CU443" s="897">
        <f t="shared" si="950"/>
        <v>0</v>
      </c>
      <c r="DC443" s="664"/>
      <c r="DF443" s="896">
        <f t="shared" ref="DF443:DG443" si="951">DF428</f>
        <v>39843</v>
      </c>
      <c r="DG443" s="897">
        <f t="shared" si="951"/>
        <v>0</v>
      </c>
      <c r="DO443" s="664"/>
    </row>
    <row r="444" spans="2:119" hidden="1" x14ac:dyDescent="0.25">
      <c r="B444" s="896">
        <f t="shared" si="942"/>
        <v>39843</v>
      </c>
      <c r="C444" s="897">
        <f>C429</f>
        <v>0</v>
      </c>
      <c r="K444" s="664"/>
      <c r="N444" s="896">
        <f t="shared" ref="N444" si="952">N429</f>
        <v>39843</v>
      </c>
      <c r="O444" s="897">
        <f>O429</f>
        <v>0</v>
      </c>
      <c r="U444" s="663"/>
      <c r="W444" s="664"/>
      <c r="Z444" s="896">
        <f t="shared" ref="Z444" si="953">Z429</f>
        <v>39843</v>
      </c>
      <c r="AA444" s="897">
        <f>AA429</f>
        <v>0</v>
      </c>
      <c r="AB444" s="663"/>
      <c r="AC444" s="663"/>
      <c r="AD444" s="663"/>
      <c r="AE444" s="663"/>
      <c r="AF444" s="663"/>
      <c r="AG444" s="663"/>
      <c r="AH444" s="663"/>
      <c r="AI444" s="664"/>
      <c r="AL444" s="896">
        <f t="shared" ref="AL444" si="954">AL429</f>
        <v>39843</v>
      </c>
      <c r="AM444" s="897">
        <f>AM429</f>
        <v>0</v>
      </c>
      <c r="AN444" s="663"/>
      <c r="AU444" s="664"/>
      <c r="AX444" s="896">
        <f t="shared" ref="AX444" si="955">AX429</f>
        <v>39843</v>
      </c>
      <c r="AY444" s="897">
        <f>AY429</f>
        <v>0</v>
      </c>
      <c r="BG444" s="664"/>
      <c r="BJ444" s="896">
        <f t="shared" ref="BJ444" si="956">BJ429</f>
        <v>39843</v>
      </c>
      <c r="BK444" s="897">
        <f>BK429</f>
        <v>0</v>
      </c>
      <c r="BS444" s="664"/>
      <c r="BV444" s="896">
        <f t="shared" ref="BV444" si="957">BV429</f>
        <v>39843</v>
      </c>
      <c r="BW444" s="897">
        <f>BW429</f>
        <v>0</v>
      </c>
      <c r="CE444" s="664"/>
      <c r="CH444" s="896">
        <f t="shared" ref="CH444" si="958">CH429</f>
        <v>39843</v>
      </c>
      <c r="CI444" s="897">
        <f>CI429</f>
        <v>0</v>
      </c>
      <c r="CQ444" s="664"/>
      <c r="CT444" s="896">
        <f t="shared" ref="CT444" si="959">CT429</f>
        <v>39843</v>
      </c>
      <c r="CU444" s="897">
        <f>CU429</f>
        <v>0</v>
      </c>
      <c r="DC444" s="664"/>
      <c r="DF444" s="896">
        <f t="shared" ref="DF444" si="960">DF429</f>
        <v>39843</v>
      </c>
      <c r="DG444" s="897">
        <f>DG429</f>
        <v>0</v>
      </c>
      <c r="DO444" s="664"/>
    </row>
    <row r="445" spans="2:119" hidden="1" x14ac:dyDescent="0.25">
      <c r="B445" s="896">
        <f t="shared" ref="B445:C445" si="961">B430</f>
        <v>39843</v>
      </c>
      <c r="C445" s="897">
        <f t="shared" si="961"/>
        <v>0</v>
      </c>
      <c r="K445" s="664"/>
      <c r="N445" s="896">
        <f t="shared" ref="N445:O445" si="962">N430</f>
        <v>39843</v>
      </c>
      <c r="O445" s="897">
        <f t="shared" si="962"/>
        <v>0</v>
      </c>
      <c r="U445" s="663"/>
      <c r="W445" s="664"/>
      <c r="Z445" s="896">
        <f t="shared" ref="Z445:AA445" si="963">Z430</f>
        <v>39843</v>
      </c>
      <c r="AA445" s="897">
        <f t="shared" si="963"/>
        <v>0</v>
      </c>
      <c r="AB445" s="663"/>
      <c r="AC445" s="663"/>
      <c r="AD445" s="663"/>
      <c r="AE445" s="663"/>
      <c r="AF445" s="663"/>
      <c r="AG445" s="663"/>
      <c r="AH445" s="663"/>
      <c r="AI445" s="664"/>
      <c r="AL445" s="896">
        <f t="shared" ref="AL445:AM445" si="964">AL430</f>
        <v>39843</v>
      </c>
      <c r="AM445" s="897">
        <f t="shared" si="964"/>
        <v>0</v>
      </c>
      <c r="AN445" s="663"/>
      <c r="AU445" s="664"/>
      <c r="AX445" s="896">
        <f t="shared" ref="AX445:AY445" si="965">AX430</f>
        <v>39843</v>
      </c>
      <c r="AY445" s="897">
        <f t="shared" si="965"/>
        <v>0</v>
      </c>
      <c r="BG445" s="664"/>
      <c r="BJ445" s="896">
        <f t="shared" ref="BJ445:BK445" si="966">BJ430</f>
        <v>39843</v>
      </c>
      <c r="BK445" s="897">
        <f t="shared" si="966"/>
        <v>0</v>
      </c>
      <c r="BS445" s="664"/>
      <c r="BV445" s="896">
        <f t="shared" ref="BV445:BW445" si="967">BV430</f>
        <v>39843</v>
      </c>
      <c r="BW445" s="897">
        <f t="shared" si="967"/>
        <v>0</v>
      </c>
      <c r="CE445" s="664"/>
      <c r="CH445" s="896">
        <f t="shared" ref="CH445:CI445" si="968">CH430</f>
        <v>39843</v>
      </c>
      <c r="CI445" s="897">
        <f t="shared" si="968"/>
        <v>0</v>
      </c>
      <c r="CQ445" s="664"/>
      <c r="CT445" s="896">
        <f t="shared" ref="CT445:CU445" si="969">CT430</f>
        <v>39843</v>
      </c>
      <c r="CU445" s="897">
        <f t="shared" si="969"/>
        <v>0</v>
      </c>
      <c r="DC445" s="664"/>
      <c r="DF445" s="896">
        <f t="shared" ref="DF445:DG445" si="970">DF430</f>
        <v>39843</v>
      </c>
      <c r="DG445" s="897">
        <f t="shared" si="970"/>
        <v>0</v>
      </c>
      <c r="DO445" s="664"/>
    </row>
    <row r="446" spans="2:119" hidden="1" x14ac:dyDescent="0.25">
      <c r="B446" s="896">
        <f>B431+$C$56</f>
        <v>41179</v>
      </c>
      <c r="C446" s="897">
        <f ca="1">C431</f>
        <v>0</v>
      </c>
      <c r="K446" s="664"/>
      <c r="N446" s="896">
        <f>N431+$C$56</f>
        <v>41179</v>
      </c>
      <c r="O446" s="897">
        <f ca="1">O431</f>
        <v>0</v>
      </c>
      <c r="U446" s="663"/>
      <c r="W446" s="664"/>
      <c r="Z446" s="896">
        <f>Z431+$C$56</f>
        <v>41179</v>
      </c>
      <c r="AA446" s="897">
        <f ca="1">AA431</f>
        <v>0</v>
      </c>
      <c r="AB446" s="663"/>
      <c r="AC446" s="663"/>
      <c r="AD446" s="663"/>
      <c r="AE446" s="663"/>
      <c r="AF446" s="663"/>
      <c r="AG446" s="663"/>
      <c r="AH446" s="663"/>
      <c r="AI446" s="664"/>
      <c r="AL446" s="896">
        <f>AL431+$C$56</f>
        <v>41179</v>
      </c>
      <c r="AM446" s="897">
        <f ca="1">AM431</f>
        <v>0</v>
      </c>
      <c r="AN446" s="663"/>
      <c r="AU446" s="664"/>
      <c r="AX446" s="896">
        <f>AX431+$C$56</f>
        <v>41179</v>
      </c>
      <c r="AY446" s="897">
        <f ca="1">AY431</f>
        <v>0</v>
      </c>
      <c r="BG446" s="664"/>
      <c r="BJ446" s="896">
        <f>BJ431+$C$56</f>
        <v>41179</v>
      </c>
      <c r="BK446" s="897">
        <f ca="1">BK431</f>
        <v>0</v>
      </c>
      <c r="BS446" s="664"/>
      <c r="BV446" s="896">
        <f>BV431+$C$56</f>
        <v>41179</v>
      </c>
      <c r="BW446" s="897">
        <f ca="1">BW431</f>
        <v>0</v>
      </c>
      <c r="CE446" s="664"/>
      <c r="CH446" s="896">
        <f>CH431+$C$56</f>
        <v>41179</v>
      </c>
      <c r="CI446" s="897">
        <f ca="1">CI431</f>
        <v>0</v>
      </c>
      <c r="CQ446" s="664"/>
      <c r="CT446" s="896">
        <f>CT431+$C$56</f>
        <v>41179</v>
      </c>
      <c r="CU446" s="897">
        <f ca="1">CU431</f>
        <v>0</v>
      </c>
      <c r="DC446" s="664"/>
      <c r="DF446" s="896">
        <f>DF431+$C$56</f>
        <v>41179</v>
      </c>
      <c r="DG446" s="897">
        <f ca="1">DG431</f>
        <v>0</v>
      </c>
      <c r="DO446" s="664"/>
    </row>
    <row r="447" spans="2:119" hidden="1" x14ac:dyDescent="0.25">
      <c r="B447" s="898">
        <f>IF(C436&lt;&gt;0,ROW(C436),IF(C437&lt;&gt;0,ROW(C437),IF(C438&lt;&gt;0,ROW(C438),IF(C439&lt;&gt;0,ROW(C439),IF(C440&lt;&gt;0,ROW(C440),IF(C441&lt;&gt;0,ROW(C441),IF(C442&lt;&gt;0,ROW(C442),IF(C443&lt;&gt;0,ROW(C443),IF(C444&lt;&gt;0,ROW(C444),IF(C445&lt;&gt;0,ROW(C445)))))))))))</f>
        <v>436</v>
      </c>
      <c r="C447" s="882" t="e">
        <f ca="1">IF(ISERROR(XIRR(INDIRECT(B449):C446,INDIRECT(B448):B446,-20%)),XIRR(INDIRECT(B449):C446,INDIRECT(B448):B446,20%),"N/A")</f>
        <v>#NUM!</v>
      </c>
      <c r="K447" s="664"/>
      <c r="N447" s="898">
        <f>IF(O436&lt;&gt;0,ROW(O436),IF(O437&lt;&gt;0,ROW(O437),IF(O438&lt;&gt;0,ROW(O438),IF(O439&lt;&gt;0,ROW(O439),IF(O440&lt;&gt;0,ROW(O440),IF(O441&lt;&gt;0,ROW(O441),IF(O442&lt;&gt;0,ROW(O442),IF(O443&lt;&gt;0,ROW(O443),IF(O444&lt;&gt;0,ROW(O444),IF(O445&lt;&gt;0,ROW(O445)))))))))))</f>
        <v>436</v>
      </c>
      <c r="O447" s="882" t="e">
        <f ca="1">IF(ISERROR(XIRR(INDIRECT(N449):O446,INDIRECT(N448):N446,-20%)),XIRR(INDIRECT(N449):O446,INDIRECT(N448):N446,20%),"N/A")</f>
        <v>#NUM!</v>
      </c>
      <c r="U447" s="663"/>
      <c r="W447" s="664"/>
      <c r="Z447" s="898">
        <f>IF(AA436&lt;&gt;0,ROW(AA436),IF(AA437&lt;&gt;0,ROW(AA437),IF(AA438&lt;&gt;0,ROW(AA438),IF(AA439&lt;&gt;0,ROW(AA439),IF(AA440&lt;&gt;0,ROW(AA440),IF(AA441&lt;&gt;0,ROW(AA441),IF(AA442&lt;&gt;0,ROW(AA442),IF(AA443&lt;&gt;0,ROW(AA443),IF(AA444&lt;&gt;0,ROW(AA444),IF(AA445&lt;&gt;0,ROW(AA445)))))))))))</f>
        <v>436</v>
      </c>
      <c r="AA447" s="882" t="e">
        <f ca="1">IF(ISERROR(XIRR(INDIRECT(Z449):AA446,INDIRECT(Z448):Z446,-20%)),XIRR(INDIRECT(Z449):AA446,INDIRECT(Z448):Z446,20%),"N/A")</f>
        <v>#NUM!</v>
      </c>
      <c r="AB447" s="663"/>
      <c r="AC447" s="663"/>
      <c r="AD447" s="663"/>
      <c r="AE447" s="663"/>
      <c r="AF447" s="663"/>
      <c r="AG447" s="663"/>
      <c r="AH447" s="663"/>
      <c r="AI447" s="664"/>
      <c r="AL447" s="898">
        <f>IF(AM436&lt;&gt;0,ROW(AM436),IF(AM437&lt;&gt;0,ROW(AM437),IF(AM438&lt;&gt;0,ROW(AM438),IF(AM439&lt;&gt;0,ROW(AM439),IF(AM440&lt;&gt;0,ROW(AM440),IF(AM441&lt;&gt;0,ROW(AM441),IF(AM442&lt;&gt;0,ROW(AM442),IF(AM443&lt;&gt;0,ROW(AM443),IF(AM444&lt;&gt;0,ROW(AM444),IF(AM445&lt;&gt;0,ROW(AM445)))))))))))</f>
        <v>436</v>
      </c>
      <c r="AM447" s="882" t="e">
        <f ca="1">IF(ISERROR(XIRR(INDIRECT(AL449):AM446,INDIRECT(AL448):AL446,-20%)),XIRR(INDIRECT(AL449):AM446,INDIRECT(AL448):AL446,20%),"N/A")</f>
        <v>#NUM!</v>
      </c>
      <c r="AN447" s="663"/>
      <c r="AU447" s="664"/>
      <c r="AX447" s="898">
        <f>IF(AY436&lt;&gt;0,ROW(AY436),IF(AY437&lt;&gt;0,ROW(AY437),IF(AY438&lt;&gt;0,ROW(AY438),IF(AY439&lt;&gt;0,ROW(AY439),IF(AY440&lt;&gt;0,ROW(AY440),IF(AY441&lt;&gt;0,ROW(AY441),IF(AY442&lt;&gt;0,ROW(AY442),IF(AY443&lt;&gt;0,ROW(AY443),IF(AY444&lt;&gt;0,ROW(AY444),IF(AY445&lt;&gt;0,ROW(AY445)))))))))))</f>
        <v>436</v>
      </c>
      <c r="AY447" s="882" t="e">
        <f ca="1">IF(ISERROR(XIRR(INDIRECT(AX449):AY446,INDIRECT(AX448):AX446,-20%)),XIRR(INDIRECT(AX449):AY446,INDIRECT(AX448):AX446,20%),"N/A")</f>
        <v>#NUM!</v>
      </c>
      <c r="BG447" s="664"/>
      <c r="BJ447" s="898">
        <f>IF(BK436&lt;&gt;0,ROW(BK436),IF(BK437&lt;&gt;0,ROW(BK437),IF(BK438&lt;&gt;0,ROW(BK438),IF(BK439&lt;&gt;0,ROW(BK439),IF(BK440&lt;&gt;0,ROW(BK440),IF(BK441&lt;&gt;0,ROW(BK441),IF(BK442&lt;&gt;0,ROW(BK442),IF(BK443&lt;&gt;0,ROW(BK443),IF(BK444&lt;&gt;0,ROW(BK444),IF(BK445&lt;&gt;0,ROW(BK445)))))))))))</f>
        <v>436</v>
      </c>
      <c r="BK447" s="882" t="e">
        <f ca="1">IF(ISERROR(XIRR(INDIRECT(BJ449):BK446,INDIRECT(BJ448):BJ446,-20%)),XIRR(INDIRECT(BJ449):BK446,INDIRECT(BJ448):BJ446,20%),"N/A")</f>
        <v>#NUM!</v>
      </c>
      <c r="BS447" s="664"/>
      <c r="BV447" s="898">
        <f>IF(BW436&lt;&gt;0,ROW(BW436),IF(BW437&lt;&gt;0,ROW(BW437),IF(BW438&lt;&gt;0,ROW(BW438),IF(BW439&lt;&gt;0,ROW(BW439),IF(BW440&lt;&gt;0,ROW(BW440),IF(BW441&lt;&gt;0,ROW(BW441),IF(BW442&lt;&gt;0,ROW(BW442),IF(BW443&lt;&gt;0,ROW(BW443),IF(BW444&lt;&gt;0,ROW(BW444),IF(BW445&lt;&gt;0,ROW(BW445)))))))))))</f>
        <v>436</v>
      </c>
      <c r="BW447" s="882" t="e">
        <f ca="1">IF(ISERROR(XIRR(INDIRECT(BV449):BW446,INDIRECT(BV448):BV446,-20%)),XIRR(INDIRECT(BV449):BW446,INDIRECT(BV448):BV446,20%),"N/A")</f>
        <v>#NUM!</v>
      </c>
      <c r="CE447" s="664"/>
      <c r="CH447" s="898">
        <f>IF(CI436&lt;&gt;0,ROW(CI436),IF(CI437&lt;&gt;0,ROW(CI437),IF(CI438&lt;&gt;0,ROW(CI438),IF(CI439&lt;&gt;0,ROW(CI439),IF(CI440&lt;&gt;0,ROW(CI440),IF(CI441&lt;&gt;0,ROW(CI441),IF(CI442&lt;&gt;0,ROW(CI442),IF(CI443&lt;&gt;0,ROW(CI443),IF(CI444&lt;&gt;0,ROW(CI444),IF(CI445&lt;&gt;0,ROW(CI445)))))))))))</f>
        <v>436</v>
      </c>
      <c r="CI447" s="882" t="e">
        <f ca="1">IF(ISERROR(XIRR(INDIRECT(CH449):CI446,INDIRECT(CH448):CH446,-20%)),XIRR(INDIRECT(CH449):CI446,INDIRECT(CH448):CH446,20%),"N/A")</f>
        <v>#NUM!</v>
      </c>
      <c r="CQ447" s="664"/>
      <c r="CT447" s="898">
        <f>IF(CU436&lt;&gt;0,ROW(CU436),IF(CU437&lt;&gt;0,ROW(CU437),IF(CU438&lt;&gt;0,ROW(CU438),IF(CU439&lt;&gt;0,ROW(CU439),IF(CU440&lt;&gt;0,ROW(CU440),IF(CU441&lt;&gt;0,ROW(CU441),IF(CU442&lt;&gt;0,ROW(CU442),IF(CU443&lt;&gt;0,ROW(CU443),IF(CU444&lt;&gt;0,ROW(CU444),IF(CU445&lt;&gt;0,ROW(CU445)))))))))))</f>
        <v>436</v>
      </c>
      <c r="CU447" s="882" t="e">
        <f ca="1">IF(ISERROR(XIRR(INDIRECT(CT449):CU446,INDIRECT(CT448):CT446,-20%)),XIRR(INDIRECT(CT449):CU446,INDIRECT(CT448):CT446,20%),"N/A")</f>
        <v>#NUM!</v>
      </c>
      <c r="DC447" s="664"/>
      <c r="DF447" s="898">
        <f>IF(DG436&lt;&gt;0,ROW(DG436),IF(DG437&lt;&gt;0,ROW(DG437),IF(DG438&lt;&gt;0,ROW(DG438),IF(DG439&lt;&gt;0,ROW(DG439),IF(DG440&lt;&gt;0,ROW(DG440),IF(DG441&lt;&gt;0,ROW(DG441),IF(DG442&lt;&gt;0,ROW(DG442),IF(DG443&lt;&gt;0,ROW(DG443),IF(DG444&lt;&gt;0,ROW(DG444),IF(DG445&lt;&gt;0,ROW(DG445)))))))))))</f>
        <v>436</v>
      </c>
      <c r="DG447" s="882" t="e">
        <f ca="1">IF(ISERROR(XIRR(INDIRECT(DF449):DG446,INDIRECT(DF448):DF446,-20%)),XIRR(INDIRECT(DF449):DG446,INDIRECT(DF448):DF446,20%),"N/A")</f>
        <v>#NUM!</v>
      </c>
      <c r="DO447" s="664"/>
    </row>
    <row r="448" spans="2:119" hidden="1" x14ac:dyDescent="0.25">
      <c r="B448" s="899" t="str">
        <f>CONCATENATE(CHAR(64+COLUMN(B447)),B447)</f>
        <v>B436</v>
      </c>
      <c r="C448" s="897"/>
      <c r="K448" s="664"/>
      <c r="N448" s="899" t="str">
        <f>CONCATENATE(CHAR(64+COLUMN(N447)),N447)</f>
        <v>N436</v>
      </c>
      <c r="O448" s="897"/>
      <c r="U448" s="663"/>
      <c r="W448" s="664"/>
      <c r="Z448" s="899" t="str">
        <f>CONCATENATE(IF(COLUMN(Z447)&lt;=26,CHAR(96+COLUMN(Z447)),(CHAR(96+(ROUNDDOWN((COLUMN(Z447)-1)/26,0)))&amp;CHAR(96+IF(MOD(COLUMN(Z447),26)=0,26,MOD(COLUMN(Z447),26))))),Z447)</f>
        <v>z436</v>
      </c>
      <c r="AA448" s="897"/>
      <c r="AB448" s="663"/>
      <c r="AC448" s="663"/>
      <c r="AD448" s="663"/>
      <c r="AE448" s="663"/>
      <c r="AF448" s="663"/>
      <c r="AG448" s="663"/>
      <c r="AH448" s="663"/>
      <c r="AI448" s="664"/>
      <c r="AL448" s="899" t="str">
        <f>CONCATENATE(IF(COLUMN(AL447)&lt;=26,CHAR(96+COLUMN(AL447)),(CHAR(96+(ROUNDDOWN((COLUMN(AL447)-1)/26,0)))&amp;CHAR(96+IF(MOD(COLUMN(AL447),26)=0,26,MOD(COLUMN(AL447),26))))),AL447)</f>
        <v>al436</v>
      </c>
      <c r="AM448" s="897"/>
      <c r="AN448" s="663"/>
      <c r="AU448" s="664"/>
      <c r="AX448" s="899" t="str">
        <f>CONCATENATE(IF(COLUMN(AX447)&lt;=26,CHAR(96+COLUMN(AX447)),(CHAR(96+(ROUNDDOWN((COLUMN(AX447)-1)/26,0)))&amp;CHAR(96+IF(MOD(COLUMN(AX447),26)=0,26,MOD(COLUMN(AX447),26))))),AX447)</f>
        <v>ax436</v>
      </c>
      <c r="AY448" s="897"/>
      <c r="BG448" s="664"/>
      <c r="BJ448" s="899" t="str">
        <f>CONCATENATE(IF(COLUMN(BJ447)&lt;=26,CHAR(96+COLUMN(BJ447)),(CHAR(96+(ROUNDDOWN((COLUMN(BJ447)-1)/26,0)))&amp;CHAR(96+IF(MOD(COLUMN(BJ447),26)=0,26,MOD(COLUMN(BJ447),26))))),BJ447)</f>
        <v>bj436</v>
      </c>
      <c r="BK448" s="897"/>
      <c r="BS448" s="664"/>
      <c r="BV448" s="899" t="str">
        <f>CONCATENATE(IF(COLUMN(BV447)&lt;=26,CHAR(96+COLUMN(BV447)),(CHAR(96+(ROUNDDOWN((COLUMN(BV447)-1)/26,0)))&amp;CHAR(96+IF(MOD(COLUMN(BV447),26)=0,26,MOD(COLUMN(BV447),26))))),BV447)</f>
        <v>bv436</v>
      </c>
      <c r="BW448" s="897"/>
      <c r="CE448" s="664"/>
      <c r="CH448" s="899" t="str">
        <f>CONCATENATE(IF(COLUMN(CH447)&lt;=26,CHAR(96+COLUMN(CH447)),(CHAR(96+(ROUNDDOWN((COLUMN(CH447)-1)/26,0)))&amp;CHAR(96+IF(MOD(COLUMN(CH447),26)=0,26,MOD(COLUMN(CH447),26))))),CH447)</f>
        <v>ch436</v>
      </c>
      <c r="CI448" s="897"/>
      <c r="CQ448" s="664"/>
      <c r="CT448" s="899" t="str">
        <f>CONCATENATE(IF(COLUMN(CT447)&lt;=26,CHAR(96+COLUMN(CT447)),(CHAR(96+(ROUNDDOWN((COLUMN(CT447)-1)/26,0)))&amp;CHAR(96+IF(MOD(COLUMN(CT447),26)=0,26,MOD(COLUMN(CT447),26))))),CT447)</f>
        <v>ct436</v>
      </c>
      <c r="CU448" s="897"/>
      <c r="DC448" s="664"/>
      <c r="DF448" s="899" t="str">
        <f>CONCATENATE(IF(COLUMN(DF447)&lt;=26,CHAR(96+COLUMN(DF447)),(CHAR(96+(ROUNDDOWN((COLUMN(DF447)-1)/26,0)))&amp;CHAR(96+IF(MOD(COLUMN(DF447),26)=0,26,MOD(COLUMN(DF447),26))))),DF447)</f>
        <v>df436</v>
      </c>
      <c r="DG448" s="897"/>
      <c r="DO448" s="664"/>
    </row>
    <row r="449" spans="2:119" hidden="1" x14ac:dyDescent="0.25">
      <c r="B449" s="899" t="str">
        <f>CONCATENATE(CHAR(64+COLUMN(C447)),B447)</f>
        <v>C436</v>
      </c>
      <c r="C449" s="897"/>
      <c r="K449" s="664"/>
      <c r="N449" s="899" t="str">
        <f>CONCATENATE(CHAR(64+COLUMN(O447)),N447)</f>
        <v>O436</v>
      </c>
      <c r="O449" s="897"/>
      <c r="U449" s="663"/>
      <c r="W449" s="664"/>
      <c r="Z449" s="899" t="str">
        <f>CONCATENATE(IF(COLUMN(AA447)&lt;=26,CHAR(96+COLUMN(AA447)),(CHAR(96+(ROUNDDOWN((COLUMN(AA447)-1)/26,0)))&amp;CHAR(96+IF(MOD(COLUMN(AA447),26)=0,26,MOD(COLUMN(AA447),26))))),Z447)</f>
        <v>aa436</v>
      </c>
      <c r="AA449" s="897"/>
      <c r="AB449" s="663"/>
      <c r="AC449" s="663"/>
      <c r="AD449" s="663"/>
      <c r="AE449" s="663"/>
      <c r="AF449" s="663"/>
      <c r="AG449" s="663"/>
      <c r="AH449" s="663"/>
      <c r="AI449" s="664"/>
      <c r="AL449" s="899" t="str">
        <f>CONCATENATE(IF(COLUMN(AM447)&lt;=26,CHAR(96+COLUMN(AM447)),(CHAR(96+(ROUNDDOWN((COLUMN(AM447)-1)/26,0)))&amp;CHAR(96+IF(MOD(COLUMN(AM447),26)=0,26,MOD(COLUMN(AM447),26))))),AL447)</f>
        <v>am436</v>
      </c>
      <c r="AM449" s="897"/>
      <c r="AN449" s="663"/>
      <c r="AU449" s="664"/>
      <c r="AX449" s="899" t="str">
        <f>CONCATENATE(IF(COLUMN(AY447)&lt;=26,CHAR(96+COLUMN(AY447)),(CHAR(96+(ROUNDDOWN((COLUMN(AY447)-1)/26,0)))&amp;CHAR(96+IF(MOD(COLUMN(AY447),26)=0,26,MOD(COLUMN(AY447),26))))),AX447)</f>
        <v>ay436</v>
      </c>
      <c r="AY449" s="897"/>
      <c r="BG449" s="664"/>
      <c r="BJ449" s="899" t="str">
        <f>CONCATENATE(IF(COLUMN(BK447)&lt;=26,CHAR(96+COLUMN(BK447)),(CHAR(96+(ROUNDDOWN((COLUMN(BK447)-1)/26,0)))&amp;CHAR(96+IF(MOD(COLUMN(BK447),26)=0,26,MOD(COLUMN(BK447),26))))),BJ447)</f>
        <v>bk436</v>
      </c>
      <c r="BK449" s="897"/>
      <c r="BS449" s="664"/>
      <c r="BV449" s="899" t="str">
        <f>CONCATENATE(IF(COLUMN(BW447)&lt;=26,CHAR(96+COLUMN(BW447)),(CHAR(96+(ROUNDDOWN((COLUMN(BW447)-1)/26,0)))&amp;CHAR(96+IF(MOD(COLUMN(BW447),26)=0,26,MOD(COLUMN(BW447),26))))),BV447)</f>
        <v>bw436</v>
      </c>
      <c r="BW449" s="897"/>
      <c r="CE449" s="664"/>
      <c r="CH449" s="899" t="str">
        <f>CONCATENATE(IF(COLUMN(CI447)&lt;=26,CHAR(96+COLUMN(CI447)),(CHAR(96+(ROUNDDOWN((COLUMN(CI447)-1)/26,0)))&amp;CHAR(96+IF(MOD(COLUMN(CI447),26)=0,26,MOD(COLUMN(CI447),26))))),CH447)</f>
        <v>ci436</v>
      </c>
      <c r="CI449" s="897"/>
      <c r="CQ449" s="664"/>
      <c r="CT449" s="899" t="str">
        <f>CONCATENATE(IF(COLUMN(CU447)&lt;=26,CHAR(96+COLUMN(CU447)),(CHAR(96+(ROUNDDOWN((COLUMN(CU447)-1)/26,0)))&amp;CHAR(96+IF(MOD(COLUMN(CU447),26)=0,26,MOD(COLUMN(CU447),26))))),CT447)</f>
        <v>cu436</v>
      </c>
      <c r="CU449" s="897"/>
      <c r="DC449" s="664"/>
      <c r="DF449" s="899" t="str">
        <f>CONCATENATE(IF(COLUMN(DG447)&lt;=26,CHAR(96+COLUMN(DG447)),(CHAR(96+(ROUNDDOWN((COLUMN(DG447)-1)/26,0)))&amp;CHAR(96+IF(MOD(COLUMN(DG447),26)=0,26,MOD(COLUMN(DG447),26))))),DF447)</f>
        <v>dg436</v>
      </c>
      <c r="DG449" s="897"/>
      <c r="DO449" s="664"/>
    </row>
    <row r="450" spans="2:119" hidden="1" x14ac:dyDescent="0.25">
      <c r="B450" s="899"/>
      <c r="C450" s="897"/>
      <c r="K450" s="664"/>
      <c r="N450" s="899"/>
      <c r="O450" s="897"/>
      <c r="U450" s="663"/>
      <c r="W450" s="664"/>
      <c r="Z450" s="899"/>
      <c r="AA450" s="897"/>
      <c r="AB450" s="663"/>
      <c r="AC450" s="663"/>
      <c r="AD450" s="663"/>
      <c r="AE450" s="663"/>
      <c r="AF450" s="663"/>
      <c r="AG450" s="663"/>
      <c r="AH450" s="663"/>
      <c r="AI450" s="664"/>
      <c r="AL450" s="899"/>
      <c r="AM450" s="897"/>
      <c r="AN450" s="663"/>
      <c r="AU450" s="664"/>
      <c r="AX450" s="899"/>
      <c r="AY450" s="897"/>
      <c r="BG450" s="664"/>
      <c r="BJ450" s="899"/>
      <c r="BK450" s="897"/>
      <c r="BS450" s="664"/>
      <c r="BV450" s="899"/>
      <c r="BW450" s="897"/>
      <c r="CE450" s="664"/>
      <c r="CH450" s="899"/>
      <c r="CI450" s="897"/>
      <c r="CQ450" s="664"/>
      <c r="CT450" s="899"/>
      <c r="CU450" s="897"/>
      <c r="DC450" s="664"/>
      <c r="DF450" s="899"/>
      <c r="DG450" s="897"/>
      <c r="DO450" s="664"/>
    </row>
    <row r="451" spans="2:119" hidden="1" x14ac:dyDescent="0.25">
      <c r="B451" s="900">
        <f>B436</f>
        <v>39113</v>
      </c>
      <c r="C451" s="897">
        <f>C436</f>
        <v>-1000000</v>
      </c>
      <c r="K451" s="664"/>
      <c r="N451" s="900">
        <f>N436</f>
        <v>39113</v>
      </c>
      <c r="O451" s="897">
        <f>O436</f>
        <v>-1000000</v>
      </c>
      <c r="U451" s="663"/>
      <c r="W451" s="664"/>
      <c r="Z451" s="900">
        <f>Z436</f>
        <v>39113</v>
      </c>
      <c r="AA451" s="897">
        <f>AA436</f>
        <v>-1000000</v>
      </c>
      <c r="AB451" s="663"/>
      <c r="AC451" s="663"/>
      <c r="AD451" s="663"/>
      <c r="AE451" s="663"/>
      <c r="AF451" s="663"/>
      <c r="AG451" s="663"/>
      <c r="AH451" s="663"/>
      <c r="AI451" s="664"/>
      <c r="AL451" s="900">
        <f>AL436</f>
        <v>39113</v>
      </c>
      <c r="AM451" s="897">
        <f>AM436</f>
        <v>-1000000</v>
      </c>
      <c r="AN451" s="663"/>
      <c r="AU451" s="664"/>
      <c r="AX451" s="900">
        <f>AX436</f>
        <v>39113</v>
      </c>
      <c r="AY451" s="897">
        <f>AY436</f>
        <v>-1000000</v>
      </c>
      <c r="BG451" s="664"/>
      <c r="BJ451" s="900">
        <f>BJ436</f>
        <v>39113</v>
      </c>
      <c r="BK451" s="897">
        <f>BK436</f>
        <v>-1000000</v>
      </c>
      <c r="BS451" s="664"/>
      <c r="BV451" s="900">
        <f>BV436</f>
        <v>39113</v>
      </c>
      <c r="BW451" s="897">
        <f>BW436</f>
        <v>-1000000</v>
      </c>
      <c r="CE451" s="664"/>
      <c r="CH451" s="900">
        <f>CH436</f>
        <v>39113</v>
      </c>
      <c r="CI451" s="897">
        <f>CI436</f>
        <v>-1000000</v>
      </c>
      <c r="CQ451" s="664"/>
      <c r="CT451" s="900">
        <f>CT436</f>
        <v>39113</v>
      </c>
      <c r="CU451" s="897">
        <f>CU436</f>
        <v>-1000000</v>
      </c>
      <c r="DC451" s="664"/>
      <c r="DF451" s="900">
        <f>DF436</f>
        <v>39113</v>
      </c>
      <c r="DG451" s="897">
        <f>DG436</f>
        <v>-1000000</v>
      </c>
      <c r="DO451" s="664"/>
    </row>
    <row r="452" spans="2:119" hidden="1" x14ac:dyDescent="0.25">
      <c r="B452" s="900">
        <f t="shared" ref="B452:C452" si="971">B437</f>
        <v>39478</v>
      </c>
      <c r="C452" s="897">
        <f t="shared" si="971"/>
        <v>-2000000</v>
      </c>
      <c r="K452" s="664"/>
      <c r="N452" s="900">
        <f t="shared" ref="N452:O452" si="972">N437</f>
        <v>39478</v>
      </c>
      <c r="O452" s="897">
        <f t="shared" si="972"/>
        <v>-2000000</v>
      </c>
      <c r="U452" s="663"/>
      <c r="W452" s="664"/>
      <c r="Z452" s="900">
        <f t="shared" ref="Z452:AA452" si="973">Z437</f>
        <v>39478</v>
      </c>
      <c r="AA452" s="897">
        <f t="shared" si="973"/>
        <v>-2000000</v>
      </c>
      <c r="AB452" s="663"/>
      <c r="AC452" s="663"/>
      <c r="AD452" s="663"/>
      <c r="AE452" s="663"/>
      <c r="AF452" s="663"/>
      <c r="AG452" s="663"/>
      <c r="AH452" s="663"/>
      <c r="AI452" s="664"/>
      <c r="AL452" s="900">
        <f t="shared" ref="AL452:AM452" si="974">AL437</f>
        <v>39478</v>
      </c>
      <c r="AM452" s="897">
        <f t="shared" si="974"/>
        <v>-2000000</v>
      </c>
      <c r="AN452" s="663"/>
      <c r="AU452" s="664"/>
      <c r="AX452" s="900">
        <f t="shared" ref="AX452:AY452" si="975">AX437</f>
        <v>39478</v>
      </c>
      <c r="AY452" s="897">
        <f t="shared" si="975"/>
        <v>-2000000</v>
      </c>
      <c r="BG452" s="664"/>
      <c r="BJ452" s="900">
        <f t="shared" ref="BJ452:BK452" si="976">BJ437</f>
        <v>39478</v>
      </c>
      <c r="BK452" s="897">
        <f t="shared" si="976"/>
        <v>-2000000</v>
      </c>
      <c r="BS452" s="664"/>
      <c r="BV452" s="900">
        <f t="shared" ref="BV452:BW452" si="977">BV437</f>
        <v>39478</v>
      </c>
      <c r="BW452" s="897">
        <f t="shared" si="977"/>
        <v>-2000000</v>
      </c>
      <c r="CE452" s="664"/>
      <c r="CH452" s="900">
        <f t="shared" ref="CH452:CI452" si="978">CH437</f>
        <v>39478</v>
      </c>
      <c r="CI452" s="897">
        <f t="shared" si="978"/>
        <v>-2000000</v>
      </c>
      <c r="CQ452" s="664"/>
      <c r="CT452" s="900">
        <f t="shared" ref="CT452:CU452" si="979">CT437</f>
        <v>39478</v>
      </c>
      <c r="CU452" s="897">
        <f t="shared" si="979"/>
        <v>-2000000</v>
      </c>
      <c r="DC452" s="664"/>
      <c r="DF452" s="900">
        <f t="shared" ref="DF452:DG452" si="980">DF437</f>
        <v>39478</v>
      </c>
      <c r="DG452" s="897">
        <f t="shared" si="980"/>
        <v>-2000000</v>
      </c>
      <c r="DO452" s="664"/>
    </row>
    <row r="453" spans="2:119" hidden="1" x14ac:dyDescent="0.25">
      <c r="B453" s="900">
        <f t="shared" ref="B453:C453" si="981">B438</f>
        <v>39843</v>
      </c>
      <c r="C453" s="897">
        <f t="shared" si="981"/>
        <v>-2500000</v>
      </c>
      <c r="K453" s="664"/>
      <c r="N453" s="900">
        <f t="shared" ref="N453:O453" si="982">N438</f>
        <v>39843</v>
      </c>
      <c r="O453" s="897">
        <f t="shared" si="982"/>
        <v>-2500000</v>
      </c>
      <c r="U453" s="663"/>
      <c r="W453" s="664"/>
      <c r="Z453" s="900">
        <f t="shared" ref="Z453:AA453" si="983">Z438</f>
        <v>39843</v>
      </c>
      <c r="AA453" s="897">
        <f t="shared" si="983"/>
        <v>-2500000</v>
      </c>
      <c r="AB453" s="663"/>
      <c r="AC453" s="663"/>
      <c r="AD453" s="663"/>
      <c r="AE453" s="663"/>
      <c r="AF453" s="663"/>
      <c r="AG453" s="663"/>
      <c r="AH453" s="663"/>
      <c r="AI453" s="664"/>
      <c r="AL453" s="900">
        <f t="shared" ref="AL453:AM453" si="984">AL438</f>
        <v>39843</v>
      </c>
      <c r="AM453" s="897">
        <f t="shared" si="984"/>
        <v>-2500000</v>
      </c>
      <c r="AN453" s="663"/>
      <c r="AU453" s="664"/>
      <c r="AX453" s="900">
        <f t="shared" ref="AX453:AY453" si="985">AX438</f>
        <v>39843</v>
      </c>
      <c r="AY453" s="897">
        <f t="shared" si="985"/>
        <v>-2500000</v>
      </c>
      <c r="BG453" s="664"/>
      <c r="BJ453" s="900">
        <f t="shared" ref="BJ453:BK453" si="986">BJ438</f>
        <v>39843</v>
      </c>
      <c r="BK453" s="897">
        <f t="shared" si="986"/>
        <v>-2500000</v>
      </c>
      <c r="BS453" s="664"/>
      <c r="BV453" s="900">
        <f t="shared" ref="BV453:BW453" si="987">BV438</f>
        <v>39843</v>
      </c>
      <c r="BW453" s="897">
        <f t="shared" si="987"/>
        <v>-2500000</v>
      </c>
      <c r="CE453" s="664"/>
      <c r="CH453" s="900">
        <f t="shared" ref="CH453:CI453" si="988">CH438</f>
        <v>39843</v>
      </c>
      <c r="CI453" s="897">
        <f t="shared" si="988"/>
        <v>-2500000</v>
      </c>
      <c r="CQ453" s="664"/>
      <c r="CT453" s="900">
        <f t="shared" ref="CT453:CU453" si="989">CT438</f>
        <v>39843</v>
      </c>
      <c r="CU453" s="897">
        <f t="shared" si="989"/>
        <v>-2500000</v>
      </c>
      <c r="DC453" s="664"/>
      <c r="DF453" s="900">
        <f t="shared" ref="DF453:DG453" si="990">DF438</f>
        <v>39843</v>
      </c>
      <c r="DG453" s="897">
        <f t="shared" si="990"/>
        <v>-2500000</v>
      </c>
      <c r="DO453" s="664"/>
    </row>
    <row r="454" spans="2:119" hidden="1" x14ac:dyDescent="0.25">
      <c r="B454" s="900">
        <f t="shared" ref="B454:C454" si="991">B439</f>
        <v>39843</v>
      </c>
      <c r="C454" s="897">
        <f t="shared" si="991"/>
        <v>0</v>
      </c>
      <c r="K454" s="664"/>
      <c r="N454" s="900">
        <f t="shared" ref="N454:O454" si="992">N439</f>
        <v>39843</v>
      </c>
      <c r="O454" s="897">
        <f t="shared" si="992"/>
        <v>0</v>
      </c>
      <c r="U454" s="663"/>
      <c r="W454" s="664"/>
      <c r="Z454" s="900">
        <f t="shared" ref="Z454:AA454" si="993">Z439</f>
        <v>39843</v>
      </c>
      <c r="AA454" s="897">
        <f t="shared" si="993"/>
        <v>0</v>
      </c>
      <c r="AB454" s="663"/>
      <c r="AC454" s="663"/>
      <c r="AD454" s="663"/>
      <c r="AE454" s="663"/>
      <c r="AF454" s="663"/>
      <c r="AG454" s="663"/>
      <c r="AH454" s="663"/>
      <c r="AI454" s="664"/>
      <c r="AL454" s="900">
        <f t="shared" ref="AL454:AM454" si="994">AL439</f>
        <v>39843</v>
      </c>
      <c r="AM454" s="897">
        <f t="shared" si="994"/>
        <v>0</v>
      </c>
      <c r="AN454" s="663"/>
      <c r="AU454" s="664"/>
      <c r="AX454" s="900">
        <f t="shared" ref="AX454:AY454" si="995">AX439</f>
        <v>39843</v>
      </c>
      <c r="AY454" s="897">
        <f t="shared" si="995"/>
        <v>0</v>
      </c>
      <c r="BG454" s="664"/>
      <c r="BJ454" s="900">
        <f t="shared" ref="BJ454:BK454" si="996">BJ439</f>
        <v>39843</v>
      </c>
      <c r="BK454" s="897">
        <f t="shared" si="996"/>
        <v>0</v>
      </c>
      <c r="BS454" s="664"/>
      <c r="BV454" s="900">
        <f t="shared" ref="BV454:BW454" si="997">BV439</f>
        <v>39843</v>
      </c>
      <c r="BW454" s="897">
        <f t="shared" si="997"/>
        <v>0</v>
      </c>
      <c r="CE454" s="664"/>
      <c r="CH454" s="900">
        <f t="shared" ref="CH454:CI454" si="998">CH439</f>
        <v>39843</v>
      </c>
      <c r="CI454" s="897">
        <f t="shared" si="998"/>
        <v>0</v>
      </c>
      <c r="CQ454" s="664"/>
      <c r="CT454" s="900">
        <f t="shared" ref="CT454:CU454" si="999">CT439</f>
        <v>39843</v>
      </c>
      <c r="CU454" s="897">
        <f t="shared" si="999"/>
        <v>0</v>
      </c>
      <c r="DC454" s="664"/>
      <c r="DF454" s="900">
        <f t="shared" ref="DF454:DG454" si="1000">DF439</f>
        <v>39843</v>
      </c>
      <c r="DG454" s="897">
        <f t="shared" si="1000"/>
        <v>0</v>
      </c>
      <c r="DO454" s="664"/>
    </row>
    <row r="455" spans="2:119" hidden="1" x14ac:dyDescent="0.25">
      <c r="B455" s="900">
        <f t="shared" ref="B455:C455" si="1001">B440</f>
        <v>39843</v>
      </c>
      <c r="C455" s="897">
        <f t="shared" si="1001"/>
        <v>0</v>
      </c>
      <c r="K455" s="664"/>
      <c r="N455" s="900">
        <f t="shared" ref="N455:O455" si="1002">N440</f>
        <v>39843</v>
      </c>
      <c r="O455" s="897">
        <f t="shared" si="1002"/>
        <v>0</v>
      </c>
      <c r="U455" s="663"/>
      <c r="W455" s="664"/>
      <c r="Z455" s="900">
        <f t="shared" ref="Z455:AA455" si="1003">Z440</f>
        <v>39843</v>
      </c>
      <c r="AA455" s="897">
        <f t="shared" si="1003"/>
        <v>0</v>
      </c>
      <c r="AB455" s="663"/>
      <c r="AC455" s="663"/>
      <c r="AD455" s="663"/>
      <c r="AE455" s="663"/>
      <c r="AF455" s="663"/>
      <c r="AG455" s="663"/>
      <c r="AH455" s="663"/>
      <c r="AI455" s="664"/>
      <c r="AL455" s="900">
        <f t="shared" ref="AL455:AM455" si="1004">AL440</f>
        <v>39843</v>
      </c>
      <c r="AM455" s="897">
        <f t="shared" si="1004"/>
        <v>0</v>
      </c>
      <c r="AN455" s="663"/>
      <c r="AU455" s="664"/>
      <c r="AX455" s="900">
        <f t="shared" ref="AX455:AY455" si="1005">AX440</f>
        <v>39843</v>
      </c>
      <c r="AY455" s="897">
        <f t="shared" si="1005"/>
        <v>0</v>
      </c>
      <c r="BG455" s="664"/>
      <c r="BJ455" s="900">
        <f t="shared" ref="BJ455:BK455" si="1006">BJ440</f>
        <v>39843</v>
      </c>
      <c r="BK455" s="897">
        <f t="shared" si="1006"/>
        <v>0</v>
      </c>
      <c r="BS455" s="664"/>
      <c r="BV455" s="900">
        <f t="shared" ref="BV455:BW455" si="1007">BV440</f>
        <v>39843</v>
      </c>
      <c r="BW455" s="897">
        <f t="shared" si="1007"/>
        <v>0</v>
      </c>
      <c r="CE455" s="664"/>
      <c r="CH455" s="900">
        <f t="shared" ref="CH455:CI455" si="1008">CH440</f>
        <v>39843</v>
      </c>
      <c r="CI455" s="897">
        <f t="shared" si="1008"/>
        <v>0</v>
      </c>
      <c r="CQ455" s="664"/>
      <c r="CT455" s="900">
        <f t="shared" ref="CT455:CU455" si="1009">CT440</f>
        <v>39843</v>
      </c>
      <c r="CU455" s="897">
        <f t="shared" si="1009"/>
        <v>0</v>
      </c>
      <c r="DC455" s="664"/>
      <c r="DF455" s="900">
        <f t="shared" ref="DF455:DG455" si="1010">DF440</f>
        <v>39843</v>
      </c>
      <c r="DG455" s="897">
        <f t="shared" si="1010"/>
        <v>0</v>
      </c>
      <c r="DO455" s="664"/>
    </row>
    <row r="456" spans="2:119" hidden="1" x14ac:dyDescent="0.25">
      <c r="B456" s="900">
        <f t="shared" ref="B456:C456" si="1011">B441</f>
        <v>39843</v>
      </c>
      <c r="C456" s="897">
        <f t="shared" si="1011"/>
        <v>0</v>
      </c>
      <c r="K456" s="664"/>
      <c r="N456" s="900">
        <f t="shared" ref="N456:O456" si="1012">N441</f>
        <v>39843</v>
      </c>
      <c r="O456" s="897">
        <f t="shared" si="1012"/>
        <v>0</v>
      </c>
      <c r="U456" s="663"/>
      <c r="W456" s="664"/>
      <c r="Z456" s="900">
        <f t="shared" ref="Z456:AA456" si="1013">Z441</f>
        <v>39843</v>
      </c>
      <c r="AA456" s="897">
        <f t="shared" si="1013"/>
        <v>0</v>
      </c>
      <c r="AB456" s="663"/>
      <c r="AC456" s="663"/>
      <c r="AD456" s="663"/>
      <c r="AE456" s="663"/>
      <c r="AF456" s="663"/>
      <c r="AG456" s="663"/>
      <c r="AH456" s="663"/>
      <c r="AI456" s="664"/>
      <c r="AL456" s="900">
        <f t="shared" ref="AL456:AM456" si="1014">AL441</f>
        <v>39843</v>
      </c>
      <c r="AM456" s="897">
        <f t="shared" si="1014"/>
        <v>0</v>
      </c>
      <c r="AN456" s="663"/>
      <c r="AU456" s="664"/>
      <c r="AX456" s="900">
        <f t="shared" ref="AX456:AY456" si="1015">AX441</f>
        <v>39843</v>
      </c>
      <c r="AY456" s="897">
        <f t="shared" si="1015"/>
        <v>0</v>
      </c>
      <c r="BG456" s="664"/>
      <c r="BJ456" s="900">
        <f t="shared" ref="BJ456:BK456" si="1016">BJ441</f>
        <v>39843</v>
      </c>
      <c r="BK456" s="897">
        <f t="shared" si="1016"/>
        <v>0</v>
      </c>
      <c r="BS456" s="664"/>
      <c r="BV456" s="900">
        <f t="shared" ref="BV456:BW456" si="1017">BV441</f>
        <v>39843</v>
      </c>
      <c r="BW456" s="897">
        <f t="shared" si="1017"/>
        <v>0</v>
      </c>
      <c r="CE456" s="664"/>
      <c r="CH456" s="900">
        <f t="shared" ref="CH456:CI456" si="1018">CH441</f>
        <v>39843</v>
      </c>
      <c r="CI456" s="897">
        <f t="shared" si="1018"/>
        <v>0</v>
      </c>
      <c r="CQ456" s="664"/>
      <c r="CT456" s="900">
        <f t="shared" ref="CT456:CU456" si="1019">CT441</f>
        <v>39843</v>
      </c>
      <c r="CU456" s="897">
        <f t="shared" si="1019"/>
        <v>0</v>
      </c>
      <c r="DC456" s="664"/>
      <c r="DF456" s="900">
        <f t="shared" ref="DF456:DG456" si="1020">DF441</f>
        <v>39843</v>
      </c>
      <c r="DG456" s="897">
        <f t="shared" si="1020"/>
        <v>0</v>
      </c>
      <c r="DO456" s="664"/>
    </row>
    <row r="457" spans="2:119" hidden="1" x14ac:dyDescent="0.25">
      <c r="B457" s="900">
        <f t="shared" ref="B457:C457" si="1021">B442</f>
        <v>39843</v>
      </c>
      <c r="C457" s="897">
        <f t="shared" si="1021"/>
        <v>0</v>
      </c>
      <c r="K457" s="664"/>
      <c r="N457" s="900">
        <f t="shared" ref="N457:O457" si="1022">N442</f>
        <v>39843</v>
      </c>
      <c r="O457" s="897">
        <f t="shared" si="1022"/>
        <v>0</v>
      </c>
      <c r="U457" s="663"/>
      <c r="W457" s="664"/>
      <c r="Z457" s="900">
        <f t="shared" ref="Z457:AA457" si="1023">Z442</f>
        <v>39843</v>
      </c>
      <c r="AA457" s="897">
        <f t="shared" si="1023"/>
        <v>0</v>
      </c>
      <c r="AB457" s="663"/>
      <c r="AC457" s="663"/>
      <c r="AD457" s="663"/>
      <c r="AE457" s="663"/>
      <c r="AF457" s="663"/>
      <c r="AG457" s="663"/>
      <c r="AH457" s="663"/>
      <c r="AI457" s="664"/>
      <c r="AL457" s="900">
        <f t="shared" ref="AL457:AM457" si="1024">AL442</f>
        <v>39843</v>
      </c>
      <c r="AM457" s="897">
        <f t="shared" si="1024"/>
        <v>0</v>
      </c>
      <c r="AN457" s="663"/>
      <c r="AU457" s="664"/>
      <c r="AX457" s="900">
        <f t="shared" ref="AX457:AY457" si="1025">AX442</f>
        <v>39843</v>
      </c>
      <c r="AY457" s="897">
        <f t="shared" si="1025"/>
        <v>0</v>
      </c>
      <c r="BG457" s="664"/>
      <c r="BJ457" s="900">
        <f t="shared" ref="BJ457:BK457" si="1026">BJ442</f>
        <v>39843</v>
      </c>
      <c r="BK457" s="897">
        <f t="shared" si="1026"/>
        <v>0</v>
      </c>
      <c r="BS457" s="664"/>
      <c r="BV457" s="900">
        <f t="shared" ref="BV457:BW457" si="1027">BV442</f>
        <v>39843</v>
      </c>
      <c r="BW457" s="897">
        <f t="shared" si="1027"/>
        <v>0</v>
      </c>
      <c r="CE457" s="664"/>
      <c r="CH457" s="900">
        <f t="shared" ref="CH457:CI457" si="1028">CH442</f>
        <v>39843</v>
      </c>
      <c r="CI457" s="897">
        <f t="shared" si="1028"/>
        <v>0</v>
      </c>
      <c r="CQ457" s="664"/>
      <c r="CT457" s="900">
        <f t="shared" ref="CT457:CU457" si="1029">CT442</f>
        <v>39843</v>
      </c>
      <c r="CU457" s="897">
        <f t="shared" si="1029"/>
        <v>0</v>
      </c>
      <c r="DC457" s="664"/>
      <c r="DF457" s="900">
        <f t="shared" ref="DF457:DG457" si="1030">DF442</f>
        <v>39843</v>
      </c>
      <c r="DG457" s="897">
        <f t="shared" si="1030"/>
        <v>0</v>
      </c>
      <c r="DO457" s="664"/>
    </row>
    <row r="458" spans="2:119" hidden="1" x14ac:dyDescent="0.25">
      <c r="B458" s="900">
        <f t="shared" ref="B458:C458" si="1031">B443</f>
        <v>39843</v>
      </c>
      <c r="C458" s="897">
        <f t="shared" si="1031"/>
        <v>0</v>
      </c>
      <c r="K458" s="664"/>
      <c r="N458" s="900">
        <f t="shared" ref="N458:O458" si="1032">N443</f>
        <v>39843</v>
      </c>
      <c r="O458" s="897">
        <f t="shared" si="1032"/>
        <v>0</v>
      </c>
      <c r="U458" s="663"/>
      <c r="W458" s="664"/>
      <c r="Z458" s="900">
        <f t="shared" ref="Z458:AA458" si="1033">Z443</f>
        <v>39843</v>
      </c>
      <c r="AA458" s="897">
        <f t="shared" si="1033"/>
        <v>0</v>
      </c>
      <c r="AB458" s="663"/>
      <c r="AC458" s="663"/>
      <c r="AD458" s="663"/>
      <c r="AE458" s="663"/>
      <c r="AF458" s="663"/>
      <c r="AG458" s="663"/>
      <c r="AH458" s="663"/>
      <c r="AI458" s="664"/>
      <c r="AL458" s="900">
        <f t="shared" ref="AL458:AM458" si="1034">AL443</f>
        <v>39843</v>
      </c>
      <c r="AM458" s="897">
        <f t="shared" si="1034"/>
        <v>0</v>
      </c>
      <c r="AN458" s="663"/>
      <c r="AU458" s="664"/>
      <c r="AX458" s="900">
        <f t="shared" ref="AX458:AY458" si="1035">AX443</f>
        <v>39843</v>
      </c>
      <c r="AY458" s="897">
        <f t="shared" si="1035"/>
        <v>0</v>
      </c>
      <c r="BG458" s="664"/>
      <c r="BJ458" s="900">
        <f t="shared" ref="BJ458:BK458" si="1036">BJ443</f>
        <v>39843</v>
      </c>
      <c r="BK458" s="897">
        <f t="shared" si="1036"/>
        <v>0</v>
      </c>
      <c r="BS458" s="664"/>
      <c r="BV458" s="900">
        <f t="shared" ref="BV458:BW458" si="1037">BV443</f>
        <v>39843</v>
      </c>
      <c r="BW458" s="897">
        <f t="shared" si="1037"/>
        <v>0</v>
      </c>
      <c r="CE458" s="664"/>
      <c r="CH458" s="900">
        <f t="shared" ref="CH458:CI458" si="1038">CH443</f>
        <v>39843</v>
      </c>
      <c r="CI458" s="897">
        <f t="shared" si="1038"/>
        <v>0</v>
      </c>
      <c r="CQ458" s="664"/>
      <c r="CT458" s="900">
        <f t="shared" ref="CT458:CU458" si="1039">CT443</f>
        <v>39843</v>
      </c>
      <c r="CU458" s="897">
        <f t="shared" si="1039"/>
        <v>0</v>
      </c>
      <c r="DC458" s="664"/>
      <c r="DF458" s="900">
        <f t="shared" ref="DF458:DG458" si="1040">DF443</f>
        <v>39843</v>
      </c>
      <c r="DG458" s="897">
        <f t="shared" si="1040"/>
        <v>0</v>
      </c>
      <c r="DO458" s="664"/>
    </row>
    <row r="459" spans="2:119" hidden="1" x14ac:dyDescent="0.25">
      <c r="B459" s="900">
        <f t="shared" ref="B459:C459" si="1041">B444</f>
        <v>39843</v>
      </c>
      <c r="C459" s="897">
        <f t="shared" si="1041"/>
        <v>0</v>
      </c>
      <c r="K459" s="664"/>
      <c r="N459" s="900">
        <f t="shared" ref="N459:O459" si="1042">N444</f>
        <v>39843</v>
      </c>
      <c r="O459" s="897">
        <f t="shared" si="1042"/>
        <v>0</v>
      </c>
      <c r="U459" s="663"/>
      <c r="W459" s="664"/>
      <c r="Z459" s="900">
        <f t="shared" ref="Z459:AA459" si="1043">Z444</f>
        <v>39843</v>
      </c>
      <c r="AA459" s="897">
        <f t="shared" si="1043"/>
        <v>0</v>
      </c>
      <c r="AB459" s="663"/>
      <c r="AC459" s="663"/>
      <c r="AD459" s="663"/>
      <c r="AE459" s="663"/>
      <c r="AF459" s="663"/>
      <c r="AG459" s="663"/>
      <c r="AH459" s="663"/>
      <c r="AI459" s="664"/>
      <c r="AL459" s="900">
        <f t="shared" ref="AL459:AM459" si="1044">AL444</f>
        <v>39843</v>
      </c>
      <c r="AM459" s="897">
        <f t="shared" si="1044"/>
        <v>0</v>
      </c>
      <c r="AN459" s="663"/>
      <c r="AU459" s="664"/>
      <c r="AX459" s="900">
        <f t="shared" ref="AX459:AY459" si="1045">AX444</f>
        <v>39843</v>
      </c>
      <c r="AY459" s="897">
        <f t="shared" si="1045"/>
        <v>0</v>
      </c>
      <c r="BG459" s="664"/>
      <c r="BJ459" s="900">
        <f t="shared" ref="BJ459:BK459" si="1046">BJ444</f>
        <v>39843</v>
      </c>
      <c r="BK459" s="897">
        <f t="shared" si="1046"/>
        <v>0</v>
      </c>
      <c r="BS459" s="664"/>
      <c r="BV459" s="900">
        <f t="shared" ref="BV459:BW459" si="1047">BV444</f>
        <v>39843</v>
      </c>
      <c r="BW459" s="897">
        <f t="shared" si="1047"/>
        <v>0</v>
      </c>
      <c r="CE459" s="664"/>
      <c r="CH459" s="900">
        <f t="shared" ref="CH459:CI459" si="1048">CH444</f>
        <v>39843</v>
      </c>
      <c r="CI459" s="897">
        <f t="shared" si="1048"/>
        <v>0</v>
      </c>
      <c r="CQ459" s="664"/>
      <c r="CT459" s="900">
        <f t="shared" ref="CT459:CU459" si="1049">CT444</f>
        <v>39843</v>
      </c>
      <c r="CU459" s="897">
        <f t="shared" si="1049"/>
        <v>0</v>
      </c>
      <c r="DC459" s="664"/>
      <c r="DF459" s="900">
        <f t="shared" ref="DF459:DG459" si="1050">DF444</f>
        <v>39843</v>
      </c>
      <c r="DG459" s="897">
        <f t="shared" si="1050"/>
        <v>0</v>
      </c>
      <c r="DO459" s="664"/>
    </row>
    <row r="460" spans="2:119" hidden="1" x14ac:dyDescent="0.25">
      <c r="B460" s="900">
        <f t="shared" ref="B460:C460" si="1051">B445</f>
        <v>39843</v>
      </c>
      <c r="C460" s="897">
        <f t="shared" si="1051"/>
        <v>0</v>
      </c>
      <c r="K460" s="664"/>
      <c r="N460" s="900">
        <f t="shared" ref="N460:O460" si="1052">N445</f>
        <v>39843</v>
      </c>
      <c r="O460" s="897">
        <f t="shared" si="1052"/>
        <v>0</v>
      </c>
      <c r="U460" s="663"/>
      <c r="W460" s="664"/>
      <c r="Z460" s="900">
        <f t="shared" ref="Z460:AA460" si="1053">Z445</f>
        <v>39843</v>
      </c>
      <c r="AA460" s="897">
        <f t="shared" si="1053"/>
        <v>0</v>
      </c>
      <c r="AB460" s="663"/>
      <c r="AC460" s="663"/>
      <c r="AD460" s="663"/>
      <c r="AE460" s="663"/>
      <c r="AF460" s="663"/>
      <c r="AG460" s="663"/>
      <c r="AH460" s="663"/>
      <c r="AI460" s="664"/>
      <c r="AL460" s="900">
        <f t="shared" ref="AL460:AM460" si="1054">AL445</f>
        <v>39843</v>
      </c>
      <c r="AM460" s="897">
        <f t="shared" si="1054"/>
        <v>0</v>
      </c>
      <c r="AN460" s="663"/>
      <c r="AU460" s="664"/>
      <c r="AX460" s="900">
        <f t="shared" ref="AX460:AY460" si="1055">AX445</f>
        <v>39843</v>
      </c>
      <c r="AY460" s="897">
        <f t="shared" si="1055"/>
        <v>0</v>
      </c>
      <c r="BG460" s="664"/>
      <c r="BJ460" s="900">
        <f t="shared" ref="BJ460:BK460" si="1056">BJ445</f>
        <v>39843</v>
      </c>
      <c r="BK460" s="897">
        <f t="shared" si="1056"/>
        <v>0</v>
      </c>
      <c r="BS460" s="664"/>
      <c r="BV460" s="900">
        <f t="shared" ref="BV460:BW460" si="1057">BV445</f>
        <v>39843</v>
      </c>
      <c r="BW460" s="897">
        <f t="shared" si="1057"/>
        <v>0</v>
      </c>
      <c r="CE460" s="664"/>
      <c r="CH460" s="900">
        <f t="shared" ref="CH460:CI460" si="1058">CH445</f>
        <v>39843</v>
      </c>
      <c r="CI460" s="897">
        <f t="shared" si="1058"/>
        <v>0</v>
      </c>
      <c r="CQ460" s="664"/>
      <c r="CT460" s="900">
        <f t="shared" ref="CT460:CU460" si="1059">CT445</f>
        <v>39843</v>
      </c>
      <c r="CU460" s="897">
        <f t="shared" si="1059"/>
        <v>0</v>
      </c>
      <c r="DC460" s="664"/>
      <c r="DF460" s="900">
        <f t="shared" ref="DF460:DG460" si="1060">DF445</f>
        <v>39843</v>
      </c>
      <c r="DG460" s="897">
        <f t="shared" si="1060"/>
        <v>0</v>
      </c>
      <c r="DO460" s="664"/>
    </row>
    <row r="461" spans="2:119" hidden="1" x14ac:dyDescent="0.25">
      <c r="B461" s="896">
        <f>B446+$C$56</f>
        <v>41359</v>
      </c>
      <c r="C461" s="897">
        <f ca="1">C446</f>
        <v>0</v>
      </c>
      <c r="K461" s="664"/>
      <c r="N461" s="896">
        <f>N446+$C$56</f>
        <v>41359</v>
      </c>
      <c r="O461" s="897">
        <f ca="1">O446</f>
        <v>0</v>
      </c>
      <c r="U461" s="663"/>
      <c r="W461" s="664"/>
      <c r="Z461" s="896">
        <f>Z446+$C$56</f>
        <v>41359</v>
      </c>
      <c r="AA461" s="897">
        <f ca="1">AA446</f>
        <v>0</v>
      </c>
      <c r="AB461" s="663"/>
      <c r="AC461" s="663"/>
      <c r="AD461" s="663"/>
      <c r="AE461" s="663"/>
      <c r="AF461" s="663"/>
      <c r="AG461" s="663"/>
      <c r="AH461" s="663"/>
      <c r="AI461" s="664"/>
      <c r="AL461" s="896">
        <f>AL446+$C$56</f>
        <v>41359</v>
      </c>
      <c r="AM461" s="897">
        <f ca="1">AM446</f>
        <v>0</v>
      </c>
      <c r="AN461" s="663"/>
      <c r="AU461" s="664"/>
      <c r="AX461" s="896">
        <f>AX446+$C$56</f>
        <v>41359</v>
      </c>
      <c r="AY461" s="897">
        <f ca="1">AY446</f>
        <v>0</v>
      </c>
      <c r="BG461" s="664"/>
      <c r="BJ461" s="896">
        <f>BJ446+$C$56</f>
        <v>41359</v>
      </c>
      <c r="BK461" s="897">
        <f ca="1">BK446</f>
        <v>0</v>
      </c>
      <c r="BS461" s="664"/>
      <c r="BV461" s="896">
        <f>BV446+$C$56</f>
        <v>41359</v>
      </c>
      <c r="BW461" s="897">
        <f ca="1">BW446</f>
        <v>0</v>
      </c>
      <c r="CE461" s="664"/>
      <c r="CH461" s="896">
        <f>CH446+$C$56</f>
        <v>41359</v>
      </c>
      <c r="CI461" s="897">
        <f ca="1">CI446</f>
        <v>0</v>
      </c>
      <c r="CQ461" s="664"/>
      <c r="CT461" s="896">
        <f>CT446+$C$56</f>
        <v>41359</v>
      </c>
      <c r="CU461" s="897">
        <f ca="1">CU446</f>
        <v>0</v>
      </c>
      <c r="DC461" s="664"/>
      <c r="DF461" s="896">
        <f>DF446+$C$56</f>
        <v>41359</v>
      </c>
      <c r="DG461" s="897">
        <f ca="1">DG446</f>
        <v>0</v>
      </c>
      <c r="DO461" s="664"/>
    </row>
    <row r="462" spans="2:119" hidden="1" x14ac:dyDescent="0.25">
      <c r="B462" s="898">
        <f>IF(C451&lt;&gt;0,ROW(C451),IF(C452&lt;&gt;0,ROW(C452),IF(C453&lt;&gt;0,ROW(C453),IF(C454&lt;&gt;0,ROW(C454),IF(C455&lt;&gt;0,ROW(C455),IF(C456&lt;&gt;0,ROW(C456),IF(C457&lt;&gt;0,ROW(C457),IF(C458&lt;&gt;0,ROW(C458),IF(C459&lt;&gt;0,ROW(C459),IF(C460&lt;&gt;0,ROW(C460)))))))))))</f>
        <v>451</v>
      </c>
      <c r="C462" s="882" t="e">
        <f ca="1">IF(ISERROR(XIRR(INDIRECT(B464):C461,INDIRECT(B463):B461,-20%)),XIRR(INDIRECT(B464):C461,INDIRECT(B463):B461,20%),"N/A")</f>
        <v>#NUM!</v>
      </c>
      <c r="K462" s="664"/>
      <c r="N462" s="898">
        <f>IF(O451&lt;&gt;0,ROW(O451),IF(O452&lt;&gt;0,ROW(O452),IF(O453&lt;&gt;0,ROW(O453),IF(O454&lt;&gt;0,ROW(O454),IF(O455&lt;&gt;0,ROW(O455),IF(O456&lt;&gt;0,ROW(O456),IF(O457&lt;&gt;0,ROW(O457),IF(O458&lt;&gt;0,ROW(O458),IF(O459&lt;&gt;0,ROW(O459),IF(O460&lt;&gt;0,ROW(O460)))))))))))</f>
        <v>451</v>
      </c>
      <c r="O462" s="882" t="e">
        <f ca="1">IF(ISERROR(XIRR(INDIRECT(N464):O461,INDIRECT(N463):N461,-20%)),XIRR(INDIRECT(N464):O461,INDIRECT(N463):N461,20%),"N/A")</f>
        <v>#NUM!</v>
      </c>
      <c r="U462" s="663"/>
      <c r="W462" s="664"/>
      <c r="Z462" s="898">
        <f>IF(AA451&lt;&gt;0,ROW(AA451),IF(AA452&lt;&gt;0,ROW(AA452),IF(AA453&lt;&gt;0,ROW(AA453),IF(AA454&lt;&gt;0,ROW(AA454),IF(AA455&lt;&gt;0,ROW(AA455),IF(AA456&lt;&gt;0,ROW(AA456),IF(AA457&lt;&gt;0,ROW(AA457),IF(AA458&lt;&gt;0,ROW(AA458),IF(AA459&lt;&gt;0,ROW(AA459),IF(AA460&lt;&gt;0,ROW(AA460)))))))))))</f>
        <v>451</v>
      </c>
      <c r="AA462" s="882" t="e">
        <f ca="1">IF(ISERROR(XIRR(INDIRECT(Z464):AA461,INDIRECT(Z463):Z461,-20%)),XIRR(INDIRECT(Z464):AA461,INDIRECT(Z463):Z461,20%),"N/A")</f>
        <v>#NUM!</v>
      </c>
      <c r="AB462" s="663"/>
      <c r="AC462" s="663"/>
      <c r="AD462" s="663"/>
      <c r="AE462" s="663"/>
      <c r="AF462" s="663"/>
      <c r="AG462" s="663"/>
      <c r="AH462" s="663"/>
      <c r="AI462" s="664"/>
      <c r="AL462" s="898">
        <f>IF(AM451&lt;&gt;0,ROW(AM451),IF(AM452&lt;&gt;0,ROW(AM452),IF(AM453&lt;&gt;0,ROW(AM453),IF(AM454&lt;&gt;0,ROW(AM454),IF(AM455&lt;&gt;0,ROW(AM455),IF(AM456&lt;&gt;0,ROW(AM456),IF(AM457&lt;&gt;0,ROW(AM457),IF(AM458&lt;&gt;0,ROW(AM458),IF(AM459&lt;&gt;0,ROW(AM459),IF(AM460&lt;&gt;0,ROW(AM460)))))))))))</f>
        <v>451</v>
      </c>
      <c r="AM462" s="882" t="e">
        <f ca="1">IF(ISERROR(XIRR(INDIRECT(AL464):AM461,INDIRECT(AL463):AL461,-20%)),XIRR(INDIRECT(AL464):AM461,INDIRECT(AL463):AL461,20%),"N/A")</f>
        <v>#NUM!</v>
      </c>
      <c r="AN462" s="663"/>
      <c r="AU462" s="664"/>
      <c r="AX462" s="898">
        <f>IF(AY451&lt;&gt;0,ROW(AY451),IF(AY452&lt;&gt;0,ROW(AY452),IF(AY453&lt;&gt;0,ROW(AY453),IF(AY454&lt;&gt;0,ROW(AY454),IF(AY455&lt;&gt;0,ROW(AY455),IF(AY456&lt;&gt;0,ROW(AY456),IF(AY457&lt;&gt;0,ROW(AY457),IF(AY458&lt;&gt;0,ROW(AY458),IF(AY459&lt;&gt;0,ROW(AY459),IF(AY460&lt;&gt;0,ROW(AY460)))))))))))</f>
        <v>451</v>
      </c>
      <c r="AY462" s="882" t="e">
        <f ca="1">IF(ISERROR(XIRR(INDIRECT(AX464):AY461,INDIRECT(AX463):AX461,-20%)),XIRR(INDIRECT(AX464):AY461,INDIRECT(AX463):AX461,20%),"N/A")</f>
        <v>#NUM!</v>
      </c>
      <c r="BG462" s="664"/>
      <c r="BJ462" s="898">
        <f>IF(BK451&lt;&gt;0,ROW(BK451),IF(BK452&lt;&gt;0,ROW(BK452),IF(BK453&lt;&gt;0,ROW(BK453),IF(BK454&lt;&gt;0,ROW(BK454),IF(BK455&lt;&gt;0,ROW(BK455),IF(BK456&lt;&gt;0,ROW(BK456),IF(BK457&lt;&gt;0,ROW(BK457),IF(BK458&lt;&gt;0,ROW(BK458),IF(BK459&lt;&gt;0,ROW(BK459),IF(BK460&lt;&gt;0,ROW(BK460)))))))))))</f>
        <v>451</v>
      </c>
      <c r="BK462" s="882" t="e">
        <f ca="1">IF(ISERROR(XIRR(INDIRECT(BJ464):BK461,INDIRECT(BJ463):BJ461,-20%)),XIRR(INDIRECT(BJ464):BK461,INDIRECT(BJ463):BJ461,20%),"N/A")</f>
        <v>#NUM!</v>
      </c>
      <c r="BS462" s="664"/>
      <c r="BV462" s="898">
        <f>IF(BW451&lt;&gt;0,ROW(BW451),IF(BW452&lt;&gt;0,ROW(BW452),IF(BW453&lt;&gt;0,ROW(BW453),IF(BW454&lt;&gt;0,ROW(BW454),IF(BW455&lt;&gt;0,ROW(BW455),IF(BW456&lt;&gt;0,ROW(BW456),IF(BW457&lt;&gt;0,ROW(BW457),IF(BW458&lt;&gt;0,ROW(BW458),IF(BW459&lt;&gt;0,ROW(BW459),IF(BW460&lt;&gt;0,ROW(BW460)))))))))))</f>
        <v>451</v>
      </c>
      <c r="BW462" s="882" t="e">
        <f ca="1">IF(ISERROR(XIRR(INDIRECT(BV464):BW461,INDIRECT(BV463):BV461,-20%)),XIRR(INDIRECT(BV464):BW461,INDIRECT(BV463):BV461,20%),"N/A")</f>
        <v>#NUM!</v>
      </c>
      <c r="CE462" s="664"/>
      <c r="CH462" s="898">
        <f>IF(CI451&lt;&gt;0,ROW(CI451),IF(CI452&lt;&gt;0,ROW(CI452),IF(CI453&lt;&gt;0,ROW(CI453),IF(CI454&lt;&gt;0,ROW(CI454),IF(CI455&lt;&gt;0,ROW(CI455),IF(CI456&lt;&gt;0,ROW(CI456),IF(CI457&lt;&gt;0,ROW(CI457),IF(CI458&lt;&gt;0,ROW(CI458),IF(CI459&lt;&gt;0,ROW(CI459),IF(CI460&lt;&gt;0,ROW(CI460)))))))))))</f>
        <v>451</v>
      </c>
      <c r="CI462" s="882" t="e">
        <f ca="1">IF(ISERROR(XIRR(INDIRECT(CH464):CI461,INDIRECT(CH463):CH461,-20%)),XIRR(INDIRECT(CH464):CI461,INDIRECT(CH463):CH461,20%),"N/A")</f>
        <v>#NUM!</v>
      </c>
      <c r="CQ462" s="664"/>
      <c r="CT462" s="898">
        <f>IF(CU451&lt;&gt;0,ROW(CU451),IF(CU452&lt;&gt;0,ROW(CU452),IF(CU453&lt;&gt;0,ROW(CU453),IF(CU454&lt;&gt;0,ROW(CU454),IF(CU455&lt;&gt;0,ROW(CU455),IF(CU456&lt;&gt;0,ROW(CU456),IF(CU457&lt;&gt;0,ROW(CU457),IF(CU458&lt;&gt;0,ROW(CU458),IF(CU459&lt;&gt;0,ROW(CU459),IF(CU460&lt;&gt;0,ROW(CU460)))))))))))</f>
        <v>451</v>
      </c>
      <c r="CU462" s="882" t="e">
        <f ca="1">IF(ISERROR(XIRR(INDIRECT(CT464):CU461,INDIRECT(CT463):CT461,-20%)),XIRR(INDIRECT(CT464):CU461,INDIRECT(CT463):CT461,20%),"N/A")</f>
        <v>#NUM!</v>
      </c>
      <c r="DC462" s="664"/>
      <c r="DF462" s="898">
        <f>IF(DG451&lt;&gt;0,ROW(DG451),IF(DG452&lt;&gt;0,ROW(DG452),IF(DG453&lt;&gt;0,ROW(DG453),IF(DG454&lt;&gt;0,ROW(DG454),IF(DG455&lt;&gt;0,ROW(DG455),IF(DG456&lt;&gt;0,ROW(DG456),IF(DG457&lt;&gt;0,ROW(DG457),IF(DG458&lt;&gt;0,ROW(DG458),IF(DG459&lt;&gt;0,ROW(DG459),IF(DG460&lt;&gt;0,ROW(DG460)))))))))))</f>
        <v>451</v>
      </c>
      <c r="DG462" s="882" t="e">
        <f ca="1">IF(ISERROR(XIRR(INDIRECT(DF464):DG461,INDIRECT(DF463):DF461,-20%)),XIRR(INDIRECT(DF464):DG461,INDIRECT(DF463):DF461,20%),"N/A")</f>
        <v>#NUM!</v>
      </c>
      <c r="DO462" s="664"/>
    </row>
    <row r="463" spans="2:119" hidden="1" x14ac:dyDescent="0.25">
      <c r="B463" s="899" t="str">
        <f>CONCATENATE(CHAR(64+COLUMN(B462)),B462)</f>
        <v>B451</v>
      </c>
      <c r="C463" s="897"/>
      <c r="K463" s="664"/>
      <c r="N463" s="899" t="str">
        <f>CONCATENATE(CHAR(64+COLUMN(N462)),N462)</f>
        <v>N451</v>
      </c>
      <c r="O463" s="897"/>
      <c r="U463" s="663"/>
      <c r="W463" s="664"/>
      <c r="Z463" s="899" t="str">
        <f>CONCATENATE(IF(COLUMN(Z462)&lt;=26,CHAR(96+COLUMN(Z462)),(CHAR(96+(ROUNDDOWN((COLUMN(Z462)-1)/26,0)))&amp;CHAR(96+IF(MOD(COLUMN(Z462),26)=0,26,MOD(COLUMN(Z462),26))))),Z462)</f>
        <v>z451</v>
      </c>
      <c r="AA463" s="897"/>
      <c r="AB463" s="663"/>
      <c r="AC463" s="663"/>
      <c r="AD463" s="663"/>
      <c r="AE463" s="663"/>
      <c r="AF463" s="663"/>
      <c r="AG463" s="663"/>
      <c r="AH463" s="663"/>
      <c r="AI463" s="664"/>
      <c r="AL463" s="899" t="str">
        <f>CONCATENATE(IF(COLUMN(AL462)&lt;=26,CHAR(96+COLUMN(AL462)),(CHAR(96+(ROUNDDOWN((COLUMN(AL462)-1)/26,0)))&amp;CHAR(96+IF(MOD(COLUMN(AL462),26)=0,26,MOD(COLUMN(AL462),26))))),AL462)</f>
        <v>al451</v>
      </c>
      <c r="AM463" s="897"/>
      <c r="AN463" s="663"/>
      <c r="AU463" s="664"/>
      <c r="AX463" s="899" t="str">
        <f>CONCATENATE(IF(COLUMN(AX462)&lt;=26,CHAR(96+COLUMN(AX462)),(CHAR(96+(ROUNDDOWN((COLUMN(AX462)-1)/26,0)))&amp;CHAR(96+IF(MOD(COLUMN(AX462),26)=0,26,MOD(COLUMN(AX462),26))))),AX462)</f>
        <v>ax451</v>
      </c>
      <c r="AY463" s="897"/>
      <c r="BG463" s="664"/>
      <c r="BJ463" s="899" t="str">
        <f>CONCATENATE(IF(COLUMN(BJ462)&lt;=26,CHAR(96+COLUMN(BJ462)),(CHAR(96+(ROUNDDOWN((COLUMN(BJ462)-1)/26,0)))&amp;CHAR(96+IF(MOD(COLUMN(BJ462),26)=0,26,MOD(COLUMN(BJ462),26))))),BJ462)</f>
        <v>bj451</v>
      </c>
      <c r="BK463" s="897"/>
      <c r="BS463" s="664"/>
      <c r="BV463" s="899" t="str">
        <f>CONCATENATE(IF(COLUMN(BV462)&lt;=26,CHAR(96+COLUMN(BV462)),(CHAR(96+(ROUNDDOWN((COLUMN(BV462)-1)/26,0)))&amp;CHAR(96+IF(MOD(COLUMN(BV462),26)=0,26,MOD(COLUMN(BV462),26))))),BV462)</f>
        <v>bv451</v>
      </c>
      <c r="BW463" s="897"/>
      <c r="CE463" s="664"/>
      <c r="CH463" s="899" t="str">
        <f>CONCATENATE(IF(COLUMN(CH462)&lt;=26,CHAR(96+COLUMN(CH462)),(CHAR(96+(ROUNDDOWN((COLUMN(CH462)-1)/26,0)))&amp;CHAR(96+IF(MOD(COLUMN(CH462),26)=0,26,MOD(COLUMN(CH462),26))))),CH462)</f>
        <v>ch451</v>
      </c>
      <c r="CI463" s="897"/>
      <c r="CQ463" s="664"/>
      <c r="CT463" s="899" t="str">
        <f>CONCATENATE(IF(COLUMN(CT462)&lt;=26,CHAR(96+COLUMN(CT462)),(CHAR(96+(ROUNDDOWN((COLUMN(CT462)-1)/26,0)))&amp;CHAR(96+IF(MOD(COLUMN(CT462),26)=0,26,MOD(COLUMN(CT462),26))))),CT462)</f>
        <v>ct451</v>
      </c>
      <c r="CU463" s="897"/>
      <c r="DC463" s="664"/>
      <c r="DF463" s="899" t="str">
        <f>CONCATENATE(IF(COLUMN(DF462)&lt;=26,CHAR(96+COLUMN(DF462)),(CHAR(96+(ROUNDDOWN((COLUMN(DF462)-1)/26,0)))&amp;CHAR(96+IF(MOD(COLUMN(DF462),26)=0,26,MOD(COLUMN(DF462),26))))),DF462)</f>
        <v>df451</v>
      </c>
      <c r="DG463" s="897"/>
      <c r="DO463" s="664"/>
    </row>
    <row r="464" spans="2:119" hidden="1" x14ac:dyDescent="0.25">
      <c r="B464" s="899" t="str">
        <f>CONCATENATE(CHAR(64+COLUMN(C462)),B462)</f>
        <v>C451</v>
      </c>
      <c r="C464" s="897"/>
      <c r="K464" s="664"/>
      <c r="N464" s="899" t="str">
        <f>CONCATENATE(CHAR(64+COLUMN(O462)),N462)</f>
        <v>O451</v>
      </c>
      <c r="O464" s="897"/>
      <c r="U464" s="663"/>
      <c r="W464" s="664"/>
      <c r="Z464" s="899" t="str">
        <f>CONCATENATE(IF(COLUMN(AA462)&lt;=26,CHAR(96+COLUMN(AA462)),(CHAR(96+(ROUNDDOWN((COLUMN(AA462)-1)/26,0)))&amp;CHAR(96+IF(MOD(COLUMN(AA462),26)=0,26,MOD(COLUMN(AA462),26))))),Z462)</f>
        <v>aa451</v>
      </c>
      <c r="AA464" s="897"/>
      <c r="AB464" s="663"/>
      <c r="AC464" s="663"/>
      <c r="AD464" s="663"/>
      <c r="AE464" s="663"/>
      <c r="AF464" s="663"/>
      <c r="AG464" s="663"/>
      <c r="AH464" s="663"/>
      <c r="AI464" s="664"/>
      <c r="AL464" s="899" t="str">
        <f>CONCATENATE(IF(COLUMN(AM462)&lt;=26,CHAR(96+COLUMN(AM462)),(CHAR(96+(ROUNDDOWN((COLUMN(AM462)-1)/26,0)))&amp;CHAR(96+IF(MOD(COLUMN(AM462),26)=0,26,MOD(COLUMN(AM462),26))))),AL462)</f>
        <v>am451</v>
      </c>
      <c r="AM464" s="897"/>
      <c r="AN464" s="663"/>
      <c r="AU464" s="664"/>
      <c r="AX464" s="899" t="str">
        <f>CONCATENATE(IF(COLUMN(AY462)&lt;=26,CHAR(96+COLUMN(AY462)),(CHAR(96+(ROUNDDOWN((COLUMN(AY462)-1)/26,0)))&amp;CHAR(96+IF(MOD(COLUMN(AY462),26)=0,26,MOD(COLUMN(AY462),26))))),AX462)</f>
        <v>ay451</v>
      </c>
      <c r="AY464" s="897"/>
      <c r="BG464" s="664"/>
      <c r="BJ464" s="899" t="str">
        <f>CONCATENATE(IF(COLUMN(BK462)&lt;=26,CHAR(96+COLUMN(BK462)),(CHAR(96+(ROUNDDOWN((COLUMN(BK462)-1)/26,0)))&amp;CHAR(96+IF(MOD(COLUMN(BK462),26)=0,26,MOD(COLUMN(BK462),26))))),BJ462)</f>
        <v>bk451</v>
      </c>
      <c r="BK464" s="897"/>
      <c r="BS464" s="664"/>
      <c r="BV464" s="899" t="str">
        <f>CONCATENATE(IF(COLUMN(BW462)&lt;=26,CHAR(96+COLUMN(BW462)),(CHAR(96+(ROUNDDOWN((COLUMN(BW462)-1)/26,0)))&amp;CHAR(96+IF(MOD(COLUMN(BW462),26)=0,26,MOD(COLUMN(BW462),26))))),BV462)</f>
        <v>bw451</v>
      </c>
      <c r="BW464" s="897"/>
      <c r="CE464" s="664"/>
      <c r="CH464" s="899" t="str">
        <f>CONCATENATE(IF(COLUMN(CI462)&lt;=26,CHAR(96+COLUMN(CI462)),(CHAR(96+(ROUNDDOWN((COLUMN(CI462)-1)/26,0)))&amp;CHAR(96+IF(MOD(COLUMN(CI462),26)=0,26,MOD(COLUMN(CI462),26))))),CH462)</f>
        <v>ci451</v>
      </c>
      <c r="CI464" s="897"/>
      <c r="CQ464" s="664"/>
      <c r="CT464" s="899" t="str">
        <f>CONCATENATE(IF(COLUMN(CU462)&lt;=26,CHAR(96+COLUMN(CU462)),(CHAR(96+(ROUNDDOWN((COLUMN(CU462)-1)/26,0)))&amp;CHAR(96+IF(MOD(COLUMN(CU462),26)=0,26,MOD(COLUMN(CU462),26))))),CT462)</f>
        <v>cu451</v>
      </c>
      <c r="CU464" s="897"/>
      <c r="DC464" s="664"/>
      <c r="DF464" s="899" t="str">
        <f>CONCATENATE(IF(COLUMN(DG462)&lt;=26,CHAR(96+COLUMN(DG462)),(CHAR(96+(ROUNDDOWN((COLUMN(DG462)-1)/26,0)))&amp;CHAR(96+IF(MOD(COLUMN(DG462),26)=0,26,MOD(COLUMN(DG462),26))))),DF462)</f>
        <v>dg451</v>
      </c>
      <c r="DG464" s="897"/>
      <c r="DO464" s="664"/>
    </row>
    <row r="465" spans="2:119" hidden="1" x14ac:dyDescent="0.25">
      <c r="B465" s="896"/>
      <c r="C465" s="897"/>
      <c r="K465" s="664"/>
      <c r="N465" s="896"/>
      <c r="O465" s="897"/>
      <c r="U465" s="663"/>
      <c r="W465" s="664"/>
      <c r="Z465" s="896"/>
      <c r="AA465" s="897"/>
      <c r="AB465" s="663"/>
      <c r="AC465" s="663"/>
      <c r="AD465" s="663"/>
      <c r="AE465" s="663"/>
      <c r="AF465" s="663"/>
      <c r="AG465" s="663"/>
      <c r="AH465" s="663"/>
      <c r="AI465" s="664"/>
      <c r="AL465" s="896"/>
      <c r="AM465" s="897"/>
      <c r="AN465" s="663"/>
      <c r="AU465" s="664"/>
      <c r="AX465" s="896"/>
      <c r="AY465" s="897"/>
      <c r="BG465" s="664"/>
      <c r="BJ465" s="896"/>
      <c r="BK465" s="897"/>
      <c r="BS465" s="664"/>
      <c r="BV465" s="896"/>
      <c r="BW465" s="897"/>
      <c r="CE465" s="664"/>
      <c r="CH465" s="896"/>
      <c r="CI465" s="897"/>
      <c r="CQ465" s="664"/>
      <c r="CT465" s="896"/>
      <c r="CU465" s="897"/>
      <c r="DC465" s="664"/>
      <c r="DF465" s="896"/>
      <c r="DG465" s="897"/>
      <c r="DO465" s="664"/>
    </row>
    <row r="466" spans="2:119" hidden="1" x14ac:dyDescent="0.25">
      <c r="B466" s="896">
        <f>B451</f>
        <v>39113</v>
      </c>
      <c r="C466" s="897">
        <f>C451</f>
        <v>-1000000</v>
      </c>
      <c r="K466" s="664"/>
      <c r="N466" s="896">
        <f>N451</f>
        <v>39113</v>
      </c>
      <c r="O466" s="897">
        <f>O451</f>
        <v>-1000000</v>
      </c>
      <c r="U466" s="663"/>
      <c r="W466" s="664"/>
      <c r="Z466" s="896">
        <f>Z451</f>
        <v>39113</v>
      </c>
      <c r="AA466" s="897">
        <f>AA451</f>
        <v>-1000000</v>
      </c>
      <c r="AB466" s="663"/>
      <c r="AC466" s="663"/>
      <c r="AD466" s="663"/>
      <c r="AE466" s="663"/>
      <c r="AF466" s="663"/>
      <c r="AG466" s="663"/>
      <c r="AH466" s="663"/>
      <c r="AI466" s="664"/>
      <c r="AL466" s="896">
        <f>AL451</f>
        <v>39113</v>
      </c>
      <c r="AM466" s="897">
        <f>AM451</f>
        <v>-1000000</v>
      </c>
      <c r="AN466" s="663"/>
      <c r="AU466" s="664"/>
      <c r="AX466" s="896">
        <f>AX451</f>
        <v>39113</v>
      </c>
      <c r="AY466" s="897">
        <f>AY451</f>
        <v>-1000000</v>
      </c>
      <c r="BG466" s="664"/>
      <c r="BJ466" s="896">
        <f>BJ451</f>
        <v>39113</v>
      </c>
      <c r="BK466" s="897">
        <f>BK451</f>
        <v>-1000000</v>
      </c>
      <c r="BS466" s="664"/>
      <c r="BV466" s="896">
        <f>BV451</f>
        <v>39113</v>
      </c>
      <c r="BW466" s="897">
        <f>BW451</f>
        <v>-1000000</v>
      </c>
      <c r="CE466" s="664"/>
      <c r="CH466" s="896">
        <f>CH451</f>
        <v>39113</v>
      </c>
      <c r="CI466" s="897">
        <f>CI451</f>
        <v>-1000000</v>
      </c>
      <c r="CQ466" s="664"/>
      <c r="CT466" s="896">
        <f>CT451</f>
        <v>39113</v>
      </c>
      <c r="CU466" s="897">
        <f>CU451</f>
        <v>-1000000</v>
      </c>
      <c r="DC466" s="664"/>
      <c r="DF466" s="896">
        <f>DF451</f>
        <v>39113</v>
      </c>
      <c r="DG466" s="897">
        <f>DG451</f>
        <v>-1000000</v>
      </c>
      <c r="DO466" s="664"/>
    </row>
    <row r="467" spans="2:119" hidden="1" x14ac:dyDescent="0.25">
      <c r="B467" s="896">
        <f t="shared" ref="B467:C467" si="1061">B452</f>
        <v>39478</v>
      </c>
      <c r="C467" s="897">
        <f t="shared" si="1061"/>
        <v>-2000000</v>
      </c>
      <c r="K467" s="664"/>
      <c r="N467" s="896">
        <f t="shared" ref="N467:O467" si="1062">N452</f>
        <v>39478</v>
      </c>
      <c r="O467" s="897">
        <f t="shared" si="1062"/>
        <v>-2000000</v>
      </c>
      <c r="U467" s="663"/>
      <c r="W467" s="664"/>
      <c r="Z467" s="896">
        <f t="shared" ref="Z467:AA467" si="1063">Z452</f>
        <v>39478</v>
      </c>
      <c r="AA467" s="897">
        <f t="shared" si="1063"/>
        <v>-2000000</v>
      </c>
      <c r="AB467" s="663"/>
      <c r="AC467" s="663"/>
      <c r="AD467" s="663"/>
      <c r="AE467" s="663"/>
      <c r="AF467" s="663"/>
      <c r="AG467" s="663"/>
      <c r="AH467" s="663"/>
      <c r="AI467" s="664"/>
      <c r="AL467" s="896">
        <f t="shared" ref="AL467:AM467" si="1064">AL452</f>
        <v>39478</v>
      </c>
      <c r="AM467" s="897">
        <f t="shared" si="1064"/>
        <v>-2000000</v>
      </c>
      <c r="AN467" s="663"/>
      <c r="AU467" s="664"/>
      <c r="AX467" s="896">
        <f t="shared" ref="AX467:AY467" si="1065">AX452</f>
        <v>39478</v>
      </c>
      <c r="AY467" s="897">
        <f t="shared" si="1065"/>
        <v>-2000000</v>
      </c>
      <c r="BG467" s="664"/>
      <c r="BJ467" s="896">
        <f t="shared" ref="BJ467:BK467" si="1066">BJ452</f>
        <v>39478</v>
      </c>
      <c r="BK467" s="897">
        <f t="shared" si="1066"/>
        <v>-2000000</v>
      </c>
      <c r="BS467" s="664"/>
      <c r="BV467" s="896">
        <f t="shared" ref="BV467:BW467" si="1067">BV452</f>
        <v>39478</v>
      </c>
      <c r="BW467" s="897">
        <f t="shared" si="1067"/>
        <v>-2000000</v>
      </c>
      <c r="CE467" s="664"/>
      <c r="CH467" s="896">
        <f t="shared" ref="CH467:CI467" si="1068">CH452</f>
        <v>39478</v>
      </c>
      <c r="CI467" s="897">
        <f t="shared" si="1068"/>
        <v>-2000000</v>
      </c>
      <c r="CQ467" s="664"/>
      <c r="CT467" s="896">
        <f t="shared" ref="CT467:CU467" si="1069">CT452</f>
        <v>39478</v>
      </c>
      <c r="CU467" s="897">
        <f t="shared" si="1069"/>
        <v>-2000000</v>
      </c>
      <c r="DC467" s="664"/>
      <c r="DF467" s="896">
        <f t="shared" ref="DF467:DG467" si="1070">DF452</f>
        <v>39478</v>
      </c>
      <c r="DG467" s="897">
        <f t="shared" si="1070"/>
        <v>-2000000</v>
      </c>
      <c r="DO467" s="664"/>
    </row>
    <row r="468" spans="2:119" hidden="1" x14ac:dyDescent="0.25">
      <c r="B468" s="896">
        <f t="shared" ref="B468:C468" si="1071">B453</f>
        <v>39843</v>
      </c>
      <c r="C468" s="897">
        <f t="shared" si="1071"/>
        <v>-2500000</v>
      </c>
      <c r="K468" s="664"/>
      <c r="N468" s="896">
        <f t="shared" ref="N468:O468" si="1072">N453</f>
        <v>39843</v>
      </c>
      <c r="O468" s="897">
        <f t="shared" si="1072"/>
        <v>-2500000</v>
      </c>
      <c r="U468" s="663"/>
      <c r="W468" s="664"/>
      <c r="Z468" s="896">
        <f t="shared" ref="Z468:AA468" si="1073">Z453</f>
        <v>39843</v>
      </c>
      <c r="AA468" s="897">
        <f t="shared" si="1073"/>
        <v>-2500000</v>
      </c>
      <c r="AB468" s="663"/>
      <c r="AC468" s="663"/>
      <c r="AD468" s="663"/>
      <c r="AE468" s="663"/>
      <c r="AF468" s="663"/>
      <c r="AG468" s="663"/>
      <c r="AH468" s="663"/>
      <c r="AI468" s="664"/>
      <c r="AL468" s="896">
        <f t="shared" ref="AL468:AM468" si="1074">AL453</f>
        <v>39843</v>
      </c>
      <c r="AM468" s="897">
        <f t="shared" si="1074"/>
        <v>-2500000</v>
      </c>
      <c r="AN468" s="663"/>
      <c r="AU468" s="664"/>
      <c r="AX468" s="896">
        <f t="shared" ref="AX468:AY468" si="1075">AX453</f>
        <v>39843</v>
      </c>
      <c r="AY468" s="897">
        <f t="shared" si="1075"/>
        <v>-2500000</v>
      </c>
      <c r="BG468" s="664"/>
      <c r="BJ468" s="896">
        <f t="shared" ref="BJ468:BK468" si="1076">BJ453</f>
        <v>39843</v>
      </c>
      <c r="BK468" s="897">
        <f t="shared" si="1076"/>
        <v>-2500000</v>
      </c>
      <c r="BS468" s="664"/>
      <c r="BV468" s="896">
        <f t="shared" ref="BV468:BW468" si="1077">BV453</f>
        <v>39843</v>
      </c>
      <c r="BW468" s="897">
        <f t="shared" si="1077"/>
        <v>-2500000</v>
      </c>
      <c r="CE468" s="664"/>
      <c r="CH468" s="896">
        <f t="shared" ref="CH468:CI468" si="1078">CH453</f>
        <v>39843</v>
      </c>
      <c r="CI468" s="897">
        <f t="shared" si="1078"/>
        <v>-2500000</v>
      </c>
      <c r="CQ468" s="664"/>
      <c r="CT468" s="896">
        <f t="shared" ref="CT468:CU468" si="1079">CT453</f>
        <v>39843</v>
      </c>
      <c r="CU468" s="897">
        <f t="shared" si="1079"/>
        <v>-2500000</v>
      </c>
      <c r="DC468" s="664"/>
      <c r="DF468" s="896">
        <f t="shared" ref="DF468:DG468" si="1080">DF453</f>
        <v>39843</v>
      </c>
      <c r="DG468" s="897">
        <f t="shared" si="1080"/>
        <v>-2500000</v>
      </c>
      <c r="DO468" s="664"/>
    </row>
    <row r="469" spans="2:119" hidden="1" x14ac:dyDescent="0.25">
      <c r="B469" s="896">
        <f t="shared" ref="B469:C469" si="1081">B454</f>
        <v>39843</v>
      </c>
      <c r="C469" s="897">
        <f t="shared" si="1081"/>
        <v>0</v>
      </c>
      <c r="K469" s="664"/>
      <c r="N469" s="896">
        <f t="shared" ref="N469:O469" si="1082">N454</f>
        <v>39843</v>
      </c>
      <c r="O469" s="897">
        <f t="shared" si="1082"/>
        <v>0</v>
      </c>
      <c r="U469" s="663"/>
      <c r="W469" s="664"/>
      <c r="Z469" s="896">
        <f t="shared" ref="Z469:AA469" si="1083">Z454</f>
        <v>39843</v>
      </c>
      <c r="AA469" s="897">
        <f t="shared" si="1083"/>
        <v>0</v>
      </c>
      <c r="AB469" s="663"/>
      <c r="AC469" s="663"/>
      <c r="AD469" s="663"/>
      <c r="AE469" s="663"/>
      <c r="AF469" s="663"/>
      <c r="AG469" s="663"/>
      <c r="AH469" s="663"/>
      <c r="AI469" s="664"/>
      <c r="AL469" s="896">
        <f t="shared" ref="AL469:AM469" si="1084">AL454</f>
        <v>39843</v>
      </c>
      <c r="AM469" s="897">
        <f t="shared" si="1084"/>
        <v>0</v>
      </c>
      <c r="AN469" s="663"/>
      <c r="AU469" s="664"/>
      <c r="AX469" s="896">
        <f t="shared" ref="AX469:AY469" si="1085">AX454</f>
        <v>39843</v>
      </c>
      <c r="AY469" s="897">
        <f t="shared" si="1085"/>
        <v>0</v>
      </c>
      <c r="BG469" s="664"/>
      <c r="BJ469" s="896">
        <f t="shared" ref="BJ469:BK469" si="1086">BJ454</f>
        <v>39843</v>
      </c>
      <c r="BK469" s="897">
        <f t="shared" si="1086"/>
        <v>0</v>
      </c>
      <c r="BS469" s="664"/>
      <c r="BV469" s="896">
        <f t="shared" ref="BV469:BW469" si="1087">BV454</f>
        <v>39843</v>
      </c>
      <c r="BW469" s="897">
        <f t="shared" si="1087"/>
        <v>0</v>
      </c>
      <c r="CE469" s="664"/>
      <c r="CH469" s="896">
        <f t="shared" ref="CH469:CI469" si="1088">CH454</f>
        <v>39843</v>
      </c>
      <c r="CI469" s="897">
        <f t="shared" si="1088"/>
        <v>0</v>
      </c>
      <c r="CQ469" s="664"/>
      <c r="CT469" s="896">
        <f t="shared" ref="CT469:CU469" si="1089">CT454</f>
        <v>39843</v>
      </c>
      <c r="CU469" s="897">
        <f t="shared" si="1089"/>
        <v>0</v>
      </c>
      <c r="DC469" s="664"/>
      <c r="DF469" s="896">
        <f t="shared" ref="DF469:DG469" si="1090">DF454</f>
        <v>39843</v>
      </c>
      <c r="DG469" s="897">
        <f t="shared" si="1090"/>
        <v>0</v>
      </c>
      <c r="DO469" s="664"/>
    </row>
    <row r="470" spans="2:119" hidden="1" x14ac:dyDescent="0.25">
      <c r="B470" s="896">
        <f t="shared" ref="B470:C470" si="1091">B455</f>
        <v>39843</v>
      </c>
      <c r="C470" s="897">
        <f t="shared" si="1091"/>
        <v>0</v>
      </c>
      <c r="K470" s="664"/>
      <c r="N470" s="896">
        <f t="shared" ref="N470:O470" si="1092">N455</f>
        <v>39843</v>
      </c>
      <c r="O470" s="897">
        <f t="shared" si="1092"/>
        <v>0</v>
      </c>
      <c r="U470" s="663"/>
      <c r="W470" s="664"/>
      <c r="Z470" s="896">
        <f t="shared" ref="Z470:AA470" si="1093">Z455</f>
        <v>39843</v>
      </c>
      <c r="AA470" s="897">
        <f t="shared" si="1093"/>
        <v>0</v>
      </c>
      <c r="AB470" s="663"/>
      <c r="AC470" s="663"/>
      <c r="AD470" s="663"/>
      <c r="AE470" s="663"/>
      <c r="AF470" s="663"/>
      <c r="AG470" s="663"/>
      <c r="AH470" s="663"/>
      <c r="AI470" s="664"/>
      <c r="AL470" s="896">
        <f t="shared" ref="AL470:AM470" si="1094">AL455</f>
        <v>39843</v>
      </c>
      <c r="AM470" s="897">
        <f t="shared" si="1094"/>
        <v>0</v>
      </c>
      <c r="AN470" s="663"/>
      <c r="AU470" s="664"/>
      <c r="AX470" s="896">
        <f t="shared" ref="AX470:AY470" si="1095">AX455</f>
        <v>39843</v>
      </c>
      <c r="AY470" s="897">
        <f t="shared" si="1095"/>
        <v>0</v>
      </c>
      <c r="BG470" s="664"/>
      <c r="BJ470" s="896">
        <f t="shared" ref="BJ470:BK470" si="1096">BJ455</f>
        <v>39843</v>
      </c>
      <c r="BK470" s="897">
        <f t="shared" si="1096"/>
        <v>0</v>
      </c>
      <c r="BS470" s="664"/>
      <c r="BV470" s="896">
        <f t="shared" ref="BV470:BW470" si="1097">BV455</f>
        <v>39843</v>
      </c>
      <c r="BW470" s="897">
        <f t="shared" si="1097"/>
        <v>0</v>
      </c>
      <c r="CE470" s="664"/>
      <c r="CH470" s="896">
        <f t="shared" ref="CH470:CI470" si="1098">CH455</f>
        <v>39843</v>
      </c>
      <c r="CI470" s="897">
        <f t="shared" si="1098"/>
        <v>0</v>
      </c>
      <c r="CQ470" s="664"/>
      <c r="CT470" s="896">
        <f t="shared" ref="CT470:CU470" si="1099">CT455</f>
        <v>39843</v>
      </c>
      <c r="CU470" s="897">
        <f t="shared" si="1099"/>
        <v>0</v>
      </c>
      <c r="DC470" s="664"/>
      <c r="DF470" s="896">
        <f t="shared" ref="DF470:DG470" si="1100">DF455</f>
        <v>39843</v>
      </c>
      <c r="DG470" s="897">
        <f t="shared" si="1100"/>
        <v>0</v>
      </c>
      <c r="DO470" s="664"/>
    </row>
    <row r="471" spans="2:119" hidden="1" x14ac:dyDescent="0.25">
      <c r="B471" s="896">
        <f t="shared" ref="B471:C471" si="1101">B456</f>
        <v>39843</v>
      </c>
      <c r="C471" s="897">
        <f t="shared" si="1101"/>
        <v>0</v>
      </c>
      <c r="K471" s="664"/>
      <c r="N471" s="896">
        <f t="shared" ref="N471:O471" si="1102">N456</f>
        <v>39843</v>
      </c>
      <c r="O471" s="897">
        <f t="shared" si="1102"/>
        <v>0</v>
      </c>
      <c r="U471" s="663"/>
      <c r="W471" s="664"/>
      <c r="Z471" s="896">
        <f t="shared" ref="Z471:AA471" si="1103">Z456</f>
        <v>39843</v>
      </c>
      <c r="AA471" s="897">
        <f t="shared" si="1103"/>
        <v>0</v>
      </c>
      <c r="AB471" s="663"/>
      <c r="AC471" s="663"/>
      <c r="AD471" s="663"/>
      <c r="AE471" s="663"/>
      <c r="AF471" s="663"/>
      <c r="AG471" s="663"/>
      <c r="AH471" s="663"/>
      <c r="AI471" s="664"/>
      <c r="AL471" s="896">
        <f t="shared" ref="AL471:AM471" si="1104">AL456</f>
        <v>39843</v>
      </c>
      <c r="AM471" s="897">
        <f t="shared" si="1104"/>
        <v>0</v>
      </c>
      <c r="AN471" s="663"/>
      <c r="AU471" s="664"/>
      <c r="AX471" s="896">
        <f t="shared" ref="AX471:AY471" si="1105">AX456</f>
        <v>39843</v>
      </c>
      <c r="AY471" s="897">
        <f t="shared" si="1105"/>
        <v>0</v>
      </c>
      <c r="BG471" s="664"/>
      <c r="BJ471" s="896">
        <f t="shared" ref="BJ471:BK471" si="1106">BJ456</f>
        <v>39843</v>
      </c>
      <c r="BK471" s="897">
        <f t="shared" si="1106"/>
        <v>0</v>
      </c>
      <c r="BS471" s="664"/>
      <c r="BV471" s="896">
        <f t="shared" ref="BV471:BW471" si="1107">BV456</f>
        <v>39843</v>
      </c>
      <c r="BW471" s="897">
        <f t="shared" si="1107"/>
        <v>0</v>
      </c>
      <c r="CE471" s="664"/>
      <c r="CH471" s="896">
        <f t="shared" ref="CH471:CI471" si="1108">CH456</f>
        <v>39843</v>
      </c>
      <c r="CI471" s="897">
        <f t="shared" si="1108"/>
        <v>0</v>
      </c>
      <c r="CQ471" s="664"/>
      <c r="CT471" s="896">
        <f t="shared" ref="CT471:CU471" si="1109">CT456</f>
        <v>39843</v>
      </c>
      <c r="CU471" s="897">
        <f t="shared" si="1109"/>
        <v>0</v>
      </c>
      <c r="DC471" s="664"/>
      <c r="DF471" s="896">
        <f t="shared" ref="DF471:DG471" si="1110">DF456</f>
        <v>39843</v>
      </c>
      <c r="DG471" s="897">
        <f t="shared" si="1110"/>
        <v>0</v>
      </c>
      <c r="DO471" s="664"/>
    </row>
    <row r="472" spans="2:119" hidden="1" x14ac:dyDescent="0.25">
      <c r="B472" s="896">
        <f t="shared" ref="B472:C472" si="1111">B457</f>
        <v>39843</v>
      </c>
      <c r="C472" s="897">
        <f t="shared" si="1111"/>
        <v>0</v>
      </c>
      <c r="K472" s="664"/>
      <c r="N472" s="896">
        <f t="shared" ref="N472:O472" si="1112">N457</f>
        <v>39843</v>
      </c>
      <c r="O472" s="897">
        <f t="shared" si="1112"/>
        <v>0</v>
      </c>
      <c r="U472" s="663"/>
      <c r="W472" s="664"/>
      <c r="Z472" s="896">
        <f t="shared" ref="Z472:AA472" si="1113">Z457</f>
        <v>39843</v>
      </c>
      <c r="AA472" s="897">
        <f t="shared" si="1113"/>
        <v>0</v>
      </c>
      <c r="AB472" s="663"/>
      <c r="AC472" s="663"/>
      <c r="AD472" s="663"/>
      <c r="AE472" s="663"/>
      <c r="AF472" s="663"/>
      <c r="AG472" s="663"/>
      <c r="AH472" s="663"/>
      <c r="AI472" s="664"/>
      <c r="AL472" s="896">
        <f t="shared" ref="AL472:AM472" si="1114">AL457</f>
        <v>39843</v>
      </c>
      <c r="AM472" s="897">
        <f t="shared" si="1114"/>
        <v>0</v>
      </c>
      <c r="AN472" s="663"/>
      <c r="AU472" s="664"/>
      <c r="AX472" s="896">
        <f t="shared" ref="AX472:AY472" si="1115">AX457</f>
        <v>39843</v>
      </c>
      <c r="AY472" s="897">
        <f t="shared" si="1115"/>
        <v>0</v>
      </c>
      <c r="BG472" s="664"/>
      <c r="BJ472" s="896">
        <f t="shared" ref="BJ472:BK472" si="1116">BJ457</f>
        <v>39843</v>
      </c>
      <c r="BK472" s="897">
        <f t="shared" si="1116"/>
        <v>0</v>
      </c>
      <c r="BS472" s="664"/>
      <c r="BV472" s="896">
        <f t="shared" ref="BV472:BW472" si="1117">BV457</f>
        <v>39843</v>
      </c>
      <c r="BW472" s="897">
        <f t="shared" si="1117"/>
        <v>0</v>
      </c>
      <c r="CE472" s="664"/>
      <c r="CH472" s="896">
        <f t="shared" ref="CH472:CI472" si="1118">CH457</f>
        <v>39843</v>
      </c>
      <c r="CI472" s="897">
        <f t="shared" si="1118"/>
        <v>0</v>
      </c>
      <c r="CQ472" s="664"/>
      <c r="CT472" s="896">
        <f t="shared" ref="CT472:CU472" si="1119">CT457</f>
        <v>39843</v>
      </c>
      <c r="CU472" s="897">
        <f t="shared" si="1119"/>
        <v>0</v>
      </c>
      <c r="DC472" s="664"/>
      <c r="DF472" s="896">
        <f t="shared" ref="DF472:DG472" si="1120">DF457</f>
        <v>39843</v>
      </c>
      <c r="DG472" s="897">
        <f t="shared" si="1120"/>
        <v>0</v>
      </c>
      <c r="DO472" s="664"/>
    </row>
    <row r="473" spans="2:119" hidden="1" x14ac:dyDescent="0.25">
      <c r="B473" s="896">
        <f t="shared" ref="B473:C473" si="1121">B458</f>
        <v>39843</v>
      </c>
      <c r="C473" s="897">
        <f t="shared" si="1121"/>
        <v>0</v>
      </c>
      <c r="K473" s="664"/>
      <c r="N473" s="896">
        <f t="shared" ref="N473:O473" si="1122">N458</f>
        <v>39843</v>
      </c>
      <c r="O473" s="897">
        <f t="shared" si="1122"/>
        <v>0</v>
      </c>
      <c r="U473" s="663"/>
      <c r="W473" s="664"/>
      <c r="Z473" s="896">
        <f t="shared" ref="Z473:AA473" si="1123">Z458</f>
        <v>39843</v>
      </c>
      <c r="AA473" s="897">
        <f t="shared" si="1123"/>
        <v>0</v>
      </c>
      <c r="AB473" s="663"/>
      <c r="AC473" s="663"/>
      <c r="AD473" s="663"/>
      <c r="AE473" s="663"/>
      <c r="AF473" s="663"/>
      <c r="AG473" s="663"/>
      <c r="AH473" s="663"/>
      <c r="AI473" s="664"/>
      <c r="AL473" s="896">
        <f t="shared" ref="AL473:AM473" si="1124">AL458</f>
        <v>39843</v>
      </c>
      <c r="AM473" s="897">
        <f t="shared" si="1124"/>
        <v>0</v>
      </c>
      <c r="AN473" s="663"/>
      <c r="AU473" s="664"/>
      <c r="AX473" s="896">
        <f t="shared" ref="AX473:AY473" si="1125">AX458</f>
        <v>39843</v>
      </c>
      <c r="AY473" s="897">
        <f t="shared" si="1125"/>
        <v>0</v>
      </c>
      <c r="BG473" s="664"/>
      <c r="BJ473" s="896">
        <f t="shared" ref="BJ473:BK473" si="1126">BJ458</f>
        <v>39843</v>
      </c>
      <c r="BK473" s="897">
        <f t="shared" si="1126"/>
        <v>0</v>
      </c>
      <c r="BS473" s="664"/>
      <c r="BV473" s="896">
        <f t="shared" ref="BV473:BW473" si="1127">BV458</f>
        <v>39843</v>
      </c>
      <c r="BW473" s="897">
        <f t="shared" si="1127"/>
        <v>0</v>
      </c>
      <c r="CE473" s="664"/>
      <c r="CH473" s="896">
        <f t="shared" ref="CH473:CI473" si="1128">CH458</f>
        <v>39843</v>
      </c>
      <c r="CI473" s="897">
        <f t="shared" si="1128"/>
        <v>0</v>
      </c>
      <c r="CQ473" s="664"/>
      <c r="CT473" s="896">
        <f t="shared" ref="CT473:CU473" si="1129">CT458</f>
        <v>39843</v>
      </c>
      <c r="CU473" s="897">
        <f t="shared" si="1129"/>
        <v>0</v>
      </c>
      <c r="DC473" s="664"/>
      <c r="DF473" s="896">
        <f t="shared" ref="DF473:DG473" si="1130">DF458</f>
        <v>39843</v>
      </c>
      <c r="DG473" s="897">
        <f t="shared" si="1130"/>
        <v>0</v>
      </c>
      <c r="DO473" s="664"/>
    </row>
    <row r="474" spans="2:119" hidden="1" x14ac:dyDescent="0.25">
      <c r="B474" s="896">
        <f t="shared" ref="B474:C474" si="1131">B459</f>
        <v>39843</v>
      </c>
      <c r="C474" s="897">
        <f t="shared" si="1131"/>
        <v>0</v>
      </c>
      <c r="K474" s="664"/>
      <c r="N474" s="896">
        <f t="shared" ref="N474:O474" si="1132">N459</f>
        <v>39843</v>
      </c>
      <c r="O474" s="897">
        <f t="shared" si="1132"/>
        <v>0</v>
      </c>
      <c r="U474" s="663"/>
      <c r="W474" s="664"/>
      <c r="Z474" s="896">
        <f t="shared" ref="Z474:AA474" si="1133">Z459</f>
        <v>39843</v>
      </c>
      <c r="AA474" s="897">
        <f t="shared" si="1133"/>
        <v>0</v>
      </c>
      <c r="AB474" s="663"/>
      <c r="AC474" s="663"/>
      <c r="AD474" s="663"/>
      <c r="AE474" s="663"/>
      <c r="AF474" s="663"/>
      <c r="AG474" s="663"/>
      <c r="AH474" s="663"/>
      <c r="AI474" s="664"/>
      <c r="AL474" s="896">
        <f t="shared" ref="AL474:AM474" si="1134">AL459</f>
        <v>39843</v>
      </c>
      <c r="AM474" s="897">
        <f t="shared" si="1134"/>
        <v>0</v>
      </c>
      <c r="AN474" s="663"/>
      <c r="AU474" s="664"/>
      <c r="AX474" s="896">
        <f t="shared" ref="AX474:AY474" si="1135">AX459</f>
        <v>39843</v>
      </c>
      <c r="AY474" s="897">
        <f t="shared" si="1135"/>
        <v>0</v>
      </c>
      <c r="BG474" s="664"/>
      <c r="BJ474" s="896">
        <f t="shared" ref="BJ474:BK474" si="1136">BJ459</f>
        <v>39843</v>
      </c>
      <c r="BK474" s="897">
        <f t="shared" si="1136"/>
        <v>0</v>
      </c>
      <c r="BS474" s="664"/>
      <c r="BV474" s="896">
        <f t="shared" ref="BV474:BW474" si="1137">BV459</f>
        <v>39843</v>
      </c>
      <c r="BW474" s="897">
        <f t="shared" si="1137"/>
        <v>0</v>
      </c>
      <c r="CE474" s="664"/>
      <c r="CH474" s="896">
        <f t="shared" ref="CH474:CI474" si="1138">CH459</f>
        <v>39843</v>
      </c>
      <c r="CI474" s="897">
        <f t="shared" si="1138"/>
        <v>0</v>
      </c>
      <c r="CQ474" s="664"/>
      <c r="CT474" s="896">
        <f t="shared" ref="CT474:CU474" si="1139">CT459</f>
        <v>39843</v>
      </c>
      <c r="CU474" s="897">
        <f t="shared" si="1139"/>
        <v>0</v>
      </c>
      <c r="DC474" s="664"/>
      <c r="DF474" s="896">
        <f t="shared" ref="DF474:DG474" si="1140">DF459</f>
        <v>39843</v>
      </c>
      <c r="DG474" s="897">
        <f t="shared" si="1140"/>
        <v>0</v>
      </c>
      <c r="DO474" s="664"/>
    </row>
    <row r="475" spans="2:119" hidden="1" x14ac:dyDescent="0.25">
      <c r="B475" s="896">
        <f t="shared" ref="B475:C475" si="1141">B460</f>
        <v>39843</v>
      </c>
      <c r="C475" s="897">
        <f t="shared" si="1141"/>
        <v>0</v>
      </c>
      <c r="K475" s="664"/>
      <c r="N475" s="896">
        <f t="shared" ref="N475:O475" si="1142">N460</f>
        <v>39843</v>
      </c>
      <c r="O475" s="897">
        <f t="shared" si="1142"/>
        <v>0</v>
      </c>
      <c r="U475" s="663"/>
      <c r="W475" s="664"/>
      <c r="Z475" s="896">
        <f t="shared" ref="Z475:AA475" si="1143">Z460</f>
        <v>39843</v>
      </c>
      <c r="AA475" s="897">
        <f t="shared" si="1143"/>
        <v>0</v>
      </c>
      <c r="AB475" s="663"/>
      <c r="AC475" s="663"/>
      <c r="AD475" s="663"/>
      <c r="AE475" s="663"/>
      <c r="AF475" s="663"/>
      <c r="AG475" s="663"/>
      <c r="AH475" s="663"/>
      <c r="AI475" s="664"/>
      <c r="AL475" s="896">
        <f t="shared" ref="AL475:AM475" si="1144">AL460</f>
        <v>39843</v>
      </c>
      <c r="AM475" s="897">
        <f t="shared" si="1144"/>
        <v>0</v>
      </c>
      <c r="AN475" s="663"/>
      <c r="AU475" s="664"/>
      <c r="AX475" s="896">
        <f t="shared" ref="AX475:AY475" si="1145">AX460</f>
        <v>39843</v>
      </c>
      <c r="AY475" s="897">
        <f t="shared" si="1145"/>
        <v>0</v>
      </c>
      <c r="BG475" s="664"/>
      <c r="BJ475" s="896">
        <f t="shared" ref="BJ475:BK475" si="1146">BJ460</f>
        <v>39843</v>
      </c>
      <c r="BK475" s="897">
        <f t="shared" si="1146"/>
        <v>0</v>
      </c>
      <c r="BS475" s="664"/>
      <c r="BV475" s="896">
        <f t="shared" ref="BV475:BW475" si="1147">BV460</f>
        <v>39843</v>
      </c>
      <c r="BW475" s="897">
        <f t="shared" si="1147"/>
        <v>0</v>
      </c>
      <c r="CE475" s="664"/>
      <c r="CH475" s="896">
        <f t="shared" ref="CH475:CI475" si="1148">CH460</f>
        <v>39843</v>
      </c>
      <c r="CI475" s="897">
        <f t="shared" si="1148"/>
        <v>0</v>
      </c>
      <c r="CQ475" s="664"/>
      <c r="CT475" s="896">
        <f t="shared" ref="CT475:CU475" si="1149">CT460</f>
        <v>39843</v>
      </c>
      <c r="CU475" s="897">
        <f t="shared" si="1149"/>
        <v>0</v>
      </c>
      <c r="DC475" s="664"/>
      <c r="DF475" s="896">
        <f t="shared" ref="DF475:DG475" si="1150">DF460</f>
        <v>39843</v>
      </c>
      <c r="DG475" s="897">
        <f t="shared" si="1150"/>
        <v>0</v>
      </c>
      <c r="DO475" s="664"/>
    </row>
    <row r="476" spans="2:119" hidden="1" x14ac:dyDescent="0.25">
      <c r="B476" s="896">
        <f>B461+$C$56</f>
        <v>41539</v>
      </c>
      <c r="C476" s="897">
        <f ca="1">C461</f>
        <v>0</v>
      </c>
      <c r="K476" s="664"/>
      <c r="N476" s="896">
        <f>N461+$C$56</f>
        <v>41539</v>
      </c>
      <c r="O476" s="897">
        <f ca="1">O461</f>
        <v>0</v>
      </c>
      <c r="U476" s="663"/>
      <c r="W476" s="664"/>
      <c r="Z476" s="896">
        <f>Z461+$C$56</f>
        <v>41539</v>
      </c>
      <c r="AA476" s="897">
        <f ca="1">AA461</f>
        <v>0</v>
      </c>
      <c r="AB476" s="663"/>
      <c r="AC476" s="663"/>
      <c r="AD476" s="663"/>
      <c r="AE476" s="663"/>
      <c r="AF476" s="663"/>
      <c r="AG476" s="663"/>
      <c r="AH476" s="663"/>
      <c r="AI476" s="664"/>
      <c r="AL476" s="896">
        <f>AL461+$C$56</f>
        <v>41539</v>
      </c>
      <c r="AM476" s="897">
        <f ca="1">AM461</f>
        <v>0</v>
      </c>
      <c r="AN476" s="663"/>
      <c r="AU476" s="664"/>
      <c r="AX476" s="896">
        <f>AX461+$C$56</f>
        <v>41539</v>
      </c>
      <c r="AY476" s="897">
        <f ca="1">AY461</f>
        <v>0</v>
      </c>
      <c r="BG476" s="664"/>
      <c r="BJ476" s="896">
        <f>BJ461+$C$56</f>
        <v>41539</v>
      </c>
      <c r="BK476" s="897">
        <f ca="1">BK461</f>
        <v>0</v>
      </c>
      <c r="BS476" s="664"/>
      <c r="BV476" s="896">
        <f>BV461+$C$56</f>
        <v>41539</v>
      </c>
      <c r="BW476" s="897">
        <f ca="1">BW461</f>
        <v>0</v>
      </c>
      <c r="CE476" s="664"/>
      <c r="CH476" s="896">
        <f>CH461+$C$56</f>
        <v>41539</v>
      </c>
      <c r="CI476" s="897">
        <f ca="1">CI461</f>
        <v>0</v>
      </c>
      <c r="CQ476" s="664"/>
      <c r="CT476" s="896">
        <f>CT461+$C$56</f>
        <v>41539</v>
      </c>
      <c r="CU476" s="897">
        <f ca="1">CU461</f>
        <v>0</v>
      </c>
      <c r="DC476" s="664"/>
      <c r="DF476" s="896">
        <f>DF461+$C$56</f>
        <v>41539</v>
      </c>
      <c r="DG476" s="897">
        <f ca="1">DG461</f>
        <v>0</v>
      </c>
      <c r="DO476" s="664"/>
    </row>
    <row r="477" spans="2:119" hidden="1" x14ac:dyDescent="0.25">
      <c r="B477" s="898">
        <f>IF(C466&lt;&gt;0,ROW(C466),IF(C467&lt;&gt;0,ROW(C467),IF(C468&lt;&gt;0,ROW(C468),IF(C469&lt;&gt;0,ROW(C469),IF(C470&lt;&gt;0,ROW(C470),IF(C471&lt;&gt;0,ROW(C471),IF(C472&lt;&gt;0,ROW(C472),IF(C473&lt;&gt;0,ROW(C473),IF(C474&lt;&gt;0,ROW(C474),IF(C475&lt;&gt;0,ROW(C475)))))))))))</f>
        <v>466</v>
      </c>
      <c r="C477" s="882" t="e">
        <f ca="1">IF(ISERROR(XIRR(INDIRECT(B479):C476,INDIRECT(B478):B476,-20%)),XIRR(INDIRECT(B479):C476,INDIRECT(B478):B476,20%),"N/A")</f>
        <v>#NUM!</v>
      </c>
      <c r="K477" s="664"/>
      <c r="N477" s="898">
        <f>IF(O466&lt;&gt;0,ROW(O466),IF(O467&lt;&gt;0,ROW(O467),IF(O468&lt;&gt;0,ROW(O468),IF(O469&lt;&gt;0,ROW(O469),IF(O470&lt;&gt;0,ROW(O470),IF(O471&lt;&gt;0,ROW(O471),IF(O472&lt;&gt;0,ROW(O472),IF(O473&lt;&gt;0,ROW(O473),IF(O474&lt;&gt;0,ROW(O474),IF(O475&lt;&gt;0,ROW(O475)))))))))))</f>
        <v>466</v>
      </c>
      <c r="O477" s="882" t="e">
        <f ca="1">IF(ISERROR(XIRR(INDIRECT(N479):O476,INDIRECT(N478):N476,-20%)),XIRR(INDIRECT(N479):O476,INDIRECT(N478):N476,20%),"N/A")</f>
        <v>#NUM!</v>
      </c>
      <c r="U477" s="663"/>
      <c r="W477" s="664"/>
      <c r="Z477" s="898">
        <f>IF(AA466&lt;&gt;0,ROW(AA466),IF(AA467&lt;&gt;0,ROW(AA467),IF(AA468&lt;&gt;0,ROW(AA468),IF(AA469&lt;&gt;0,ROW(AA469),IF(AA470&lt;&gt;0,ROW(AA470),IF(AA471&lt;&gt;0,ROW(AA471),IF(AA472&lt;&gt;0,ROW(AA472),IF(AA473&lt;&gt;0,ROW(AA473),IF(AA474&lt;&gt;0,ROW(AA474),IF(AA475&lt;&gt;0,ROW(AA475)))))))))))</f>
        <v>466</v>
      </c>
      <c r="AA477" s="882" t="e">
        <f ca="1">IF(ISERROR(XIRR(INDIRECT(Z479):AA476,INDIRECT(Z478):Z476,-20%)),XIRR(INDIRECT(Z479):AA476,INDIRECT(Z478):Z476,20%),"N/A")</f>
        <v>#NUM!</v>
      </c>
      <c r="AB477" s="663"/>
      <c r="AC477" s="663"/>
      <c r="AD477" s="663"/>
      <c r="AE477" s="663"/>
      <c r="AF477" s="663"/>
      <c r="AG477" s="663"/>
      <c r="AH477" s="663"/>
      <c r="AI477" s="664"/>
      <c r="AL477" s="898">
        <f>IF(AM466&lt;&gt;0,ROW(AM466),IF(AM467&lt;&gt;0,ROW(AM467),IF(AM468&lt;&gt;0,ROW(AM468),IF(AM469&lt;&gt;0,ROW(AM469),IF(AM470&lt;&gt;0,ROW(AM470),IF(AM471&lt;&gt;0,ROW(AM471),IF(AM472&lt;&gt;0,ROW(AM472),IF(AM473&lt;&gt;0,ROW(AM473),IF(AM474&lt;&gt;0,ROW(AM474),IF(AM475&lt;&gt;0,ROW(AM475)))))))))))</f>
        <v>466</v>
      </c>
      <c r="AM477" s="882" t="e">
        <f ca="1">IF(ISERROR(XIRR(INDIRECT(AL479):AM476,INDIRECT(AL478):AL476,-20%)),XIRR(INDIRECT(AL479):AM476,INDIRECT(AL478):AL476,20%),"N/A")</f>
        <v>#NUM!</v>
      </c>
      <c r="AN477" s="663"/>
      <c r="AU477" s="664"/>
      <c r="AX477" s="898">
        <f>IF(AY466&lt;&gt;0,ROW(AY466),IF(AY467&lt;&gt;0,ROW(AY467),IF(AY468&lt;&gt;0,ROW(AY468),IF(AY469&lt;&gt;0,ROW(AY469),IF(AY470&lt;&gt;0,ROW(AY470),IF(AY471&lt;&gt;0,ROW(AY471),IF(AY472&lt;&gt;0,ROW(AY472),IF(AY473&lt;&gt;0,ROW(AY473),IF(AY474&lt;&gt;0,ROW(AY474),IF(AY475&lt;&gt;0,ROW(AY475)))))))))))</f>
        <v>466</v>
      </c>
      <c r="AY477" s="882" t="e">
        <f ca="1">IF(ISERROR(XIRR(INDIRECT(AX479):AY476,INDIRECT(AX478):AX476,-20%)),XIRR(INDIRECT(AX479):AY476,INDIRECT(AX478):AX476,20%),"N/A")</f>
        <v>#NUM!</v>
      </c>
      <c r="BG477" s="664"/>
      <c r="BJ477" s="898">
        <f>IF(BK466&lt;&gt;0,ROW(BK466),IF(BK467&lt;&gt;0,ROW(BK467),IF(BK468&lt;&gt;0,ROW(BK468),IF(BK469&lt;&gt;0,ROW(BK469),IF(BK470&lt;&gt;0,ROW(BK470),IF(BK471&lt;&gt;0,ROW(BK471),IF(BK472&lt;&gt;0,ROW(BK472),IF(BK473&lt;&gt;0,ROW(BK473),IF(BK474&lt;&gt;0,ROW(BK474),IF(BK475&lt;&gt;0,ROW(BK475)))))))))))</f>
        <v>466</v>
      </c>
      <c r="BK477" s="882" t="e">
        <f ca="1">IF(ISERROR(XIRR(INDIRECT(BJ479):BK476,INDIRECT(BJ478):BJ476,-20%)),XIRR(INDIRECT(BJ479):BK476,INDIRECT(BJ478):BJ476,20%),"N/A")</f>
        <v>#NUM!</v>
      </c>
      <c r="BS477" s="664"/>
      <c r="BV477" s="898">
        <f>IF(BW466&lt;&gt;0,ROW(BW466),IF(BW467&lt;&gt;0,ROW(BW467),IF(BW468&lt;&gt;0,ROW(BW468),IF(BW469&lt;&gt;0,ROW(BW469),IF(BW470&lt;&gt;0,ROW(BW470),IF(BW471&lt;&gt;0,ROW(BW471),IF(BW472&lt;&gt;0,ROW(BW472),IF(BW473&lt;&gt;0,ROW(BW473),IF(BW474&lt;&gt;0,ROW(BW474),IF(BW475&lt;&gt;0,ROW(BW475)))))))))))</f>
        <v>466</v>
      </c>
      <c r="BW477" s="882" t="e">
        <f ca="1">IF(ISERROR(XIRR(INDIRECT(BV479):BW476,INDIRECT(BV478):BV476,-20%)),XIRR(INDIRECT(BV479):BW476,INDIRECT(BV478):BV476,20%),"N/A")</f>
        <v>#NUM!</v>
      </c>
      <c r="CE477" s="664"/>
      <c r="CH477" s="898">
        <f>IF(CI466&lt;&gt;0,ROW(CI466),IF(CI467&lt;&gt;0,ROW(CI467),IF(CI468&lt;&gt;0,ROW(CI468),IF(CI469&lt;&gt;0,ROW(CI469),IF(CI470&lt;&gt;0,ROW(CI470),IF(CI471&lt;&gt;0,ROW(CI471),IF(CI472&lt;&gt;0,ROW(CI472),IF(CI473&lt;&gt;0,ROW(CI473),IF(CI474&lt;&gt;0,ROW(CI474),IF(CI475&lt;&gt;0,ROW(CI475)))))))))))</f>
        <v>466</v>
      </c>
      <c r="CI477" s="882" t="e">
        <f ca="1">IF(ISERROR(XIRR(INDIRECT(CH479):CI476,INDIRECT(CH478):CH476,-20%)),XIRR(INDIRECT(CH479):CI476,INDIRECT(CH478):CH476,20%),"N/A")</f>
        <v>#NUM!</v>
      </c>
      <c r="CQ477" s="664"/>
      <c r="CT477" s="898">
        <f>IF(CU466&lt;&gt;0,ROW(CU466),IF(CU467&lt;&gt;0,ROW(CU467),IF(CU468&lt;&gt;0,ROW(CU468),IF(CU469&lt;&gt;0,ROW(CU469),IF(CU470&lt;&gt;0,ROW(CU470),IF(CU471&lt;&gt;0,ROW(CU471),IF(CU472&lt;&gt;0,ROW(CU472),IF(CU473&lt;&gt;0,ROW(CU473),IF(CU474&lt;&gt;0,ROW(CU474),IF(CU475&lt;&gt;0,ROW(CU475)))))))))))</f>
        <v>466</v>
      </c>
      <c r="CU477" s="882" t="e">
        <f ca="1">IF(ISERROR(XIRR(INDIRECT(CT479):CU476,INDIRECT(CT478):CT476,-20%)),XIRR(INDIRECT(CT479):CU476,INDIRECT(CT478):CT476,20%),"N/A")</f>
        <v>#NUM!</v>
      </c>
      <c r="DC477" s="664"/>
      <c r="DF477" s="898">
        <f>IF(DG466&lt;&gt;0,ROW(DG466),IF(DG467&lt;&gt;0,ROW(DG467),IF(DG468&lt;&gt;0,ROW(DG468),IF(DG469&lt;&gt;0,ROW(DG469),IF(DG470&lt;&gt;0,ROW(DG470),IF(DG471&lt;&gt;0,ROW(DG471),IF(DG472&lt;&gt;0,ROW(DG472),IF(DG473&lt;&gt;0,ROW(DG473),IF(DG474&lt;&gt;0,ROW(DG474),IF(DG475&lt;&gt;0,ROW(DG475)))))))))))</f>
        <v>466</v>
      </c>
      <c r="DG477" s="882" t="e">
        <f ca="1">IF(ISERROR(XIRR(INDIRECT(DF479):DG476,INDIRECT(DF478):DF476,-20%)),XIRR(INDIRECT(DF479):DG476,INDIRECT(DF478):DF476,20%),"N/A")</f>
        <v>#NUM!</v>
      </c>
      <c r="DO477" s="664"/>
    </row>
    <row r="478" spans="2:119" hidden="1" x14ac:dyDescent="0.25">
      <c r="B478" s="899" t="str">
        <f>CONCATENATE(CHAR(64+COLUMN(B477)),B477)</f>
        <v>B466</v>
      </c>
      <c r="C478" s="897"/>
      <c r="K478" s="664"/>
      <c r="N478" s="899" t="str">
        <f>CONCATENATE(CHAR(64+COLUMN(N477)),N477)</f>
        <v>N466</v>
      </c>
      <c r="O478" s="897"/>
      <c r="U478" s="663"/>
      <c r="W478" s="664"/>
      <c r="Z478" s="899" t="str">
        <f>CONCATENATE(IF(COLUMN(Z477)&lt;=26,CHAR(96+COLUMN(Z477)),(CHAR(96+(ROUNDDOWN((COLUMN(Z477)-1)/26,0)))&amp;CHAR(96+IF(MOD(COLUMN(Z477),26)=0,26,MOD(COLUMN(Z477),26))))),Z477)</f>
        <v>z466</v>
      </c>
      <c r="AA478" s="897"/>
      <c r="AB478" s="663"/>
      <c r="AC478" s="663"/>
      <c r="AD478" s="663"/>
      <c r="AE478" s="663"/>
      <c r="AF478" s="663"/>
      <c r="AG478" s="663"/>
      <c r="AH478" s="663"/>
      <c r="AI478" s="664"/>
      <c r="AL478" s="899" t="str">
        <f>CONCATENATE(IF(COLUMN(AL477)&lt;=26,CHAR(96+COLUMN(AL477)),(CHAR(96+(ROUNDDOWN((COLUMN(AL477)-1)/26,0)))&amp;CHAR(96+IF(MOD(COLUMN(AL477),26)=0,26,MOD(COLUMN(AL477),26))))),AL477)</f>
        <v>al466</v>
      </c>
      <c r="AM478" s="897"/>
      <c r="AN478" s="663"/>
      <c r="AU478" s="664"/>
      <c r="AX478" s="899" t="str">
        <f>CONCATENATE(IF(COLUMN(AX477)&lt;=26,CHAR(96+COLUMN(AX477)),(CHAR(96+(ROUNDDOWN((COLUMN(AX477)-1)/26,0)))&amp;CHAR(96+IF(MOD(COLUMN(AX477),26)=0,26,MOD(COLUMN(AX477),26))))),AX477)</f>
        <v>ax466</v>
      </c>
      <c r="AY478" s="897"/>
      <c r="BG478" s="664"/>
      <c r="BJ478" s="899" t="str">
        <f>CONCATENATE(IF(COLUMN(BJ477)&lt;=26,CHAR(96+COLUMN(BJ477)),(CHAR(96+(ROUNDDOWN((COLUMN(BJ477)-1)/26,0)))&amp;CHAR(96+IF(MOD(COLUMN(BJ477),26)=0,26,MOD(COLUMN(BJ477),26))))),BJ477)</f>
        <v>bj466</v>
      </c>
      <c r="BK478" s="897"/>
      <c r="BS478" s="664"/>
      <c r="BV478" s="899" t="str">
        <f>CONCATENATE(IF(COLUMN(BV477)&lt;=26,CHAR(96+COLUMN(BV477)),(CHAR(96+(ROUNDDOWN((COLUMN(BV477)-1)/26,0)))&amp;CHAR(96+IF(MOD(COLUMN(BV477),26)=0,26,MOD(COLUMN(BV477),26))))),BV477)</f>
        <v>bv466</v>
      </c>
      <c r="BW478" s="897"/>
      <c r="CE478" s="664"/>
      <c r="CH478" s="899" t="str">
        <f>CONCATENATE(IF(COLUMN(CH477)&lt;=26,CHAR(96+COLUMN(CH477)),(CHAR(96+(ROUNDDOWN((COLUMN(CH477)-1)/26,0)))&amp;CHAR(96+IF(MOD(COLUMN(CH477),26)=0,26,MOD(COLUMN(CH477),26))))),CH477)</f>
        <v>ch466</v>
      </c>
      <c r="CI478" s="897"/>
      <c r="CQ478" s="664"/>
      <c r="CT478" s="899" t="str">
        <f>CONCATENATE(IF(COLUMN(CT477)&lt;=26,CHAR(96+COLUMN(CT477)),(CHAR(96+(ROUNDDOWN((COLUMN(CT477)-1)/26,0)))&amp;CHAR(96+IF(MOD(COLUMN(CT477),26)=0,26,MOD(COLUMN(CT477),26))))),CT477)</f>
        <v>ct466</v>
      </c>
      <c r="CU478" s="897"/>
      <c r="DC478" s="664"/>
      <c r="DF478" s="899" t="str">
        <f>CONCATENATE(IF(COLUMN(DF477)&lt;=26,CHAR(96+COLUMN(DF477)),(CHAR(96+(ROUNDDOWN((COLUMN(DF477)-1)/26,0)))&amp;CHAR(96+IF(MOD(COLUMN(DF477),26)=0,26,MOD(COLUMN(DF477),26))))),DF477)</f>
        <v>df466</v>
      </c>
      <c r="DG478" s="897"/>
      <c r="DO478" s="664"/>
    </row>
    <row r="479" spans="2:119" hidden="1" x14ac:dyDescent="0.25">
      <c r="B479" s="899" t="str">
        <f>CONCATENATE(CHAR(64+COLUMN(C477)),B477)</f>
        <v>C466</v>
      </c>
      <c r="C479" s="897"/>
      <c r="K479" s="664"/>
      <c r="N479" s="899" t="str">
        <f>CONCATENATE(CHAR(64+COLUMN(O477)),N477)</f>
        <v>O466</v>
      </c>
      <c r="O479" s="897"/>
      <c r="U479" s="663"/>
      <c r="W479" s="664"/>
      <c r="Z479" s="899" t="str">
        <f>CONCATENATE(IF(COLUMN(AA477)&lt;=26,CHAR(96+COLUMN(AA477)),(CHAR(96+(ROUNDDOWN((COLUMN(AA477)-1)/26,0)))&amp;CHAR(96+IF(MOD(COLUMN(AA477),26)=0,26,MOD(COLUMN(AA477),26))))),Z477)</f>
        <v>aa466</v>
      </c>
      <c r="AA479" s="897"/>
      <c r="AB479" s="663"/>
      <c r="AC479" s="663"/>
      <c r="AD479" s="663"/>
      <c r="AE479" s="663"/>
      <c r="AF479" s="663"/>
      <c r="AG479" s="663"/>
      <c r="AH479" s="663"/>
      <c r="AI479" s="664"/>
      <c r="AL479" s="899" t="str">
        <f>CONCATENATE(IF(COLUMN(AM477)&lt;=26,CHAR(96+COLUMN(AM477)),(CHAR(96+(ROUNDDOWN((COLUMN(AM477)-1)/26,0)))&amp;CHAR(96+IF(MOD(COLUMN(AM477),26)=0,26,MOD(COLUMN(AM477),26))))),AL477)</f>
        <v>am466</v>
      </c>
      <c r="AM479" s="897"/>
      <c r="AN479" s="663"/>
      <c r="AU479" s="664"/>
      <c r="AX479" s="899" t="str">
        <f>CONCATENATE(IF(COLUMN(AY477)&lt;=26,CHAR(96+COLUMN(AY477)),(CHAR(96+(ROUNDDOWN((COLUMN(AY477)-1)/26,0)))&amp;CHAR(96+IF(MOD(COLUMN(AY477),26)=0,26,MOD(COLUMN(AY477),26))))),AX477)</f>
        <v>ay466</v>
      </c>
      <c r="AY479" s="897"/>
      <c r="BG479" s="664"/>
      <c r="BJ479" s="899" t="str">
        <f>CONCATENATE(IF(COLUMN(BK477)&lt;=26,CHAR(96+COLUMN(BK477)),(CHAR(96+(ROUNDDOWN((COLUMN(BK477)-1)/26,0)))&amp;CHAR(96+IF(MOD(COLUMN(BK477),26)=0,26,MOD(COLUMN(BK477),26))))),BJ477)</f>
        <v>bk466</v>
      </c>
      <c r="BK479" s="897"/>
      <c r="BS479" s="664"/>
      <c r="BV479" s="899" t="str">
        <f>CONCATENATE(IF(COLUMN(BW477)&lt;=26,CHAR(96+COLUMN(BW477)),(CHAR(96+(ROUNDDOWN((COLUMN(BW477)-1)/26,0)))&amp;CHAR(96+IF(MOD(COLUMN(BW477),26)=0,26,MOD(COLUMN(BW477),26))))),BV477)</f>
        <v>bw466</v>
      </c>
      <c r="BW479" s="897"/>
      <c r="CE479" s="664"/>
      <c r="CH479" s="899" t="str">
        <f>CONCATENATE(IF(COLUMN(CI477)&lt;=26,CHAR(96+COLUMN(CI477)),(CHAR(96+(ROUNDDOWN((COLUMN(CI477)-1)/26,0)))&amp;CHAR(96+IF(MOD(COLUMN(CI477),26)=0,26,MOD(COLUMN(CI477),26))))),CH477)</f>
        <v>ci466</v>
      </c>
      <c r="CI479" s="897"/>
      <c r="CQ479" s="664"/>
      <c r="CT479" s="899" t="str">
        <f>CONCATENATE(IF(COLUMN(CU477)&lt;=26,CHAR(96+COLUMN(CU477)),(CHAR(96+(ROUNDDOWN((COLUMN(CU477)-1)/26,0)))&amp;CHAR(96+IF(MOD(COLUMN(CU477),26)=0,26,MOD(COLUMN(CU477),26))))),CT477)</f>
        <v>cu466</v>
      </c>
      <c r="CU479" s="897"/>
      <c r="DC479" s="664"/>
      <c r="DF479" s="899" t="str">
        <f>CONCATENATE(IF(COLUMN(DG477)&lt;=26,CHAR(96+COLUMN(DG477)),(CHAR(96+(ROUNDDOWN((COLUMN(DG477)-1)/26,0)))&amp;CHAR(96+IF(MOD(COLUMN(DG477),26)=0,26,MOD(COLUMN(DG477),26))))),DF477)</f>
        <v>dg466</v>
      </c>
      <c r="DG479" s="897"/>
      <c r="DO479" s="664"/>
    </row>
    <row r="480" spans="2:119" hidden="1" x14ac:dyDescent="0.25">
      <c r="B480" s="668"/>
      <c r="C480" s="895"/>
      <c r="K480" s="664"/>
      <c r="N480" s="668"/>
      <c r="O480" s="895"/>
      <c r="U480" s="663"/>
      <c r="W480" s="664"/>
      <c r="Z480" s="668"/>
      <c r="AA480" s="895"/>
      <c r="AB480" s="663"/>
      <c r="AC480" s="663"/>
      <c r="AD480" s="663"/>
      <c r="AE480" s="663"/>
      <c r="AF480" s="663"/>
      <c r="AG480" s="663"/>
      <c r="AH480" s="663"/>
      <c r="AI480" s="664"/>
      <c r="AL480" s="668"/>
      <c r="AM480" s="895"/>
      <c r="AN480" s="663"/>
      <c r="AU480" s="664"/>
      <c r="AX480" s="668"/>
      <c r="AY480" s="895"/>
      <c r="BG480" s="664"/>
      <c r="BJ480" s="668"/>
      <c r="BK480" s="895"/>
      <c r="BS480" s="664"/>
      <c r="BV480" s="668"/>
      <c r="BW480" s="895"/>
      <c r="CE480" s="664"/>
      <c r="CH480" s="668"/>
      <c r="CI480" s="895"/>
      <c r="CQ480" s="664"/>
      <c r="CT480" s="668"/>
      <c r="CU480" s="895"/>
      <c r="DC480" s="664"/>
      <c r="DF480" s="668"/>
      <c r="DG480" s="895"/>
      <c r="DO480" s="664"/>
    </row>
    <row r="481" spans="2:119" hidden="1" x14ac:dyDescent="0.25">
      <c r="B481" s="668"/>
      <c r="C481" s="895"/>
      <c r="K481" s="664"/>
      <c r="N481" s="668"/>
      <c r="O481" s="895"/>
      <c r="U481" s="663"/>
      <c r="W481" s="664"/>
      <c r="Z481" s="668"/>
      <c r="AA481" s="895"/>
      <c r="AB481" s="663"/>
      <c r="AC481" s="663"/>
      <c r="AD481" s="663"/>
      <c r="AE481" s="663"/>
      <c r="AF481" s="663"/>
      <c r="AG481" s="663"/>
      <c r="AH481" s="663"/>
      <c r="AI481" s="664"/>
      <c r="AL481" s="668"/>
      <c r="AM481" s="895"/>
      <c r="AN481" s="663"/>
      <c r="AU481" s="664"/>
      <c r="AX481" s="668"/>
      <c r="AY481" s="895"/>
      <c r="BG481" s="664"/>
      <c r="BJ481" s="668"/>
      <c r="BK481" s="895"/>
      <c r="BS481" s="664"/>
      <c r="BV481" s="668"/>
      <c r="BW481" s="895"/>
      <c r="CE481" s="664"/>
      <c r="CH481" s="668"/>
      <c r="CI481" s="895"/>
      <c r="CQ481" s="664"/>
      <c r="CT481" s="668"/>
      <c r="CU481" s="895"/>
      <c r="DC481" s="664"/>
      <c r="DF481" s="668"/>
      <c r="DG481" s="895"/>
      <c r="DO481" s="664"/>
    </row>
    <row r="482" spans="2:119" hidden="1" x14ac:dyDescent="0.25">
      <c r="B482" s="894" t="str">
        <f>CONCATENATE(B206," Gross Return Analysis")</f>
        <v>Inv E Gross Return Analysis</v>
      </c>
      <c r="C482" s="666"/>
      <c r="K482" s="664"/>
      <c r="N482" s="894" t="str">
        <f>CONCATENATE(N206," Gross Return Analysis")</f>
        <v>Inv E Gross Return Analysis</v>
      </c>
      <c r="O482" s="666"/>
      <c r="U482" s="663"/>
      <c r="W482" s="664"/>
      <c r="Z482" s="894" t="str">
        <f>CONCATENATE(Z206," Gross Return Analysis")</f>
        <v>Inv E Gross Return Analysis</v>
      </c>
      <c r="AA482" s="666"/>
      <c r="AB482" s="663"/>
      <c r="AC482" s="663"/>
      <c r="AD482" s="663"/>
      <c r="AE482" s="663"/>
      <c r="AF482" s="663"/>
      <c r="AG482" s="663"/>
      <c r="AH482" s="663"/>
      <c r="AI482" s="664"/>
      <c r="AL482" s="894" t="str">
        <f>CONCATENATE(AL206," Gross Return Analysis")</f>
        <v>Inv E Gross Return Analysis</v>
      </c>
      <c r="AM482" s="666"/>
      <c r="AN482" s="663"/>
      <c r="AU482" s="664"/>
      <c r="AX482" s="894" t="str">
        <f>CONCATENATE(AX206," Gross Return Analysis")</f>
        <v>Inv E Gross Return Analysis</v>
      </c>
      <c r="AY482" s="666"/>
      <c r="BG482" s="664"/>
      <c r="BJ482" s="894" t="str">
        <f>CONCATENATE(BJ206," Gross Return Analysis")</f>
        <v>Inv E Gross Return Analysis</v>
      </c>
      <c r="BK482" s="666"/>
      <c r="BS482" s="664"/>
      <c r="BV482" s="894" t="str">
        <f>CONCATENATE(BV206," Gross Return Analysis")</f>
        <v>Inv E Gross Return Analysis</v>
      </c>
      <c r="BW482" s="666"/>
      <c r="CE482" s="664"/>
      <c r="CH482" s="894" t="str">
        <f>CONCATENATE(CH206," Gross Return Analysis")</f>
        <v>Inv E Gross Return Analysis</v>
      </c>
      <c r="CI482" s="666"/>
      <c r="CQ482" s="664"/>
      <c r="CT482" s="894" t="str">
        <f>CONCATENATE(CT206," Gross Return Analysis")</f>
        <v>Inv E Gross Return Analysis</v>
      </c>
      <c r="CU482" s="666"/>
      <c r="DC482" s="664"/>
      <c r="DF482" s="894" t="str">
        <f>CONCATENATE(DF206," Gross Return Analysis")</f>
        <v>Inv E Gross Return Analysis</v>
      </c>
      <c r="DG482" s="666"/>
      <c r="DO482" s="664"/>
    </row>
    <row r="483" spans="2:119" hidden="1" x14ac:dyDescent="0.25">
      <c r="B483" s="668" t="s">
        <v>114</v>
      </c>
      <c r="C483" s="666">
        <f ca="1">C206</f>
        <v>0</v>
      </c>
      <c r="K483" s="664"/>
      <c r="N483" s="668" t="s">
        <v>114</v>
      </c>
      <c r="O483" s="666">
        <f ca="1">O206</f>
        <v>0</v>
      </c>
      <c r="U483" s="663"/>
      <c r="W483" s="664"/>
      <c r="Z483" s="668" t="s">
        <v>114</v>
      </c>
      <c r="AA483" s="666">
        <f ca="1">AA206</f>
        <v>0</v>
      </c>
      <c r="AB483" s="663"/>
      <c r="AC483" s="663"/>
      <c r="AD483" s="663"/>
      <c r="AE483" s="663"/>
      <c r="AF483" s="663"/>
      <c r="AG483" s="663"/>
      <c r="AH483" s="663"/>
      <c r="AI483" s="664"/>
      <c r="AL483" s="668" t="s">
        <v>114</v>
      </c>
      <c r="AM483" s="666">
        <f ca="1">AM206</f>
        <v>0</v>
      </c>
      <c r="AN483" s="663"/>
      <c r="AU483" s="664"/>
      <c r="AX483" s="668" t="s">
        <v>114</v>
      </c>
      <c r="AY483" s="666">
        <f ca="1">AY206</f>
        <v>0</v>
      </c>
      <c r="BG483" s="664"/>
      <c r="BJ483" s="668" t="s">
        <v>114</v>
      </c>
      <c r="BK483" s="666">
        <f ca="1">BK206</f>
        <v>0</v>
      </c>
      <c r="BS483" s="664"/>
      <c r="BV483" s="668" t="s">
        <v>114</v>
      </c>
      <c r="BW483" s="666">
        <f ca="1">BW206</f>
        <v>0</v>
      </c>
      <c r="CE483" s="664"/>
      <c r="CH483" s="668" t="s">
        <v>114</v>
      </c>
      <c r="CI483" s="666">
        <f ca="1">CI206</f>
        <v>0</v>
      </c>
      <c r="CQ483" s="664"/>
      <c r="CT483" s="668" t="s">
        <v>114</v>
      </c>
      <c r="CU483" s="666">
        <f ca="1">CU206</f>
        <v>0</v>
      </c>
      <c r="DC483" s="664"/>
      <c r="DF483" s="668" t="s">
        <v>114</v>
      </c>
      <c r="DG483" s="666">
        <f ca="1">DG206</f>
        <v>0</v>
      </c>
      <c r="DO483" s="664"/>
    </row>
    <row r="484" spans="2:119" hidden="1" x14ac:dyDescent="0.25">
      <c r="B484" s="668" t="s">
        <v>115</v>
      </c>
      <c r="C484" s="895">
        <f ca="1">IF($P$33=0,0,C206/$P$33)</f>
        <v>0</v>
      </c>
      <c r="K484" s="664"/>
      <c r="N484" s="668" t="s">
        <v>115</v>
      </c>
      <c r="O484" s="895">
        <f ca="1">IF($P$33=0,0,O206/$P$33)</f>
        <v>0</v>
      </c>
      <c r="U484" s="663"/>
      <c r="W484" s="664"/>
      <c r="Z484" s="668" t="s">
        <v>115</v>
      </c>
      <c r="AA484" s="895">
        <f ca="1">IF($P$33=0,0,AA206/$P$33)</f>
        <v>0</v>
      </c>
      <c r="AB484" s="663"/>
      <c r="AC484" s="663"/>
      <c r="AD484" s="663"/>
      <c r="AE484" s="663"/>
      <c r="AF484" s="663"/>
      <c r="AG484" s="663"/>
      <c r="AH484" s="663"/>
      <c r="AI484" s="664"/>
      <c r="AL484" s="668" t="s">
        <v>115</v>
      </c>
      <c r="AM484" s="895">
        <f ca="1">IF($P$33=0,0,AM206/$P$33)</f>
        <v>0</v>
      </c>
      <c r="AN484" s="663"/>
      <c r="AU484" s="664"/>
      <c r="AX484" s="668" t="s">
        <v>115</v>
      </c>
      <c r="AY484" s="895">
        <f ca="1">IF($P$33=0,0,AY206/$P$33)</f>
        <v>0</v>
      </c>
      <c r="BG484" s="664"/>
      <c r="BJ484" s="668" t="s">
        <v>115</v>
      </c>
      <c r="BK484" s="895">
        <f ca="1">IF($P$33=0,0,BK206/$P$33)</f>
        <v>0</v>
      </c>
      <c r="BS484" s="664"/>
      <c r="BV484" s="668" t="s">
        <v>115</v>
      </c>
      <c r="BW484" s="895">
        <f ca="1">IF($P$33=0,0,BW206/$P$33)</f>
        <v>0</v>
      </c>
      <c r="CE484" s="664"/>
      <c r="CH484" s="668" t="s">
        <v>115</v>
      </c>
      <c r="CI484" s="895">
        <f ca="1">IF($P$33=0,0,CI206/$P$33)</f>
        <v>0</v>
      </c>
      <c r="CQ484" s="664"/>
      <c r="CT484" s="668" t="s">
        <v>115</v>
      </c>
      <c r="CU484" s="895">
        <f ca="1">IF($P$33=0,0,CU206/$P$33)</f>
        <v>0</v>
      </c>
      <c r="DC484" s="664"/>
      <c r="DF484" s="668" t="s">
        <v>115</v>
      </c>
      <c r="DG484" s="895">
        <f ca="1">IF($P$33=0,0,DG206/$P$33)</f>
        <v>0</v>
      </c>
      <c r="DO484" s="664"/>
    </row>
    <row r="485" spans="2:119" hidden="1" x14ac:dyDescent="0.25">
      <c r="B485" s="896">
        <f>$F$5</f>
        <v>39113</v>
      </c>
      <c r="C485" s="897">
        <f>-$F$33</f>
        <v>-1000000</v>
      </c>
      <c r="K485" s="664"/>
      <c r="N485" s="896">
        <f>$F$5</f>
        <v>39113</v>
      </c>
      <c r="O485" s="897">
        <f>-$F$33</f>
        <v>-1000000</v>
      </c>
      <c r="U485" s="663"/>
      <c r="W485" s="664"/>
      <c r="Z485" s="896">
        <f>$F$5</f>
        <v>39113</v>
      </c>
      <c r="AA485" s="897">
        <f>-$F$33</f>
        <v>-1000000</v>
      </c>
      <c r="AB485" s="663"/>
      <c r="AC485" s="663"/>
      <c r="AD485" s="663"/>
      <c r="AE485" s="663"/>
      <c r="AF485" s="663"/>
      <c r="AG485" s="663"/>
      <c r="AH485" s="663"/>
      <c r="AI485" s="664"/>
      <c r="AL485" s="896">
        <f>$F$5</f>
        <v>39113</v>
      </c>
      <c r="AM485" s="897">
        <f>-$F$33</f>
        <v>-1000000</v>
      </c>
      <c r="AN485" s="663"/>
      <c r="AU485" s="664"/>
      <c r="AX485" s="896">
        <f>$F$5</f>
        <v>39113</v>
      </c>
      <c r="AY485" s="897">
        <f>-$F$33</f>
        <v>-1000000</v>
      </c>
      <c r="BG485" s="664"/>
      <c r="BJ485" s="896">
        <f>$F$5</f>
        <v>39113</v>
      </c>
      <c r="BK485" s="897">
        <f>-$F$33</f>
        <v>-1000000</v>
      </c>
      <c r="BS485" s="664"/>
      <c r="BV485" s="896">
        <f>$F$5</f>
        <v>39113</v>
      </c>
      <c r="BW485" s="897">
        <f>-$F$33</f>
        <v>-1000000</v>
      </c>
      <c r="CE485" s="664"/>
      <c r="CH485" s="896">
        <f>$F$5</f>
        <v>39113</v>
      </c>
      <c r="CI485" s="897">
        <f>-$F$33</f>
        <v>-1000000</v>
      </c>
      <c r="CQ485" s="664"/>
      <c r="CT485" s="896">
        <f>$F$5</f>
        <v>39113</v>
      </c>
      <c r="CU485" s="897">
        <f>-$F$33</f>
        <v>-1000000</v>
      </c>
      <c r="DC485" s="664"/>
      <c r="DF485" s="896">
        <f>$F$5</f>
        <v>39113</v>
      </c>
      <c r="DG485" s="897">
        <f>-$F$33</f>
        <v>-1000000</v>
      </c>
      <c r="DO485" s="664"/>
    </row>
    <row r="486" spans="2:119" hidden="1" x14ac:dyDescent="0.25">
      <c r="B486" s="896">
        <f>$G$5</f>
        <v>39478</v>
      </c>
      <c r="C486" s="897">
        <f>-$G$33</f>
        <v>-2000000</v>
      </c>
      <c r="K486" s="664"/>
      <c r="N486" s="896">
        <f>$G$5</f>
        <v>39478</v>
      </c>
      <c r="O486" s="897">
        <f>-$G$33</f>
        <v>-2000000</v>
      </c>
      <c r="U486" s="663"/>
      <c r="W486" s="664"/>
      <c r="Z486" s="896">
        <f>$G$5</f>
        <v>39478</v>
      </c>
      <c r="AA486" s="897">
        <f>-$G$33</f>
        <v>-2000000</v>
      </c>
      <c r="AB486" s="663"/>
      <c r="AC486" s="663"/>
      <c r="AD486" s="663"/>
      <c r="AE486" s="663"/>
      <c r="AF486" s="663"/>
      <c r="AG486" s="663"/>
      <c r="AH486" s="663"/>
      <c r="AI486" s="664"/>
      <c r="AL486" s="896">
        <f>$G$5</f>
        <v>39478</v>
      </c>
      <c r="AM486" s="897">
        <f>-$G$33</f>
        <v>-2000000</v>
      </c>
      <c r="AN486" s="663"/>
      <c r="AU486" s="664"/>
      <c r="AX486" s="896">
        <f>$G$5</f>
        <v>39478</v>
      </c>
      <c r="AY486" s="897">
        <f>-$G$33</f>
        <v>-2000000</v>
      </c>
      <c r="BG486" s="664"/>
      <c r="BJ486" s="896">
        <f>$G$5</f>
        <v>39478</v>
      </c>
      <c r="BK486" s="897">
        <f>-$G$33</f>
        <v>-2000000</v>
      </c>
      <c r="BS486" s="664"/>
      <c r="BV486" s="896">
        <f>$G$5</f>
        <v>39478</v>
      </c>
      <c r="BW486" s="897">
        <f>-$G$33</f>
        <v>-2000000</v>
      </c>
      <c r="CE486" s="664"/>
      <c r="CH486" s="896">
        <f>$G$5</f>
        <v>39478</v>
      </c>
      <c r="CI486" s="897">
        <f>-$G$33</f>
        <v>-2000000</v>
      </c>
      <c r="CQ486" s="664"/>
      <c r="CT486" s="896">
        <f>$G$5</f>
        <v>39478</v>
      </c>
      <c r="CU486" s="897">
        <f>-$G$33</f>
        <v>-2000000</v>
      </c>
      <c r="DC486" s="664"/>
      <c r="DF486" s="896">
        <f>$G$5</f>
        <v>39478</v>
      </c>
      <c r="DG486" s="897">
        <f>-$G$33</f>
        <v>-2000000</v>
      </c>
      <c r="DO486" s="664"/>
    </row>
    <row r="487" spans="2:119" hidden="1" x14ac:dyDescent="0.25">
      <c r="B487" s="896">
        <f>$H$5</f>
        <v>39843</v>
      </c>
      <c r="C487" s="897">
        <f>-$H$33</f>
        <v>-2500000</v>
      </c>
      <c r="K487" s="664"/>
      <c r="N487" s="896">
        <f>$H$5</f>
        <v>39843</v>
      </c>
      <c r="O487" s="897">
        <f>-$H$33</f>
        <v>-2500000</v>
      </c>
      <c r="U487" s="663"/>
      <c r="W487" s="664"/>
      <c r="Z487" s="896">
        <f>$H$5</f>
        <v>39843</v>
      </c>
      <c r="AA487" s="897">
        <f>-$H$33</f>
        <v>-2500000</v>
      </c>
      <c r="AB487" s="663"/>
      <c r="AC487" s="663"/>
      <c r="AD487" s="663"/>
      <c r="AE487" s="663"/>
      <c r="AF487" s="663"/>
      <c r="AG487" s="663"/>
      <c r="AH487" s="663"/>
      <c r="AI487" s="664"/>
      <c r="AL487" s="896">
        <f>$H$5</f>
        <v>39843</v>
      </c>
      <c r="AM487" s="897">
        <f>-$H$33</f>
        <v>-2500000</v>
      </c>
      <c r="AN487" s="663"/>
      <c r="AU487" s="664"/>
      <c r="AX487" s="896">
        <f>$H$5</f>
        <v>39843</v>
      </c>
      <c r="AY487" s="897">
        <f>-$H$33</f>
        <v>-2500000</v>
      </c>
      <c r="BG487" s="664"/>
      <c r="BJ487" s="896">
        <f>$H$5</f>
        <v>39843</v>
      </c>
      <c r="BK487" s="897">
        <f>-$H$33</f>
        <v>-2500000</v>
      </c>
      <c r="BS487" s="664"/>
      <c r="BV487" s="896">
        <f>$H$5</f>
        <v>39843</v>
      </c>
      <c r="BW487" s="897">
        <f>-$H$33</f>
        <v>-2500000</v>
      </c>
      <c r="CE487" s="664"/>
      <c r="CH487" s="896">
        <f>$H$5</f>
        <v>39843</v>
      </c>
      <c r="CI487" s="897">
        <f>-$H$33</f>
        <v>-2500000</v>
      </c>
      <c r="CQ487" s="664"/>
      <c r="CT487" s="896">
        <f>$H$5</f>
        <v>39843</v>
      </c>
      <c r="CU487" s="897">
        <f>-$H$33</f>
        <v>-2500000</v>
      </c>
      <c r="DC487" s="664"/>
      <c r="DF487" s="896">
        <f>$H$5</f>
        <v>39843</v>
      </c>
      <c r="DG487" s="897">
        <f>-$H$33</f>
        <v>-2500000</v>
      </c>
      <c r="DO487" s="664"/>
    </row>
    <row r="488" spans="2:119" hidden="1" x14ac:dyDescent="0.25">
      <c r="B488" s="896">
        <f>$I$5</f>
        <v>39843</v>
      </c>
      <c r="C488" s="897">
        <f>-$I$33</f>
        <v>0</v>
      </c>
      <c r="K488" s="664"/>
      <c r="N488" s="896">
        <f>$I$5</f>
        <v>39843</v>
      </c>
      <c r="O488" s="897">
        <f>-$I$33</f>
        <v>0</v>
      </c>
      <c r="U488" s="663"/>
      <c r="W488" s="664"/>
      <c r="Z488" s="896">
        <f>$I$5</f>
        <v>39843</v>
      </c>
      <c r="AA488" s="897">
        <f>-$I$33</f>
        <v>0</v>
      </c>
      <c r="AB488" s="663"/>
      <c r="AC488" s="663"/>
      <c r="AD488" s="663"/>
      <c r="AE488" s="663"/>
      <c r="AF488" s="663"/>
      <c r="AG488" s="663"/>
      <c r="AH488" s="663"/>
      <c r="AI488" s="664"/>
      <c r="AL488" s="896">
        <f>$I$5</f>
        <v>39843</v>
      </c>
      <c r="AM488" s="897">
        <f>-$I$33</f>
        <v>0</v>
      </c>
      <c r="AN488" s="663"/>
      <c r="AU488" s="664"/>
      <c r="AX488" s="896">
        <f>$I$5</f>
        <v>39843</v>
      </c>
      <c r="AY488" s="897">
        <f>-$I$33</f>
        <v>0</v>
      </c>
      <c r="BG488" s="664"/>
      <c r="BJ488" s="896">
        <f>$I$5</f>
        <v>39843</v>
      </c>
      <c r="BK488" s="897">
        <f>-$I$33</f>
        <v>0</v>
      </c>
      <c r="BS488" s="664"/>
      <c r="BV488" s="896">
        <f>$I$5</f>
        <v>39843</v>
      </c>
      <c r="BW488" s="897">
        <f>-$I$33</f>
        <v>0</v>
      </c>
      <c r="CE488" s="664"/>
      <c r="CH488" s="896">
        <f>$I$5</f>
        <v>39843</v>
      </c>
      <c r="CI488" s="897">
        <f>-$I$33</f>
        <v>0</v>
      </c>
      <c r="CQ488" s="664"/>
      <c r="CT488" s="896">
        <f>$I$5</f>
        <v>39843</v>
      </c>
      <c r="CU488" s="897">
        <f>-$I$33</f>
        <v>0</v>
      </c>
      <c r="DC488" s="664"/>
      <c r="DF488" s="896">
        <f>$I$5</f>
        <v>39843</v>
      </c>
      <c r="DG488" s="897">
        <f>-$I$33</f>
        <v>0</v>
      </c>
      <c r="DO488" s="664"/>
    </row>
    <row r="489" spans="2:119" hidden="1" x14ac:dyDescent="0.25">
      <c r="B489" s="896">
        <f>$J$5</f>
        <v>39843</v>
      </c>
      <c r="C489" s="897">
        <f>-$J$33</f>
        <v>0</v>
      </c>
      <c r="K489" s="664"/>
      <c r="N489" s="896">
        <f>$J$5</f>
        <v>39843</v>
      </c>
      <c r="O489" s="897">
        <f>-$J$33</f>
        <v>0</v>
      </c>
      <c r="U489" s="663"/>
      <c r="W489" s="664"/>
      <c r="Z489" s="896">
        <f>$J$5</f>
        <v>39843</v>
      </c>
      <c r="AA489" s="897">
        <f>-$J$33</f>
        <v>0</v>
      </c>
      <c r="AB489" s="663"/>
      <c r="AC489" s="663"/>
      <c r="AD489" s="663"/>
      <c r="AE489" s="663"/>
      <c r="AF489" s="663"/>
      <c r="AG489" s="663"/>
      <c r="AH489" s="663"/>
      <c r="AI489" s="664"/>
      <c r="AL489" s="896">
        <f>$J$5</f>
        <v>39843</v>
      </c>
      <c r="AM489" s="897">
        <f>-$J$33</f>
        <v>0</v>
      </c>
      <c r="AN489" s="663"/>
      <c r="AU489" s="664"/>
      <c r="AX489" s="896">
        <f>$J$5</f>
        <v>39843</v>
      </c>
      <c r="AY489" s="897">
        <f>-$J$33</f>
        <v>0</v>
      </c>
      <c r="BG489" s="664"/>
      <c r="BJ489" s="896">
        <f>$J$5</f>
        <v>39843</v>
      </c>
      <c r="BK489" s="897">
        <f>-$J$33</f>
        <v>0</v>
      </c>
      <c r="BS489" s="664"/>
      <c r="BV489" s="896">
        <f>$J$5</f>
        <v>39843</v>
      </c>
      <c r="BW489" s="897">
        <f>-$J$33</f>
        <v>0</v>
      </c>
      <c r="CE489" s="664"/>
      <c r="CH489" s="896">
        <f>$J$5</f>
        <v>39843</v>
      </c>
      <c r="CI489" s="897">
        <f>-$J$33</f>
        <v>0</v>
      </c>
      <c r="CQ489" s="664"/>
      <c r="CT489" s="896">
        <f>$J$5</f>
        <v>39843</v>
      </c>
      <c r="CU489" s="897">
        <f>-$J$33</f>
        <v>0</v>
      </c>
      <c r="DC489" s="664"/>
      <c r="DF489" s="896">
        <f>$J$5</f>
        <v>39843</v>
      </c>
      <c r="DG489" s="897">
        <f>-$J$33</f>
        <v>0</v>
      </c>
      <c r="DO489" s="664"/>
    </row>
    <row r="490" spans="2:119" hidden="1" x14ac:dyDescent="0.25">
      <c r="B490" s="896">
        <f>$K$5</f>
        <v>39843</v>
      </c>
      <c r="C490" s="897">
        <f>-$K$33</f>
        <v>0</v>
      </c>
      <c r="K490" s="664"/>
      <c r="N490" s="896">
        <f>$K$5</f>
        <v>39843</v>
      </c>
      <c r="O490" s="897">
        <f>-$K$33</f>
        <v>0</v>
      </c>
      <c r="U490" s="663"/>
      <c r="W490" s="664"/>
      <c r="Z490" s="896">
        <f>$K$5</f>
        <v>39843</v>
      </c>
      <c r="AA490" s="897">
        <f>-$K$33</f>
        <v>0</v>
      </c>
      <c r="AB490" s="663"/>
      <c r="AC490" s="663"/>
      <c r="AD490" s="663"/>
      <c r="AE490" s="663"/>
      <c r="AF490" s="663"/>
      <c r="AG490" s="663"/>
      <c r="AH490" s="663"/>
      <c r="AI490" s="664"/>
      <c r="AL490" s="896">
        <f>$K$5</f>
        <v>39843</v>
      </c>
      <c r="AM490" s="897">
        <f>-$K$33</f>
        <v>0</v>
      </c>
      <c r="AN490" s="663"/>
      <c r="AU490" s="664"/>
      <c r="AX490" s="896">
        <f>$K$5</f>
        <v>39843</v>
      </c>
      <c r="AY490" s="897">
        <f>-$K$33</f>
        <v>0</v>
      </c>
      <c r="BG490" s="664"/>
      <c r="BJ490" s="896">
        <f>$K$5</f>
        <v>39843</v>
      </c>
      <c r="BK490" s="897">
        <f>-$K$33</f>
        <v>0</v>
      </c>
      <c r="BS490" s="664"/>
      <c r="BV490" s="896">
        <f>$K$5</f>
        <v>39843</v>
      </c>
      <c r="BW490" s="897">
        <f>-$K$33</f>
        <v>0</v>
      </c>
      <c r="CE490" s="664"/>
      <c r="CH490" s="896">
        <f>$K$5</f>
        <v>39843</v>
      </c>
      <c r="CI490" s="897">
        <f>-$K$33</f>
        <v>0</v>
      </c>
      <c r="CQ490" s="664"/>
      <c r="CT490" s="896">
        <f>$K$5</f>
        <v>39843</v>
      </c>
      <c r="CU490" s="897">
        <f>-$K$33</f>
        <v>0</v>
      </c>
      <c r="DC490" s="664"/>
      <c r="DF490" s="896">
        <f>$K$5</f>
        <v>39843</v>
      </c>
      <c r="DG490" s="897">
        <f>-$K$33</f>
        <v>0</v>
      </c>
      <c r="DO490" s="664"/>
    </row>
    <row r="491" spans="2:119" hidden="1" x14ac:dyDescent="0.25">
      <c r="B491" s="896">
        <f>$L$5</f>
        <v>39843</v>
      </c>
      <c r="C491" s="897">
        <f>-$L$33</f>
        <v>0</v>
      </c>
      <c r="K491" s="664"/>
      <c r="N491" s="896">
        <f>$L$5</f>
        <v>39843</v>
      </c>
      <c r="O491" s="897">
        <f>-$L$33</f>
        <v>0</v>
      </c>
      <c r="U491" s="663"/>
      <c r="W491" s="664"/>
      <c r="Z491" s="896">
        <f>$L$5</f>
        <v>39843</v>
      </c>
      <c r="AA491" s="897">
        <f>-$L$33</f>
        <v>0</v>
      </c>
      <c r="AB491" s="663"/>
      <c r="AC491" s="663"/>
      <c r="AD491" s="663"/>
      <c r="AE491" s="663"/>
      <c r="AF491" s="663"/>
      <c r="AG491" s="663"/>
      <c r="AH491" s="663"/>
      <c r="AI491" s="664"/>
      <c r="AL491" s="896">
        <f>$L$5</f>
        <v>39843</v>
      </c>
      <c r="AM491" s="897">
        <f>-$L$33</f>
        <v>0</v>
      </c>
      <c r="AN491" s="663"/>
      <c r="AU491" s="664"/>
      <c r="AX491" s="896">
        <f>$L$5</f>
        <v>39843</v>
      </c>
      <c r="AY491" s="897">
        <f>-$L$33</f>
        <v>0</v>
      </c>
      <c r="BG491" s="664"/>
      <c r="BJ491" s="896">
        <f>$L$5</f>
        <v>39843</v>
      </c>
      <c r="BK491" s="897">
        <f>-$L$33</f>
        <v>0</v>
      </c>
      <c r="BS491" s="664"/>
      <c r="BV491" s="896">
        <f>$L$5</f>
        <v>39843</v>
      </c>
      <c r="BW491" s="897">
        <f>-$L$33</f>
        <v>0</v>
      </c>
      <c r="CE491" s="664"/>
      <c r="CH491" s="896">
        <f>$L$5</f>
        <v>39843</v>
      </c>
      <c r="CI491" s="897">
        <f>-$L$33</f>
        <v>0</v>
      </c>
      <c r="CQ491" s="664"/>
      <c r="CT491" s="896">
        <f>$L$5</f>
        <v>39843</v>
      </c>
      <c r="CU491" s="897">
        <f>-$L$33</f>
        <v>0</v>
      </c>
      <c r="DC491" s="664"/>
      <c r="DF491" s="896">
        <f>$L$5</f>
        <v>39843</v>
      </c>
      <c r="DG491" s="897">
        <f>-$L$33</f>
        <v>0</v>
      </c>
      <c r="DO491" s="664"/>
    </row>
    <row r="492" spans="2:119" hidden="1" x14ac:dyDescent="0.25">
      <c r="B492" s="896">
        <f>$M$5</f>
        <v>39843</v>
      </c>
      <c r="C492" s="897">
        <f>-$M$33</f>
        <v>0</v>
      </c>
      <c r="K492" s="664"/>
      <c r="N492" s="896">
        <f>$M$5</f>
        <v>39843</v>
      </c>
      <c r="O492" s="897">
        <f>-$M$33</f>
        <v>0</v>
      </c>
      <c r="U492" s="663"/>
      <c r="W492" s="664"/>
      <c r="Z492" s="896">
        <f>$M$5</f>
        <v>39843</v>
      </c>
      <c r="AA492" s="897">
        <f>-$M$33</f>
        <v>0</v>
      </c>
      <c r="AB492" s="663"/>
      <c r="AC492" s="663"/>
      <c r="AD492" s="663"/>
      <c r="AE492" s="663"/>
      <c r="AF492" s="663"/>
      <c r="AG492" s="663"/>
      <c r="AH492" s="663"/>
      <c r="AI492" s="664"/>
      <c r="AL492" s="896">
        <f>$M$5</f>
        <v>39843</v>
      </c>
      <c r="AM492" s="897">
        <f>-$M$33</f>
        <v>0</v>
      </c>
      <c r="AN492" s="663"/>
      <c r="AU492" s="664"/>
      <c r="AX492" s="896">
        <f>$M$5</f>
        <v>39843</v>
      </c>
      <c r="AY492" s="897">
        <f>-$M$33</f>
        <v>0</v>
      </c>
      <c r="BG492" s="664"/>
      <c r="BJ492" s="896">
        <f>$M$5</f>
        <v>39843</v>
      </c>
      <c r="BK492" s="897">
        <f>-$M$33</f>
        <v>0</v>
      </c>
      <c r="BS492" s="664"/>
      <c r="BV492" s="896">
        <f>$M$5</f>
        <v>39843</v>
      </c>
      <c r="BW492" s="897">
        <f>-$M$33</f>
        <v>0</v>
      </c>
      <c r="CE492" s="664"/>
      <c r="CH492" s="896">
        <f>$M$5</f>
        <v>39843</v>
      </c>
      <c r="CI492" s="897">
        <f>-$M$33</f>
        <v>0</v>
      </c>
      <c r="CQ492" s="664"/>
      <c r="CT492" s="896">
        <f>$M$5</f>
        <v>39843</v>
      </c>
      <c r="CU492" s="897">
        <f>-$M$33</f>
        <v>0</v>
      </c>
      <c r="DC492" s="664"/>
      <c r="DF492" s="896">
        <f>$M$5</f>
        <v>39843</v>
      </c>
      <c r="DG492" s="897">
        <f>-$M$33</f>
        <v>0</v>
      </c>
      <c r="DO492" s="664"/>
    </row>
    <row r="493" spans="2:119" hidden="1" x14ac:dyDescent="0.25">
      <c r="B493" s="896">
        <f>$N$5</f>
        <v>39843</v>
      </c>
      <c r="C493" s="897">
        <f>-$N$33</f>
        <v>0</v>
      </c>
      <c r="K493" s="664"/>
      <c r="N493" s="896">
        <f>$N$5</f>
        <v>39843</v>
      </c>
      <c r="O493" s="897">
        <f>-$N$33</f>
        <v>0</v>
      </c>
      <c r="U493" s="663"/>
      <c r="W493" s="664"/>
      <c r="Z493" s="896">
        <f>$N$5</f>
        <v>39843</v>
      </c>
      <c r="AA493" s="897">
        <f>-$N$33</f>
        <v>0</v>
      </c>
      <c r="AB493" s="663"/>
      <c r="AC493" s="663"/>
      <c r="AD493" s="663"/>
      <c r="AE493" s="663"/>
      <c r="AF493" s="663"/>
      <c r="AG493" s="663"/>
      <c r="AH493" s="663"/>
      <c r="AI493" s="664"/>
      <c r="AL493" s="896">
        <f>$N$5</f>
        <v>39843</v>
      </c>
      <c r="AM493" s="897">
        <f>-$N$33</f>
        <v>0</v>
      </c>
      <c r="AN493" s="663"/>
      <c r="AU493" s="664"/>
      <c r="AX493" s="896">
        <f>$N$5</f>
        <v>39843</v>
      </c>
      <c r="AY493" s="897">
        <f>-$N$33</f>
        <v>0</v>
      </c>
      <c r="BG493" s="664"/>
      <c r="BJ493" s="896">
        <f>$N$5</f>
        <v>39843</v>
      </c>
      <c r="BK493" s="897">
        <f>-$N$33</f>
        <v>0</v>
      </c>
      <c r="BS493" s="664"/>
      <c r="BV493" s="896">
        <f>$N$5</f>
        <v>39843</v>
      </c>
      <c r="BW493" s="897">
        <f>-$N$33</f>
        <v>0</v>
      </c>
      <c r="CE493" s="664"/>
      <c r="CH493" s="896">
        <f>$N$5</f>
        <v>39843</v>
      </c>
      <c r="CI493" s="897">
        <f>-$N$33</f>
        <v>0</v>
      </c>
      <c r="CQ493" s="664"/>
      <c r="CT493" s="896">
        <f>$N$5</f>
        <v>39843</v>
      </c>
      <c r="CU493" s="897">
        <f>-$N$33</f>
        <v>0</v>
      </c>
      <c r="DC493" s="664"/>
      <c r="DF493" s="896">
        <f>$N$5</f>
        <v>39843</v>
      </c>
      <c r="DG493" s="897">
        <f>-$N$33</f>
        <v>0</v>
      </c>
      <c r="DO493" s="664"/>
    </row>
    <row r="494" spans="2:119" hidden="1" x14ac:dyDescent="0.25">
      <c r="B494" s="896">
        <f>$O$5</f>
        <v>39843</v>
      </c>
      <c r="C494" s="897">
        <f>-$O$33</f>
        <v>0</v>
      </c>
      <c r="K494" s="664"/>
      <c r="N494" s="896">
        <f>$O$5</f>
        <v>39843</v>
      </c>
      <c r="O494" s="897">
        <f>-$O$33</f>
        <v>0</v>
      </c>
      <c r="U494" s="663"/>
      <c r="W494" s="664"/>
      <c r="Z494" s="896">
        <f>$O$5</f>
        <v>39843</v>
      </c>
      <c r="AA494" s="897">
        <f>-$O$33</f>
        <v>0</v>
      </c>
      <c r="AB494" s="663"/>
      <c r="AC494" s="663"/>
      <c r="AD494" s="663"/>
      <c r="AE494" s="663"/>
      <c r="AF494" s="663"/>
      <c r="AG494" s="663"/>
      <c r="AH494" s="663"/>
      <c r="AI494" s="664"/>
      <c r="AL494" s="896">
        <f>$O$5</f>
        <v>39843</v>
      </c>
      <c r="AM494" s="897">
        <f>-$O$33</f>
        <v>0</v>
      </c>
      <c r="AN494" s="663"/>
      <c r="AU494" s="664"/>
      <c r="AX494" s="896">
        <f>$O$5</f>
        <v>39843</v>
      </c>
      <c r="AY494" s="897">
        <f>-$O$33</f>
        <v>0</v>
      </c>
      <c r="BG494" s="664"/>
      <c r="BJ494" s="896">
        <f>$O$5</f>
        <v>39843</v>
      </c>
      <c r="BK494" s="897">
        <f>-$O$33</f>
        <v>0</v>
      </c>
      <c r="BS494" s="664"/>
      <c r="BV494" s="896">
        <f>$O$5</f>
        <v>39843</v>
      </c>
      <c r="BW494" s="897">
        <f>-$O$33</f>
        <v>0</v>
      </c>
      <c r="CE494" s="664"/>
      <c r="CH494" s="896">
        <f>$O$5</f>
        <v>39843</v>
      </c>
      <c r="CI494" s="897">
        <f>-$O$33</f>
        <v>0</v>
      </c>
      <c r="CQ494" s="664"/>
      <c r="CT494" s="896">
        <f>$O$5</f>
        <v>39843</v>
      </c>
      <c r="CU494" s="897">
        <f>-$O$33</f>
        <v>0</v>
      </c>
      <c r="DC494" s="664"/>
      <c r="DF494" s="896">
        <f>$O$5</f>
        <v>39843</v>
      </c>
      <c r="DG494" s="897">
        <f>-$O$33</f>
        <v>0</v>
      </c>
      <c r="DO494" s="664"/>
    </row>
    <row r="495" spans="2:119" hidden="1" x14ac:dyDescent="0.25">
      <c r="B495" s="896">
        <f>$C$55</f>
        <v>40999</v>
      </c>
      <c r="C495" s="897">
        <f ca="1">C483</f>
        <v>0</v>
      </c>
      <c r="K495" s="664"/>
      <c r="N495" s="896">
        <f>$C$55</f>
        <v>40999</v>
      </c>
      <c r="O495" s="897">
        <f ca="1">O483</f>
        <v>0</v>
      </c>
      <c r="U495" s="663"/>
      <c r="W495" s="664"/>
      <c r="Z495" s="896">
        <f>$C$55</f>
        <v>40999</v>
      </c>
      <c r="AA495" s="897">
        <f ca="1">AA483</f>
        <v>0</v>
      </c>
      <c r="AB495" s="663"/>
      <c r="AC495" s="663"/>
      <c r="AD495" s="663"/>
      <c r="AE495" s="663"/>
      <c r="AF495" s="663"/>
      <c r="AG495" s="663"/>
      <c r="AH495" s="663"/>
      <c r="AI495" s="664"/>
      <c r="AL495" s="896">
        <f>$C$55</f>
        <v>40999</v>
      </c>
      <c r="AM495" s="897">
        <f ca="1">AM483</f>
        <v>0</v>
      </c>
      <c r="AN495" s="663"/>
      <c r="AU495" s="664"/>
      <c r="AX495" s="896">
        <f>$C$55</f>
        <v>40999</v>
      </c>
      <c r="AY495" s="897">
        <f ca="1">AY483</f>
        <v>0</v>
      </c>
      <c r="BG495" s="664"/>
      <c r="BJ495" s="896">
        <f>$C$55</f>
        <v>40999</v>
      </c>
      <c r="BK495" s="897">
        <f ca="1">BK483</f>
        <v>0</v>
      </c>
      <c r="BS495" s="664"/>
      <c r="BV495" s="896">
        <f>$C$55</f>
        <v>40999</v>
      </c>
      <c r="BW495" s="897">
        <f ca="1">BW483</f>
        <v>0</v>
      </c>
      <c r="CE495" s="664"/>
      <c r="CH495" s="896">
        <f>$C$55</f>
        <v>40999</v>
      </c>
      <c r="CI495" s="897">
        <f ca="1">CI483</f>
        <v>0</v>
      </c>
      <c r="CQ495" s="664"/>
      <c r="CT495" s="896">
        <f>$C$55</f>
        <v>40999</v>
      </c>
      <c r="CU495" s="897">
        <f ca="1">CU483</f>
        <v>0</v>
      </c>
      <c r="DC495" s="664"/>
      <c r="DF495" s="896">
        <f>$C$55</f>
        <v>40999</v>
      </c>
      <c r="DG495" s="897">
        <f ca="1">DG483</f>
        <v>0</v>
      </c>
      <c r="DO495" s="664"/>
    </row>
    <row r="496" spans="2:119" hidden="1" x14ac:dyDescent="0.25">
      <c r="B496" s="898">
        <f>IF(C485&lt;&gt;0,ROW(C485),IF(C486&lt;&gt;0,ROW(C486),IF(C487&lt;&gt;0,ROW(C487),IF(C488&lt;&gt;0,ROW(C488),IF(C489&lt;&gt;0,ROW(C489),IF(C490&lt;&gt;0,ROW(C490),IF(C491&lt;&gt;0,ROW(C491),IF(C492&lt;&gt;0,ROW(C492),IF(C493&lt;&gt;0,ROW(C493),IF(C494&lt;&gt;0,ROW(C494),0))))))))))</f>
        <v>485</v>
      </c>
      <c r="C496" s="882" t="e">
        <f ca="1">IF(ISERROR(XIRR(INDIRECT(B498):C495,INDIRECT(B497):B495,-20%)),XIRR(INDIRECT(B498):C495,INDIRECT(B497):B495,20%),"N/A")</f>
        <v>#NUM!</v>
      </c>
      <c r="K496" s="664"/>
      <c r="N496" s="898">
        <f>IF(O485&lt;&gt;0,ROW(O485),IF(O486&lt;&gt;0,ROW(O486),IF(O487&lt;&gt;0,ROW(O487),IF(O488&lt;&gt;0,ROW(O488),IF(O489&lt;&gt;0,ROW(O489),IF(O490&lt;&gt;0,ROW(O490),IF(O491&lt;&gt;0,ROW(O491),IF(O492&lt;&gt;0,ROW(O492),IF(O493&lt;&gt;0,ROW(O493),IF(O494&lt;&gt;0,ROW(O494),0))))))))))</f>
        <v>485</v>
      </c>
      <c r="O496" s="882" t="e">
        <f ca="1">IF(ISERROR(XIRR(INDIRECT(N498):O495,INDIRECT(N497):N495,-20%)),XIRR(INDIRECT(N498):O495,INDIRECT(N497):N495,20%),"N/A")</f>
        <v>#NUM!</v>
      </c>
      <c r="U496" s="663"/>
      <c r="W496" s="664"/>
      <c r="Z496" s="898">
        <f>IF(AA485&lt;&gt;0,ROW(AA485),IF(AA486&lt;&gt;0,ROW(AA486),IF(AA487&lt;&gt;0,ROW(AA487),IF(AA488&lt;&gt;0,ROW(AA488),IF(AA489&lt;&gt;0,ROW(AA489),IF(AA490&lt;&gt;0,ROW(AA490),IF(AA491&lt;&gt;0,ROW(AA491),IF(AA492&lt;&gt;0,ROW(AA492),IF(AA493&lt;&gt;0,ROW(AA493),IF(AA494&lt;&gt;0,ROW(AA494),0))))))))))</f>
        <v>485</v>
      </c>
      <c r="AA496" s="882" t="e">
        <f ca="1">IF(ISERROR(XIRR(INDIRECT(Z498):AA495,INDIRECT(Z497):Z495,-20%)),XIRR(INDIRECT(Z498):AA495,INDIRECT(Z497):Z495,20%),"N/A")</f>
        <v>#NUM!</v>
      </c>
      <c r="AB496" s="663"/>
      <c r="AC496" s="663"/>
      <c r="AD496" s="663"/>
      <c r="AE496" s="663"/>
      <c r="AF496" s="663"/>
      <c r="AG496" s="663"/>
      <c r="AH496" s="663"/>
      <c r="AI496" s="664"/>
      <c r="AL496" s="898">
        <f>IF(AM485&lt;&gt;0,ROW(AM485),IF(AM486&lt;&gt;0,ROW(AM486),IF(AM487&lt;&gt;0,ROW(AM487),IF(AM488&lt;&gt;0,ROW(AM488),IF(AM489&lt;&gt;0,ROW(AM489),IF(AM490&lt;&gt;0,ROW(AM490),IF(AM491&lt;&gt;0,ROW(AM491),IF(AM492&lt;&gt;0,ROW(AM492),IF(AM493&lt;&gt;0,ROW(AM493),IF(AM494&lt;&gt;0,ROW(AM494),0))))))))))</f>
        <v>485</v>
      </c>
      <c r="AM496" s="882" t="e">
        <f ca="1">IF(ISERROR(XIRR(INDIRECT(AL498):AM495,INDIRECT(AL497):AL495,-20%)),XIRR(INDIRECT(AL498):AM495,INDIRECT(AL497):AL495,20%),"N/A")</f>
        <v>#NUM!</v>
      </c>
      <c r="AN496" s="663"/>
      <c r="AU496" s="664"/>
      <c r="AX496" s="898">
        <f>IF(AY485&lt;&gt;0,ROW(AY485),IF(AY486&lt;&gt;0,ROW(AY486),IF(AY487&lt;&gt;0,ROW(AY487),IF(AY488&lt;&gt;0,ROW(AY488),IF(AY489&lt;&gt;0,ROW(AY489),IF(AY490&lt;&gt;0,ROW(AY490),IF(AY491&lt;&gt;0,ROW(AY491),IF(AY492&lt;&gt;0,ROW(AY492),IF(AY493&lt;&gt;0,ROW(AY493),IF(AY494&lt;&gt;0,ROW(AY494),0))))))))))</f>
        <v>485</v>
      </c>
      <c r="AY496" s="882" t="e">
        <f ca="1">IF(ISERROR(XIRR(INDIRECT(AX498):AY495,INDIRECT(AX497):AX495,-20%)),XIRR(INDIRECT(AX498):AY495,INDIRECT(AX497):AX495,20%),"N/A")</f>
        <v>#NUM!</v>
      </c>
      <c r="BG496" s="664"/>
      <c r="BJ496" s="898">
        <f>IF(BK485&lt;&gt;0,ROW(BK485),IF(BK486&lt;&gt;0,ROW(BK486),IF(BK487&lt;&gt;0,ROW(BK487),IF(BK488&lt;&gt;0,ROW(BK488),IF(BK489&lt;&gt;0,ROW(BK489),IF(BK490&lt;&gt;0,ROW(BK490),IF(BK491&lt;&gt;0,ROW(BK491),IF(BK492&lt;&gt;0,ROW(BK492),IF(BK493&lt;&gt;0,ROW(BK493),IF(BK494&lt;&gt;0,ROW(BK494),0))))))))))</f>
        <v>485</v>
      </c>
      <c r="BK496" s="882" t="e">
        <f ca="1">IF(ISERROR(XIRR(INDIRECT(BJ498):BK495,INDIRECT(BJ497):BJ495,-20%)),XIRR(INDIRECT(BJ498):BK495,INDIRECT(BJ497):BJ495,20%),"N/A")</f>
        <v>#NUM!</v>
      </c>
      <c r="BS496" s="664"/>
      <c r="BV496" s="898">
        <f>IF(BW485&lt;&gt;0,ROW(BW485),IF(BW486&lt;&gt;0,ROW(BW486),IF(BW487&lt;&gt;0,ROW(BW487),IF(BW488&lt;&gt;0,ROW(BW488),IF(BW489&lt;&gt;0,ROW(BW489),IF(BW490&lt;&gt;0,ROW(BW490),IF(BW491&lt;&gt;0,ROW(BW491),IF(BW492&lt;&gt;0,ROW(BW492),IF(BW493&lt;&gt;0,ROW(BW493),IF(BW494&lt;&gt;0,ROW(BW494),0))))))))))</f>
        <v>485</v>
      </c>
      <c r="BW496" s="882" t="e">
        <f ca="1">IF(ISERROR(XIRR(INDIRECT(BV498):BW495,INDIRECT(BV497):BV495,-20%)),XIRR(INDIRECT(BV498):BW495,INDIRECT(BV497):BV495,20%),"N/A")</f>
        <v>#NUM!</v>
      </c>
      <c r="CE496" s="664"/>
      <c r="CH496" s="898">
        <f>IF(CI485&lt;&gt;0,ROW(CI485),IF(CI486&lt;&gt;0,ROW(CI486),IF(CI487&lt;&gt;0,ROW(CI487),IF(CI488&lt;&gt;0,ROW(CI488),IF(CI489&lt;&gt;0,ROW(CI489),IF(CI490&lt;&gt;0,ROW(CI490),IF(CI491&lt;&gt;0,ROW(CI491),IF(CI492&lt;&gt;0,ROW(CI492),IF(CI493&lt;&gt;0,ROW(CI493),IF(CI494&lt;&gt;0,ROW(CI494),0))))))))))</f>
        <v>485</v>
      </c>
      <c r="CI496" s="882" t="e">
        <f ca="1">IF(ISERROR(XIRR(INDIRECT(CH498):CI495,INDIRECT(CH497):CH495,-20%)),XIRR(INDIRECT(CH498):CI495,INDIRECT(CH497):CH495,20%),"N/A")</f>
        <v>#NUM!</v>
      </c>
      <c r="CQ496" s="664"/>
      <c r="CT496" s="898">
        <f>IF(CU485&lt;&gt;0,ROW(CU485),IF(CU486&lt;&gt;0,ROW(CU486),IF(CU487&lt;&gt;0,ROW(CU487),IF(CU488&lt;&gt;0,ROW(CU488),IF(CU489&lt;&gt;0,ROW(CU489),IF(CU490&lt;&gt;0,ROW(CU490),IF(CU491&lt;&gt;0,ROW(CU491),IF(CU492&lt;&gt;0,ROW(CU492),IF(CU493&lt;&gt;0,ROW(CU493),IF(CU494&lt;&gt;0,ROW(CU494),0))))))))))</f>
        <v>485</v>
      </c>
      <c r="CU496" s="882" t="e">
        <f ca="1">IF(ISERROR(XIRR(INDIRECT(CT498):CU495,INDIRECT(CT497):CT495,-20%)),XIRR(INDIRECT(CT498):CU495,INDIRECT(CT497):CT495,20%),"N/A")</f>
        <v>#NUM!</v>
      </c>
      <c r="DC496" s="664"/>
      <c r="DF496" s="898">
        <f>IF(DG485&lt;&gt;0,ROW(DG485),IF(DG486&lt;&gt;0,ROW(DG486),IF(DG487&lt;&gt;0,ROW(DG487),IF(DG488&lt;&gt;0,ROW(DG488),IF(DG489&lt;&gt;0,ROW(DG489),IF(DG490&lt;&gt;0,ROW(DG490),IF(DG491&lt;&gt;0,ROW(DG491),IF(DG492&lt;&gt;0,ROW(DG492),IF(DG493&lt;&gt;0,ROW(DG493),IF(DG494&lt;&gt;0,ROW(DG494),0))))))))))</f>
        <v>485</v>
      </c>
      <c r="DG496" s="882" t="e">
        <f ca="1">IF(ISERROR(XIRR(INDIRECT(DF498):DG495,INDIRECT(DF497):DF495,-20%)),XIRR(INDIRECT(DF498):DG495,INDIRECT(DF497):DF495,20%),"N/A")</f>
        <v>#NUM!</v>
      </c>
      <c r="DO496" s="664"/>
    </row>
    <row r="497" spans="2:119" hidden="1" x14ac:dyDescent="0.25">
      <c r="B497" s="899" t="str">
        <f>CONCATENATE(CHAR(64+COLUMN(B496)),B496)</f>
        <v>B485</v>
      </c>
      <c r="C497" s="897"/>
      <c r="K497" s="664"/>
      <c r="N497" s="899" t="str">
        <f>CONCATENATE(CHAR(64+COLUMN(N496)),N496)</f>
        <v>N485</v>
      </c>
      <c r="O497" s="897"/>
      <c r="U497" s="663"/>
      <c r="W497" s="664"/>
      <c r="Z497" s="899" t="str">
        <f>CONCATENATE(IF(COLUMN(Z496)&lt;=26,CHAR(96+COLUMN(Z496)),(CHAR(96+(ROUNDDOWN((COLUMN(Z496)-1)/26,0)))&amp;CHAR(96+IF(MOD(COLUMN(Z496),26)=0,26,MOD(COLUMN(Z496),26))))),Z496)</f>
        <v>z485</v>
      </c>
      <c r="AA497" s="897"/>
      <c r="AB497" s="663"/>
      <c r="AC497" s="663"/>
      <c r="AD497" s="663"/>
      <c r="AE497" s="663"/>
      <c r="AF497" s="663"/>
      <c r="AG497" s="663"/>
      <c r="AH497" s="663"/>
      <c r="AI497" s="664"/>
      <c r="AL497" s="899" t="str">
        <f>CONCATENATE(IF(COLUMN(AL496)&lt;=26,CHAR(96+COLUMN(AL496)),(CHAR(96+(ROUNDDOWN((COLUMN(AL496)-1)/26,0)))&amp;CHAR(96+IF(MOD(COLUMN(AL496),26)=0,26,MOD(COLUMN(AL496),26))))),AL496)</f>
        <v>al485</v>
      </c>
      <c r="AM497" s="897"/>
      <c r="AN497" s="663"/>
      <c r="AU497" s="664"/>
      <c r="AX497" s="899" t="str">
        <f>CONCATENATE(IF(COLUMN(AX496)&lt;=26,CHAR(96+COLUMN(AX496)),(CHAR(96+(ROUNDDOWN((COLUMN(AX496)-1)/26,0)))&amp;CHAR(96+IF(MOD(COLUMN(AX496),26)=0,26,MOD(COLUMN(AX496),26))))),AX496)</f>
        <v>ax485</v>
      </c>
      <c r="AY497" s="897"/>
      <c r="BG497" s="664"/>
      <c r="BJ497" s="899" t="str">
        <f>CONCATENATE(IF(COLUMN(BJ496)&lt;=26,CHAR(96+COLUMN(BJ496)),(CHAR(96+(ROUNDDOWN((COLUMN(BJ496)-1)/26,0)))&amp;CHAR(96+IF(MOD(COLUMN(BJ496),26)=0,26,MOD(COLUMN(BJ496),26))))),BJ496)</f>
        <v>bj485</v>
      </c>
      <c r="BK497" s="897"/>
      <c r="BS497" s="664"/>
      <c r="BV497" s="899" t="str">
        <f>CONCATENATE(IF(COLUMN(BV496)&lt;=26,CHAR(96+COLUMN(BV496)),(CHAR(96+(ROUNDDOWN((COLUMN(BV496)-1)/26,0)))&amp;CHAR(96+IF(MOD(COLUMN(BV496),26)=0,26,MOD(COLUMN(BV496),26))))),BV496)</f>
        <v>bv485</v>
      </c>
      <c r="BW497" s="897"/>
      <c r="CE497" s="664"/>
      <c r="CH497" s="899" t="str">
        <f>CONCATENATE(IF(COLUMN(CH496)&lt;=26,CHAR(96+COLUMN(CH496)),(CHAR(96+(ROUNDDOWN((COLUMN(CH496)-1)/26,0)))&amp;CHAR(96+IF(MOD(COLUMN(CH496),26)=0,26,MOD(COLUMN(CH496),26))))),CH496)</f>
        <v>ch485</v>
      </c>
      <c r="CI497" s="897"/>
      <c r="CQ497" s="664"/>
      <c r="CT497" s="899" t="str">
        <f>CONCATENATE(IF(COLUMN(CT496)&lt;=26,CHAR(96+COLUMN(CT496)),(CHAR(96+(ROUNDDOWN((COLUMN(CT496)-1)/26,0)))&amp;CHAR(96+IF(MOD(COLUMN(CT496),26)=0,26,MOD(COLUMN(CT496),26))))),CT496)</f>
        <v>ct485</v>
      </c>
      <c r="CU497" s="897"/>
      <c r="DC497" s="664"/>
      <c r="DF497" s="899" t="str">
        <f>CONCATENATE(IF(COLUMN(DF496)&lt;=26,CHAR(96+COLUMN(DF496)),(CHAR(96+(ROUNDDOWN((COLUMN(DF496)-1)/26,0)))&amp;CHAR(96+IF(MOD(COLUMN(DF496),26)=0,26,MOD(COLUMN(DF496),26))))),DF496)</f>
        <v>df485</v>
      </c>
      <c r="DG497" s="897"/>
      <c r="DO497" s="664"/>
    </row>
    <row r="498" spans="2:119" hidden="1" x14ac:dyDescent="0.25">
      <c r="B498" s="899" t="str">
        <f>CONCATENATE(CHAR(64+COLUMN(C496)),B496)</f>
        <v>C485</v>
      </c>
      <c r="C498" s="897"/>
      <c r="K498" s="664"/>
      <c r="N498" s="899" t="str">
        <f>CONCATENATE(CHAR(64+COLUMN(O496)),N496)</f>
        <v>O485</v>
      </c>
      <c r="O498" s="897"/>
      <c r="U498" s="663"/>
      <c r="W498" s="664"/>
      <c r="Z498" s="899" t="str">
        <f>CONCATENATE(IF(COLUMN(AA496)&lt;=26,CHAR(96+COLUMN(AA496)),(CHAR(96+(ROUNDDOWN((COLUMN(AA496)-1)/26,0)))&amp;CHAR(96+IF(MOD(COLUMN(AA496),26)=0,26,MOD(COLUMN(AA496),26))))),Z496)</f>
        <v>aa485</v>
      </c>
      <c r="AA498" s="897"/>
      <c r="AB498" s="663"/>
      <c r="AC498" s="663"/>
      <c r="AD498" s="663"/>
      <c r="AE498" s="663"/>
      <c r="AF498" s="663"/>
      <c r="AG498" s="663"/>
      <c r="AH498" s="663"/>
      <c r="AI498" s="664"/>
      <c r="AL498" s="899" t="str">
        <f>CONCATENATE(IF(COLUMN(AM496)&lt;=26,CHAR(96+COLUMN(AM496)),(CHAR(96+(ROUNDDOWN((COLUMN(AM496)-1)/26,0)))&amp;CHAR(96+IF(MOD(COLUMN(AM496),26)=0,26,MOD(COLUMN(AM496),26))))),AL496)</f>
        <v>am485</v>
      </c>
      <c r="AM498" s="897"/>
      <c r="AN498" s="663"/>
      <c r="AU498" s="664"/>
      <c r="AX498" s="899" t="str">
        <f>CONCATENATE(IF(COLUMN(AY496)&lt;=26,CHAR(96+COLUMN(AY496)),(CHAR(96+(ROUNDDOWN((COLUMN(AY496)-1)/26,0)))&amp;CHAR(96+IF(MOD(COLUMN(AY496),26)=0,26,MOD(COLUMN(AY496),26))))),AX496)</f>
        <v>ay485</v>
      </c>
      <c r="AY498" s="897"/>
      <c r="BG498" s="664"/>
      <c r="BJ498" s="899" t="str">
        <f>CONCATENATE(IF(COLUMN(BK496)&lt;=26,CHAR(96+COLUMN(BK496)),(CHAR(96+(ROUNDDOWN((COLUMN(BK496)-1)/26,0)))&amp;CHAR(96+IF(MOD(COLUMN(BK496),26)=0,26,MOD(COLUMN(BK496),26))))),BJ496)</f>
        <v>bk485</v>
      </c>
      <c r="BK498" s="897"/>
      <c r="BS498" s="664"/>
      <c r="BV498" s="899" t="str">
        <f>CONCATENATE(IF(COLUMN(BW496)&lt;=26,CHAR(96+COLUMN(BW496)),(CHAR(96+(ROUNDDOWN((COLUMN(BW496)-1)/26,0)))&amp;CHAR(96+IF(MOD(COLUMN(BW496),26)=0,26,MOD(COLUMN(BW496),26))))),BV496)</f>
        <v>bw485</v>
      </c>
      <c r="BW498" s="897"/>
      <c r="CE498" s="664"/>
      <c r="CH498" s="899" t="str">
        <f>CONCATENATE(IF(COLUMN(CI496)&lt;=26,CHAR(96+COLUMN(CI496)),(CHAR(96+(ROUNDDOWN((COLUMN(CI496)-1)/26,0)))&amp;CHAR(96+IF(MOD(COLUMN(CI496),26)=0,26,MOD(COLUMN(CI496),26))))),CH496)</f>
        <v>ci485</v>
      </c>
      <c r="CI498" s="897"/>
      <c r="CQ498" s="664"/>
      <c r="CT498" s="899" t="str">
        <f>CONCATENATE(IF(COLUMN(CU496)&lt;=26,CHAR(96+COLUMN(CU496)),(CHAR(96+(ROUNDDOWN((COLUMN(CU496)-1)/26,0)))&amp;CHAR(96+IF(MOD(COLUMN(CU496),26)=0,26,MOD(COLUMN(CU496),26))))),CT496)</f>
        <v>cu485</v>
      </c>
      <c r="CU498" s="897"/>
      <c r="DC498" s="664"/>
      <c r="DF498" s="899" t="str">
        <f>CONCATENATE(IF(COLUMN(DG496)&lt;=26,CHAR(96+COLUMN(DG496)),(CHAR(96+(ROUNDDOWN((COLUMN(DG496)-1)/26,0)))&amp;CHAR(96+IF(MOD(COLUMN(DG496),26)=0,26,MOD(COLUMN(DG496),26))))),DF496)</f>
        <v>dg485</v>
      </c>
      <c r="DG498" s="897"/>
      <c r="DO498" s="664"/>
    </row>
    <row r="499" spans="2:119" hidden="1" x14ac:dyDescent="0.25">
      <c r="B499" s="668"/>
      <c r="C499" s="895"/>
      <c r="K499" s="664"/>
      <c r="N499" s="668"/>
      <c r="O499" s="895"/>
      <c r="U499" s="663"/>
      <c r="W499" s="664"/>
      <c r="Z499" s="668"/>
      <c r="AA499" s="895"/>
      <c r="AB499" s="663"/>
      <c r="AC499" s="663"/>
      <c r="AD499" s="663"/>
      <c r="AE499" s="663"/>
      <c r="AF499" s="663"/>
      <c r="AG499" s="663"/>
      <c r="AH499" s="663"/>
      <c r="AI499" s="664"/>
      <c r="AL499" s="668"/>
      <c r="AM499" s="895"/>
      <c r="AN499" s="663"/>
      <c r="AU499" s="664"/>
      <c r="AX499" s="668"/>
      <c r="AY499" s="895"/>
      <c r="BG499" s="664"/>
      <c r="BJ499" s="668"/>
      <c r="BK499" s="895"/>
      <c r="BS499" s="664"/>
      <c r="BV499" s="668"/>
      <c r="BW499" s="895"/>
      <c r="CE499" s="664"/>
      <c r="CH499" s="668"/>
      <c r="CI499" s="895"/>
      <c r="CQ499" s="664"/>
      <c r="CT499" s="668"/>
      <c r="CU499" s="895"/>
      <c r="DC499" s="664"/>
      <c r="DF499" s="668"/>
      <c r="DG499" s="895"/>
      <c r="DO499" s="664"/>
    </row>
    <row r="500" spans="2:119" hidden="1" x14ac:dyDescent="0.25">
      <c r="B500" s="896">
        <f>B485</f>
        <v>39113</v>
      </c>
      <c r="C500" s="897">
        <f>C485</f>
        <v>-1000000</v>
      </c>
      <c r="K500" s="664"/>
      <c r="N500" s="896">
        <f>N485</f>
        <v>39113</v>
      </c>
      <c r="O500" s="897">
        <f>O485</f>
        <v>-1000000</v>
      </c>
      <c r="U500" s="663"/>
      <c r="W500" s="664"/>
      <c r="Z500" s="896">
        <f>Z485</f>
        <v>39113</v>
      </c>
      <c r="AA500" s="897">
        <f>AA485</f>
        <v>-1000000</v>
      </c>
      <c r="AB500" s="663"/>
      <c r="AC500" s="663"/>
      <c r="AD500" s="663"/>
      <c r="AE500" s="663"/>
      <c r="AF500" s="663"/>
      <c r="AG500" s="663"/>
      <c r="AH500" s="663"/>
      <c r="AI500" s="664"/>
      <c r="AL500" s="896">
        <f>AL485</f>
        <v>39113</v>
      </c>
      <c r="AM500" s="897">
        <f>AM485</f>
        <v>-1000000</v>
      </c>
      <c r="AN500" s="663"/>
      <c r="AU500" s="664"/>
      <c r="AX500" s="896">
        <f>AX485</f>
        <v>39113</v>
      </c>
      <c r="AY500" s="897">
        <f>AY485</f>
        <v>-1000000</v>
      </c>
      <c r="BG500" s="664"/>
      <c r="BJ500" s="896">
        <f>BJ485</f>
        <v>39113</v>
      </c>
      <c r="BK500" s="897">
        <f>BK485</f>
        <v>-1000000</v>
      </c>
      <c r="BS500" s="664"/>
      <c r="BV500" s="896">
        <f>BV485</f>
        <v>39113</v>
      </c>
      <c r="BW500" s="897">
        <f>BW485</f>
        <v>-1000000</v>
      </c>
      <c r="CE500" s="664"/>
      <c r="CH500" s="896">
        <f>CH485</f>
        <v>39113</v>
      </c>
      <c r="CI500" s="897">
        <f>CI485</f>
        <v>-1000000</v>
      </c>
      <c r="CQ500" s="664"/>
      <c r="CT500" s="896">
        <f>CT485</f>
        <v>39113</v>
      </c>
      <c r="CU500" s="897">
        <f>CU485</f>
        <v>-1000000</v>
      </c>
      <c r="DC500" s="664"/>
      <c r="DF500" s="896">
        <f>DF485</f>
        <v>39113</v>
      </c>
      <c r="DG500" s="897">
        <f>DG485</f>
        <v>-1000000</v>
      </c>
      <c r="DO500" s="664"/>
    </row>
    <row r="501" spans="2:119" hidden="1" x14ac:dyDescent="0.25">
      <c r="B501" s="896">
        <f t="shared" ref="B501:C501" si="1151">B486</f>
        <v>39478</v>
      </c>
      <c r="C501" s="897">
        <f t="shared" si="1151"/>
        <v>-2000000</v>
      </c>
      <c r="K501" s="664"/>
      <c r="N501" s="896">
        <f t="shared" ref="N501:O501" si="1152">N486</f>
        <v>39478</v>
      </c>
      <c r="O501" s="897">
        <f t="shared" si="1152"/>
        <v>-2000000</v>
      </c>
      <c r="U501" s="663"/>
      <c r="W501" s="664"/>
      <c r="Z501" s="896">
        <f t="shared" ref="Z501:AA501" si="1153">Z486</f>
        <v>39478</v>
      </c>
      <c r="AA501" s="897">
        <f t="shared" si="1153"/>
        <v>-2000000</v>
      </c>
      <c r="AB501" s="663"/>
      <c r="AC501" s="663"/>
      <c r="AD501" s="663"/>
      <c r="AE501" s="663"/>
      <c r="AF501" s="663"/>
      <c r="AG501" s="663"/>
      <c r="AH501" s="663"/>
      <c r="AI501" s="664"/>
      <c r="AL501" s="896">
        <f t="shared" ref="AL501:AM501" si="1154">AL486</f>
        <v>39478</v>
      </c>
      <c r="AM501" s="897">
        <f t="shared" si="1154"/>
        <v>-2000000</v>
      </c>
      <c r="AN501" s="663"/>
      <c r="AU501" s="664"/>
      <c r="AX501" s="896">
        <f t="shared" ref="AX501:AY501" si="1155">AX486</f>
        <v>39478</v>
      </c>
      <c r="AY501" s="897">
        <f t="shared" si="1155"/>
        <v>-2000000</v>
      </c>
      <c r="BG501" s="664"/>
      <c r="BJ501" s="896">
        <f t="shared" ref="BJ501:BK501" si="1156">BJ486</f>
        <v>39478</v>
      </c>
      <c r="BK501" s="897">
        <f t="shared" si="1156"/>
        <v>-2000000</v>
      </c>
      <c r="BS501" s="664"/>
      <c r="BV501" s="896">
        <f t="shared" ref="BV501:BW501" si="1157">BV486</f>
        <v>39478</v>
      </c>
      <c r="BW501" s="897">
        <f t="shared" si="1157"/>
        <v>-2000000</v>
      </c>
      <c r="CE501" s="664"/>
      <c r="CH501" s="896">
        <f t="shared" ref="CH501:CI501" si="1158">CH486</f>
        <v>39478</v>
      </c>
      <c r="CI501" s="897">
        <f t="shared" si="1158"/>
        <v>-2000000</v>
      </c>
      <c r="CQ501" s="664"/>
      <c r="CT501" s="896">
        <f t="shared" ref="CT501:CU501" si="1159">CT486</f>
        <v>39478</v>
      </c>
      <c r="CU501" s="897">
        <f t="shared" si="1159"/>
        <v>-2000000</v>
      </c>
      <c r="DC501" s="664"/>
      <c r="DF501" s="896">
        <f t="shared" ref="DF501:DG501" si="1160">DF486</f>
        <v>39478</v>
      </c>
      <c r="DG501" s="897">
        <f t="shared" si="1160"/>
        <v>-2000000</v>
      </c>
      <c r="DO501" s="664"/>
    </row>
    <row r="502" spans="2:119" hidden="1" x14ac:dyDescent="0.25">
      <c r="B502" s="896">
        <f t="shared" ref="B502:C502" si="1161">B487</f>
        <v>39843</v>
      </c>
      <c r="C502" s="897">
        <f t="shared" si="1161"/>
        <v>-2500000</v>
      </c>
      <c r="K502" s="664"/>
      <c r="N502" s="896">
        <f t="shared" ref="N502:O502" si="1162">N487</f>
        <v>39843</v>
      </c>
      <c r="O502" s="897">
        <f t="shared" si="1162"/>
        <v>-2500000</v>
      </c>
      <c r="U502" s="663"/>
      <c r="W502" s="664"/>
      <c r="Z502" s="896">
        <f t="shared" ref="Z502:AA502" si="1163">Z487</f>
        <v>39843</v>
      </c>
      <c r="AA502" s="897">
        <f t="shared" si="1163"/>
        <v>-2500000</v>
      </c>
      <c r="AB502" s="663"/>
      <c r="AC502" s="663"/>
      <c r="AD502" s="663"/>
      <c r="AE502" s="663"/>
      <c r="AF502" s="663"/>
      <c r="AG502" s="663"/>
      <c r="AH502" s="663"/>
      <c r="AI502" s="664"/>
      <c r="AL502" s="896">
        <f t="shared" ref="AL502:AM502" si="1164">AL487</f>
        <v>39843</v>
      </c>
      <c r="AM502" s="897">
        <f t="shared" si="1164"/>
        <v>-2500000</v>
      </c>
      <c r="AN502" s="663"/>
      <c r="AU502" s="664"/>
      <c r="AX502" s="896">
        <f t="shared" ref="AX502:AY502" si="1165">AX487</f>
        <v>39843</v>
      </c>
      <c r="AY502" s="897">
        <f t="shared" si="1165"/>
        <v>-2500000</v>
      </c>
      <c r="BG502" s="664"/>
      <c r="BJ502" s="896">
        <f t="shared" ref="BJ502:BK502" si="1166">BJ487</f>
        <v>39843</v>
      </c>
      <c r="BK502" s="897">
        <f t="shared" si="1166"/>
        <v>-2500000</v>
      </c>
      <c r="BS502" s="664"/>
      <c r="BV502" s="896">
        <f t="shared" ref="BV502:BW502" si="1167">BV487</f>
        <v>39843</v>
      </c>
      <c r="BW502" s="897">
        <f t="shared" si="1167"/>
        <v>-2500000</v>
      </c>
      <c r="CE502" s="664"/>
      <c r="CH502" s="896">
        <f t="shared" ref="CH502:CI502" si="1168">CH487</f>
        <v>39843</v>
      </c>
      <c r="CI502" s="897">
        <f t="shared" si="1168"/>
        <v>-2500000</v>
      </c>
      <c r="CQ502" s="664"/>
      <c r="CT502" s="896">
        <f t="shared" ref="CT502:CU502" si="1169">CT487</f>
        <v>39843</v>
      </c>
      <c r="CU502" s="897">
        <f t="shared" si="1169"/>
        <v>-2500000</v>
      </c>
      <c r="DC502" s="664"/>
      <c r="DF502" s="896">
        <f t="shared" ref="DF502:DG502" si="1170">DF487</f>
        <v>39843</v>
      </c>
      <c r="DG502" s="897">
        <f t="shared" si="1170"/>
        <v>-2500000</v>
      </c>
      <c r="DO502" s="664"/>
    </row>
    <row r="503" spans="2:119" hidden="1" x14ac:dyDescent="0.25">
      <c r="B503" s="896">
        <f t="shared" ref="B503:C503" si="1171">B488</f>
        <v>39843</v>
      </c>
      <c r="C503" s="897">
        <f t="shared" si="1171"/>
        <v>0</v>
      </c>
      <c r="K503" s="664"/>
      <c r="N503" s="896">
        <f t="shared" ref="N503:O503" si="1172">N488</f>
        <v>39843</v>
      </c>
      <c r="O503" s="897">
        <f t="shared" si="1172"/>
        <v>0</v>
      </c>
      <c r="U503" s="663"/>
      <c r="W503" s="664"/>
      <c r="Z503" s="896">
        <f t="shared" ref="Z503:AA503" si="1173">Z488</f>
        <v>39843</v>
      </c>
      <c r="AA503" s="897">
        <f t="shared" si="1173"/>
        <v>0</v>
      </c>
      <c r="AB503" s="663"/>
      <c r="AC503" s="663"/>
      <c r="AD503" s="663"/>
      <c r="AE503" s="663"/>
      <c r="AF503" s="663"/>
      <c r="AG503" s="663"/>
      <c r="AH503" s="663"/>
      <c r="AI503" s="664"/>
      <c r="AL503" s="896">
        <f t="shared" ref="AL503:AM503" si="1174">AL488</f>
        <v>39843</v>
      </c>
      <c r="AM503" s="897">
        <f t="shared" si="1174"/>
        <v>0</v>
      </c>
      <c r="AN503" s="663"/>
      <c r="AU503" s="664"/>
      <c r="AX503" s="896">
        <f t="shared" ref="AX503:AY503" si="1175">AX488</f>
        <v>39843</v>
      </c>
      <c r="AY503" s="897">
        <f t="shared" si="1175"/>
        <v>0</v>
      </c>
      <c r="BG503" s="664"/>
      <c r="BJ503" s="896">
        <f t="shared" ref="BJ503:BK503" si="1176">BJ488</f>
        <v>39843</v>
      </c>
      <c r="BK503" s="897">
        <f t="shared" si="1176"/>
        <v>0</v>
      </c>
      <c r="BS503" s="664"/>
      <c r="BV503" s="896">
        <f t="shared" ref="BV503:BW503" si="1177">BV488</f>
        <v>39843</v>
      </c>
      <c r="BW503" s="897">
        <f t="shared" si="1177"/>
        <v>0</v>
      </c>
      <c r="CE503" s="664"/>
      <c r="CH503" s="896">
        <f t="shared" ref="CH503:CI503" si="1178">CH488</f>
        <v>39843</v>
      </c>
      <c r="CI503" s="897">
        <f t="shared" si="1178"/>
        <v>0</v>
      </c>
      <c r="CQ503" s="664"/>
      <c r="CT503" s="896">
        <f t="shared" ref="CT503:CU503" si="1179">CT488</f>
        <v>39843</v>
      </c>
      <c r="CU503" s="897">
        <f t="shared" si="1179"/>
        <v>0</v>
      </c>
      <c r="DC503" s="664"/>
      <c r="DF503" s="896">
        <f t="shared" ref="DF503:DG503" si="1180">DF488</f>
        <v>39843</v>
      </c>
      <c r="DG503" s="897">
        <f t="shared" si="1180"/>
        <v>0</v>
      </c>
      <c r="DO503" s="664"/>
    </row>
    <row r="504" spans="2:119" hidden="1" x14ac:dyDescent="0.25">
      <c r="B504" s="896">
        <f t="shared" ref="B504:C504" si="1181">B489</f>
        <v>39843</v>
      </c>
      <c r="C504" s="897">
        <f t="shared" si="1181"/>
        <v>0</v>
      </c>
      <c r="K504" s="664"/>
      <c r="N504" s="896">
        <f t="shared" ref="N504:O504" si="1182">N489</f>
        <v>39843</v>
      </c>
      <c r="O504" s="897">
        <f t="shared" si="1182"/>
        <v>0</v>
      </c>
      <c r="U504" s="663"/>
      <c r="W504" s="664"/>
      <c r="Z504" s="896">
        <f t="shared" ref="Z504:AA504" si="1183">Z489</f>
        <v>39843</v>
      </c>
      <c r="AA504" s="897">
        <f t="shared" si="1183"/>
        <v>0</v>
      </c>
      <c r="AB504" s="663"/>
      <c r="AC504" s="663"/>
      <c r="AD504" s="663"/>
      <c r="AE504" s="663"/>
      <c r="AF504" s="663"/>
      <c r="AG504" s="663"/>
      <c r="AH504" s="663"/>
      <c r="AI504" s="664"/>
      <c r="AL504" s="896">
        <f t="shared" ref="AL504:AM504" si="1184">AL489</f>
        <v>39843</v>
      </c>
      <c r="AM504" s="897">
        <f t="shared" si="1184"/>
        <v>0</v>
      </c>
      <c r="AN504" s="663"/>
      <c r="AU504" s="664"/>
      <c r="AX504" s="896">
        <f t="shared" ref="AX504:AY504" si="1185">AX489</f>
        <v>39843</v>
      </c>
      <c r="AY504" s="897">
        <f t="shared" si="1185"/>
        <v>0</v>
      </c>
      <c r="BG504" s="664"/>
      <c r="BJ504" s="896">
        <f t="shared" ref="BJ504:BK504" si="1186">BJ489</f>
        <v>39843</v>
      </c>
      <c r="BK504" s="897">
        <f t="shared" si="1186"/>
        <v>0</v>
      </c>
      <c r="BS504" s="664"/>
      <c r="BV504" s="896">
        <f t="shared" ref="BV504:BW504" si="1187">BV489</f>
        <v>39843</v>
      </c>
      <c r="BW504" s="897">
        <f t="shared" si="1187"/>
        <v>0</v>
      </c>
      <c r="CE504" s="664"/>
      <c r="CH504" s="896">
        <f t="shared" ref="CH504:CI504" si="1188">CH489</f>
        <v>39843</v>
      </c>
      <c r="CI504" s="897">
        <f t="shared" si="1188"/>
        <v>0</v>
      </c>
      <c r="CQ504" s="664"/>
      <c r="CT504" s="896">
        <f t="shared" ref="CT504:CU504" si="1189">CT489</f>
        <v>39843</v>
      </c>
      <c r="CU504" s="897">
        <f t="shared" si="1189"/>
        <v>0</v>
      </c>
      <c r="DC504" s="664"/>
      <c r="DF504" s="896">
        <f t="shared" ref="DF504:DG504" si="1190">DF489</f>
        <v>39843</v>
      </c>
      <c r="DG504" s="897">
        <f t="shared" si="1190"/>
        <v>0</v>
      </c>
      <c r="DO504" s="664"/>
    </row>
    <row r="505" spans="2:119" hidden="1" x14ac:dyDescent="0.25">
      <c r="B505" s="896">
        <f t="shared" ref="B505:C505" si="1191">B490</f>
        <v>39843</v>
      </c>
      <c r="C505" s="897">
        <f t="shared" si="1191"/>
        <v>0</v>
      </c>
      <c r="K505" s="664"/>
      <c r="N505" s="896">
        <f t="shared" ref="N505:O505" si="1192">N490</f>
        <v>39843</v>
      </c>
      <c r="O505" s="897">
        <f t="shared" si="1192"/>
        <v>0</v>
      </c>
      <c r="U505" s="663"/>
      <c r="W505" s="664"/>
      <c r="Z505" s="896">
        <f t="shared" ref="Z505:AA505" si="1193">Z490</f>
        <v>39843</v>
      </c>
      <c r="AA505" s="897">
        <f t="shared" si="1193"/>
        <v>0</v>
      </c>
      <c r="AB505" s="663"/>
      <c r="AC505" s="663"/>
      <c r="AD505" s="663"/>
      <c r="AE505" s="663"/>
      <c r="AF505" s="663"/>
      <c r="AG505" s="663"/>
      <c r="AH505" s="663"/>
      <c r="AI505" s="664"/>
      <c r="AL505" s="896">
        <f t="shared" ref="AL505:AM505" si="1194">AL490</f>
        <v>39843</v>
      </c>
      <c r="AM505" s="897">
        <f t="shared" si="1194"/>
        <v>0</v>
      </c>
      <c r="AN505" s="663"/>
      <c r="AU505" s="664"/>
      <c r="AX505" s="896">
        <f t="shared" ref="AX505:AY505" si="1195">AX490</f>
        <v>39843</v>
      </c>
      <c r="AY505" s="897">
        <f t="shared" si="1195"/>
        <v>0</v>
      </c>
      <c r="BG505" s="664"/>
      <c r="BJ505" s="896">
        <f t="shared" ref="BJ505:BK505" si="1196">BJ490</f>
        <v>39843</v>
      </c>
      <c r="BK505" s="897">
        <f t="shared" si="1196"/>
        <v>0</v>
      </c>
      <c r="BS505" s="664"/>
      <c r="BV505" s="896">
        <f t="shared" ref="BV505:BW505" si="1197">BV490</f>
        <v>39843</v>
      </c>
      <c r="BW505" s="897">
        <f t="shared" si="1197"/>
        <v>0</v>
      </c>
      <c r="CE505" s="664"/>
      <c r="CH505" s="896">
        <f t="shared" ref="CH505:CI505" si="1198">CH490</f>
        <v>39843</v>
      </c>
      <c r="CI505" s="897">
        <f t="shared" si="1198"/>
        <v>0</v>
      </c>
      <c r="CQ505" s="664"/>
      <c r="CT505" s="896">
        <f t="shared" ref="CT505:CU505" si="1199">CT490</f>
        <v>39843</v>
      </c>
      <c r="CU505" s="897">
        <f t="shared" si="1199"/>
        <v>0</v>
      </c>
      <c r="DC505" s="664"/>
      <c r="DF505" s="896">
        <f t="shared" ref="DF505:DG505" si="1200">DF490</f>
        <v>39843</v>
      </c>
      <c r="DG505" s="897">
        <f t="shared" si="1200"/>
        <v>0</v>
      </c>
      <c r="DO505" s="664"/>
    </row>
    <row r="506" spans="2:119" hidden="1" x14ac:dyDescent="0.25">
      <c r="B506" s="896">
        <f t="shared" ref="B506:C506" si="1201">B491</f>
        <v>39843</v>
      </c>
      <c r="C506" s="897">
        <f t="shared" si="1201"/>
        <v>0</v>
      </c>
      <c r="K506" s="664"/>
      <c r="N506" s="896">
        <f t="shared" ref="N506:O506" si="1202">N491</f>
        <v>39843</v>
      </c>
      <c r="O506" s="897">
        <f t="shared" si="1202"/>
        <v>0</v>
      </c>
      <c r="U506" s="663"/>
      <c r="W506" s="664"/>
      <c r="Z506" s="896">
        <f t="shared" ref="Z506:AA506" si="1203">Z491</f>
        <v>39843</v>
      </c>
      <c r="AA506" s="897">
        <f t="shared" si="1203"/>
        <v>0</v>
      </c>
      <c r="AB506" s="663"/>
      <c r="AC506" s="663"/>
      <c r="AD506" s="663"/>
      <c r="AE506" s="663"/>
      <c r="AF506" s="663"/>
      <c r="AG506" s="663"/>
      <c r="AH506" s="663"/>
      <c r="AI506" s="664"/>
      <c r="AL506" s="896">
        <f t="shared" ref="AL506:AM506" si="1204">AL491</f>
        <v>39843</v>
      </c>
      <c r="AM506" s="897">
        <f t="shared" si="1204"/>
        <v>0</v>
      </c>
      <c r="AN506" s="663"/>
      <c r="AU506" s="664"/>
      <c r="AX506" s="896">
        <f t="shared" ref="AX506:AY506" si="1205">AX491</f>
        <v>39843</v>
      </c>
      <c r="AY506" s="897">
        <f t="shared" si="1205"/>
        <v>0</v>
      </c>
      <c r="BG506" s="664"/>
      <c r="BJ506" s="896">
        <f t="shared" ref="BJ506:BK506" si="1206">BJ491</f>
        <v>39843</v>
      </c>
      <c r="BK506" s="897">
        <f t="shared" si="1206"/>
        <v>0</v>
      </c>
      <c r="BS506" s="664"/>
      <c r="BV506" s="896">
        <f t="shared" ref="BV506:BW506" si="1207">BV491</f>
        <v>39843</v>
      </c>
      <c r="BW506" s="897">
        <f t="shared" si="1207"/>
        <v>0</v>
      </c>
      <c r="CE506" s="664"/>
      <c r="CH506" s="896">
        <f t="shared" ref="CH506:CI506" si="1208">CH491</f>
        <v>39843</v>
      </c>
      <c r="CI506" s="897">
        <f t="shared" si="1208"/>
        <v>0</v>
      </c>
      <c r="CQ506" s="664"/>
      <c r="CT506" s="896">
        <f t="shared" ref="CT506:CU506" si="1209">CT491</f>
        <v>39843</v>
      </c>
      <c r="CU506" s="897">
        <f t="shared" si="1209"/>
        <v>0</v>
      </c>
      <c r="DC506" s="664"/>
      <c r="DF506" s="896">
        <f t="shared" ref="DF506:DG506" si="1210">DF491</f>
        <v>39843</v>
      </c>
      <c r="DG506" s="897">
        <f t="shared" si="1210"/>
        <v>0</v>
      </c>
      <c r="DO506" s="664"/>
    </row>
    <row r="507" spans="2:119" hidden="1" x14ac:dyDescent="0.25">
      <c r="B507" s="896">
        <f t="shared" ref="B507:C507" si="1211">B492</f>
        <v>39843</v>
      </c>
      <c r="C507" s="897">
        <f t="shared" si="1211"/>
        <v>0</v>
      </c>
      <c r="K507" s="664"/>
      <c r="N507" s="896">
        <f t="shared" ref="N507:O507" si="1212">N492</f>
        <v>39843</v>
      </c>
      <c r="O507" s="897">
        <f t="shared" si="1212"/>
        <v>0</v>
      </c>
      <c r="U507" s="663"/>
      <c r="W507" s="664"/>
      <c r="Z507" s="896">
        <f t="shared" ref="Z507:AA507" si="1213">Z492</f>
        <v>39843</v>
      </c>
      <c r="AA507" s="897">
        <f t="shared" si="1213"/>
        <v>0</v>
      </c>
      <c r="AB507" s="663"/>
      <c r="AC507" s="663"/>
      <c r="AD507" s="663"/>
      <c r="AE507" s="663"/>
      <c r="AF507" s="663"/>
      <c r="AG507" s="663"/>
      <c r="AH507" s="663"/>
      <c r="AI507" s="664"/>
      <c r="AL507" s="896">
        <f t="shared" ref="AL507:AM507" si="1214">AL492</f>
        <v>39843</v>
      </c>
      <c r="AM507" s="897">
        <f t="shared" si="1214"/>
        <v>0</v>
      </c>
      <c r="AN507" s="663"/>
      <c r="AU507" s="664"/>
      <c r="AX507" s="896">
        <f t="shared" ref="AX507:AY507" si="1215">AX492</f>
        <v>39843</v>
      </c>
      <c r="AY507" s="897">
        <f t="shared" si="1215"/>
        <v>0</v>
      </c>
      <c r="BG507" s="664"/>
      <c r="BJ507" s="896">
        <f t="shared" ref="BJ507:BK507" si="1216">BJ492</f>
        <v>39843</v>
      </c>
      <c r="BK507" s="897">
        <f t="shared" si="1216"/>
        <v>0</v>
      </c>
      <c r="BS507" s="664"/>
      <c r="BV507" s="896">
        <f t="shared" ref="BV507:BW507" si="1217">BV492</f>
        <v>39843</v>
      </c>
      <c r="BW507" s="897">
        <f t="shared" si="1217"/>
        <v>0</v>
      </c>
      <c r="CE507" s="664"/>
      <c r="CH507" s="896">
        <f t="shared" ref="CH507:CI507" si="1218">CH492</f>
        <v>39843</v>
      </c>
      <c r="CI507" s="897">
        <f t="shared" si="1218"/>
        <v>0</v>
      </c>
      <c r="CQ507" s="664"/>
      <c r="CT507" s="896">
        <f t="shared" ref="CT507:CU507" si="1219">CT492</f>
        <v>39843</v>
      </c>
      <c r="CU507" s="897">
        <f t="shared" si="1219"/>
        <v>0</v>
      </c>
      <c r="DC507" s="664"/>
      <c r="DF507" s="896">
        <f t="shared" ref="DF507:DG507" si="1220">DF492</f>
        <v>39843</v>
      </c>
      <c r="DG507" s="897">
        <f t="shared" si="1220"/>
        <v>0</v>
      </c>
      <c r="DO507" s="664"/>
    </row>
    <row r="508" spans="2:119" hidden="1" x14ac:dyDescent="0.25">
      <c r="B508" s="896">
        <f t="shared" ref="B508" si="1221">B493</f>
        <v>39843</v>
      </c>
      <c r="C508" s="897">
        <f>C493</f>
        <v>0</v>
      </c>
      <c r="K508" s="664"/>
      <c r="N508" s="896">
        <f t="shared" ref="N508" si="1222">N493</f>
        <v>39843</v>
      </c>
      <c r="O508" s="897">
        <f>O493</f>
        <v>0</v>
      </c>
      <c r="U508" s="663"/>
      <c r="W508" s="664"/>
      <c r="Z508" s="896">
        <f t="shared" ref="Z508" si="1223">Z493</f>
        <v>39843</v>
      </c>
      <c r="AA508" s="897">
        <f>AA493</f>
        <v>0</v>
      </c>
      <c r="AB508" s="663"/>
      <c r="AC508" s="663"/>
      <c r="AD508" s="663"/>
      <c r="AE508" s="663"/>
      <c r="AF508" s="663"/>
      <c r="AG508" s="663"/>
      <c r="AH508" s="663"/>
      <c r="AI508" s="664"/>
      <c r="AL508" s="896">
        <f t="shared" ref="AL508" si="1224">AL493</f>
        <v>39843</v>
      </c>
      <c r="AM508" s="897">
        <f>AM493</f>
        <v>0</v>
      </c>
      <c r="AN508" s="663"/>
      <c r="AU508" s="664"/>
      <c r="AX508" s="896">
        <f t="shared" ref="AX508" si="1225">AX493</f>
        <v>39843</v>
      </c>
      <c r="AY508" s="897">
        <f>AY493</f>
        <v>0</v>
      </c>
      <c r="BG508" s="664"/>
      <c r="BJ508" s="896">
        <f t="shared" ref="BJ508" si="1226">BJ493</f>
        <v>39843</v>
      </c>
      <c r="BK508" s="897">
        <f>BK493</f>
        <v>0</v>
      </c>
      <c r="BS508" s="664"/>
      <c r="BV508" s="896">
        <f t="shared" ref="BV508" si="1227">BV493</f>
        <v>39843</v>
      </c>
      <c r="BW508" s="897">
        <f>BW493</f>
        <v>0</v>
      </c>
      <c r="CE508" s="664"/>
      <c r="CH508" s="896">
        <f t="shared" ref="CH508" si="1228">CH493</f>
        <v>39843</v>
      </c>
      <c r="CI508" s="897">
        <f>CI493</f>
        <v>0</v>
      </c>
      <c r="CQ508" s="664"/>
      <c r="CT508" s="896">
        <f t="shared" ref="CT508" si="1229">CT493</f>
        <v>39843</v>
      </c>
      <c r="CU508" s="897">
        <f>CU493</f>
        <v>0</v>
      </c>
      <c r="DC508" s="664"/>
      <c r="DF508" s="896">
        <f t="shared" ref="DF508" si="1230">DF493</f>
        <v>39843</v>
      </c>
      <c r="DG508" s="897">
        <f>DG493</f>
        <v>0</v>
      </c>
      <c r="DO508" s="664"/>
    </row>
    <row r="509" spans="2:119" hidden="1" x14ac:dyDescent="0.25">
      <c r="B509" s="896">
        <f t="shared" ref="B509:C509" si="1231">B494</f>
        <v>39843</v>
      </c>
      <c r="C509" s="897">
        <f t="shared" si="1231"/>
        <v>0</v>
      </c>
      <c r="K509" s="664"/>
      <c r="N509" s="896">
        <f t="shared" ref="N509:O509" si="1232">N494</f>
        <v>39843</v>
      </c>
      <c r="O509" s="897">
        <f t="shared" si="1232"/>
        <v>0</v>
      </c>
      <c r="U509" s="663"/>
      <c r="W509" s="664"/>
      <c r="Z509" s="896">
        <f t="shared" ref="Z509:AA509" si="1233">Z494</f>
        <v>39843</v>
      </c>
      <c r="AA509" s="897">
        <f t="shared" si="1233"/>
        <v>0</v>
      </c>
      <c r="AB509" s="663"/>
      <c r="AC509" s="663"/>
      <c r="AD509" s="663"/>
      <c r="AE509" s="663"/>
      <c r="AF509" s="663"/>
      <c r="AG509" s="663"/>
      <c r="AH509" s="663"/>
      <c r="AI509" s="664"/>
      <c r="AL509" s="896">
        <f t="shared" ref="AL509:AM509" si="1234">AL494</f>
        <v>39843</v>
      </c>
      <c r="AM509" s="897">
        <f t="shared" si="1234"/>
        <v>0</v>
      </c>
      <c r="AN509" s="663"/>
      <c r="AU509" s="664"/>
      <c r="AX509" s="896">
        <f t="shared" ref="AX509:AY509" si="1235">AX494</f>
        <v>39843</v>
      </c>
      <c r="AY509" s="897">
        <f t="shared" si="1235"/>
        <v>0</v>
      </c>
      <c r="BG509" s="664"/>
      <c r="BJ509" s="896">
        <f t="shared" ref="BJ509:BK509" si="1236">BJ494</f>
        <v>39843</v>
      </c>
      <c r="BK509" s="897">
        <f t="shared" si="1236"/>
        <v>0</v>
      </c>
      <c r="BS509" s="664"/>
      <c r="BV509" s="896">
        <f t="shared" ref="BV509:BW509" si="1237">BV494</f>
        <v>39843</v>
      </c>
      <c r="BW509" s="897">
        <f t="shared" si="1237"/>
        <v>0</v>
      </c>
      <c r="CE509" s="664"/>
      <c r="CH509" s="896">
        <f t="shared" ref="CH509:CI509" si="1238">CH494</f>
        <v>39843</v>
      </c>
      <c r="CI509" s="897">
        <f t="shared" si="1238"/>
        <v>0</v>
      </c>
      <c r="CQ509" s="664"/>
      <c r="CT509" s="896">
        <f t="shared" ref="CT509:CU509" si="1239">CT494</f>
        <v>39843</v>
      </c>
      <c r="CU509" s="897">
        <f t="shared" si="1239"/>
        <v>0</v>
      </c>
      <c r="DC509" s="664"/>
      <c r="DF509" s="896">
        <f t="shared" ref="DF509:DG509" si="1240">DF494</f>
        <v>39843</v>
      </c>
      <c r="DG509" s="897">
        <f t="shared" si="1240"/>
        <v>0</v>
      </c>
      <c r="DO509" s="664"/>
    </row>
    <row r="510" spans="2:119" hidden="1" x14ac:dyDescent="0.25">
      <c r="B510" s="896">
        <f>B495+$C$56</f>
        <v>41179</v>
      </c>
      <c r="C510" s="897">
        <f ca="1">C495</f>
        <v>0</v>
      </c>
      <c r="K510" s="664"/>
      <c r="N510" s="896">
        <f>N495+$C$56</f>
        <v>41179</v>
      </c>
      <c r="O510" s="897">
        <f ca="1">O495</f>
        <v>0</v>
      </c>
      <c r="U510" s="663"/>
      <c r="W510" s="664"/>
      <c r="Z510" s="896">
        <f>Z495+$C$56</f>
        <v>41179</v>
      </c>
      <c r="AA510" s="897">
        <f ca="1">AA495</f>
        <v>0</v>
      </c>
      <c r="AB510" s="663"/>
      <c r="AC510" s="663"/>
      <c r="AD510" s="663"/>
      <c r="AE510" s="663"/>
      <c r="AF510" s="663"/>
      <c r="AG510" s="663"/>
      <c r="AH510" s="663"/>
      <c r="AI510" s="664"/>
      <c r="AL510" s="896">
        <f>AL495+$C$56</f>
        <v>41179</v>
      </c>
      <c r="AM510" s="897">
        <f ca="1">AM495</f>
        <v>0</v>
      </c>
      <c r="AN510" s="663"/>
      <c r="AU510" s="664"/>
      <c r="AX510" s="896">
        <f>AX495+$C$56</f>
        <v>41179</v>
      </c>
      <c r="AY510" s="897">
        <f ca="1">AY495</f>
        <v>0</v>
      </c>
      <c r="BG510" s="664"/>
      <c r="BJ510" s="896">
        <f>BJ495+$C$56</f>
        <v>41179</v>
      </c>
      <c r="BK510" s="897">
        <f ca="1">BK495</f>
        <v>0</v>
      </c>
      <c r="BS510" s="664"/>
      <c r="BV510" s="896">
        <f>BV495+$C$56</f>
        <v>41179</v>
      </c>
      <c r="BW510" s="897">
        <f ca="1">BW495</f>
        <v>0</v>
      </c>
      <c r="CE510" s="664"/>
      <c r="CH510" s="896">
        <f>CH495+$C$56</f>
        <v>41179</v>
      </c>
      <c r="CI510" s="897">
        <f ca="1">CI495</f>
        <v>0</v>
      </c>
      <c r="CQ510" s="664"/>
      <c r="CT510" s="896">
        <f>CT495+$C$56</f>
        <v>41179</v>
      </c>
      <c r="CU510" s="897">
        <f ca="1">CU495</f>
        <v>0</v>
      </c>
      <c r="DC510" s="664"/>
      <c r="DF510" s="896">
        <f>DF495+$C$56</f>
        <v>41179</v>
      </c>
      <c r="DG510" s="897">
        <f ca="1">DG495</f>
        <v>0</v>
      </c>
      <c r="DO510" s="664"/>
    </row>
    <row r="511" spans="2:119" hidden="1" x14ac:dyDescent="0.25">
      <c r="B511" s="898">
        <f>IF(C500&lt;&gt;0,ROW(C500),IF(C501&lt;&gt;0,ROW(C501),IF(C502&lt;&gt;0,ROW(C502),IF(C503&lt;&gt;0,ROW(C503),IF(C504&lt;&gt;0,ROW(C504),IF(C505&lt;&gt;0,ROW(C505),IF(C506&lt;&gt;0,ROW(C506),IF(C507&lt;&gt;0,ROW(C507),IF(C508&lt;&gt;0,ROW(C508),IF(C509&lt;&gt;0,ROW(C509)))))))))))</f>
        <v>500</v>
      </c>
      <c r="C511" s="882" t="e">
        <f ca="1">IF(ISERROR(XIRR(INDIRECT(B513):C510,INDIRECT(B512):B510,-20%)),XIRR(INDIRECT(B513):C510,INDIRECT(B512):B510,20%),"N/A")</f>
        <v>#NUM!</v>
      </c>
      <c r="K511" s="664"/>
      <c r="N511" s="898">
        <f>IF(O500&lt;&gt;0,ROW(O500),IF(O501&lt;&gt;0,ROW(O501),IF(O502&lt;&gt;0,ROW(O502),IF(O503&lt;&gt;0,ROW(O503),IF(O504&lt;&gt;0,ROW(O504),IF(O505&lt;&gt;0,ROW(O505),IF(O506&lt;&gt;0,ROW(O506),IF(O507&lt;&gt;0,ROW(O507),IF(O508&lt;&gt;0,ROW(O508),IF(O509&lt;&gt;0,ROW(O509)))))))))))</f>
        <v>500</v>
      </c>
      <c r="O511" s="882" t="e">
        <f ca="1">IF(ISERROR(XIRR(INDIRECT(N513):O510,INDIRECT(N512):N510,-20%)),XIRR(INDIRECT(N513):O510,INDIRECT(N512):N510,20%),"N/A")</f>
        <v>#NUM!</v>
      </c>
      <c r="U511" s="663"/>
      <c r="W511" s="664"/>
      <c r="Z511" s="898">
        <f>IF(AA500&lt;&gt;0,ROW(AA500),IF(AA501&lt;&gt;0,ROW(AA501),IF(AA502&lt;&gt;0,ROW(AA502),IF(AA503&lt;&gt;0,ROW(AA503),IF(AA504&lt;&gt;0,ROW(AA504),IF(AA505&lt;&gt;0,ROW(AA505),IF(AA506&lt;&gt;0,ROW(AA506),IF(AA507&lt;&gt;0,ROW(AA507),IF(AA508&lt;&gt;0,ROW(AA508),IF(AA509&lt;&gt;0,ROW(AA509)))))))))))</f>
        <v>500</v>
      </c>
      <c r="AA511" s="882" t="e">
        <f ca="1">IF(ISERROR(XIRR(INDIRECT(Z513):AA510,INDIRECT(Z512):Z510,-20%)),XIRR(INDIRECT(Z513):AA510,INDIRECT(Z512):Z510,20%),"N/A")</f>
        <v>#NUM!</v>
      </c>
      <c r="AB511" s="663"/>
      <c r="AC511" s="663"/>
      <c r="AD511" s="663"/>
      <c r="AE511" s="663"/>
      <c r="AF511" s="663"/>
      <c r="AG511" s="663"/>
      <c r="AH511" s="663"/>
      <c r="AI511" s="664"/>
      <c r="AL511" s="898">
        <f>IF(AM500&lt;&gt;0,ROW(AM500),IF(AM501&lt;&gt;0,ROW(AM501),IF(AM502&lt;&gt;0,ROW(AM502),IF(AM503&lt;&gt;0,ROW(AM503),IF(AM504&lt;&gt;0,ROW(AM504),IF(AM505&lt;&gt;0,ROW(AM505),IF(AM506&lt;&gt;0,ROW(AM506),IF(AM507&lt;&gt;0,ROW(AM507),IF(AM508&lt;&gt;0,ROW(AM508),IF(AM509&lt;&gt;0,ROW(AM509)))))))))))</f>
        <v>500</v>
      </c>
      <c r="AM511" s="882" t="e">
        <f ca="1">IF(ISERROR(XIRR(INDIRECT(AL513):AM510,INDIRECT(AL512):AL510,-20%)),XIRR(INDIRECT(AL513):AM510,INDIRECT(AL512):AL510,20%),"N/A")</f>
        <v>#NUM!</v>
      </c>
      <c r="AN511" s="663"/>
      <c r="AU511" s="664"/>
      <c r="AX511" s="898">
        <f>IF(AY500&lt;&gt;0,ROW(AY500),IF(AY501&lt;&gt;0,ROW(AY501),IF(AY502&lt;&gt;0,ROW(AY502),IF(AY503&lt;&gt;0,ROW(AY503),IF(AY504&lt;&gt;0,ROW(AY504),IF(AY505&lt;&gt;0,ROW(AY505),IF(AY506&lt;&gt;0,ROW(AY506),IF(AY507&lt;&gt;0,ROW(AY507),IF(AY508&lt;&gt;0,ROW(AY508),IF(AY509&lt;&gt;0,ROW(AY509)))))))))))</f>
        <v>500</v>
      </c>
      <c r="AY511" s="882" t="e">
        <f ca="1">IF(ISERROR(XIRR(INDIRECT(AX513):AY510,INDIRECT(AX512):AX510,-20%)),XIRR(INDIRECT(AX513):AY510,INDIRECT(AX512):AX510,20%),"N/A")</f>
        <v>#NUM!</v>
      </c>
      <c r="BG511" s="664"/>
      <c r="BJ511" s="898">
        <f>IF(BK500&lt;&gt;0,ROW(BK500),IF(BK501&lt;&gt;0,ROW(BK501),IF(BK502&lt;&gt;0,ROW(BK502),IF(BK503&lt;&gt;0,ROW(BK503),IF(BK504&lt;&gt;0,ROW(BK504),IF(BK505&lt;&gt;0,ROW(BK505),IF(BK506&lt;&gt;0,ROW(BK506),IF(BK507&lt;&gt;0,ROW(BK507),IF(BK508&lt;&gt;0,ROW(BK508),IF(BK509&lt;&gt;0,ROW(BK509)))))))))))</f>
        <v>500</v>
      </c>
      <c r="BK511" s="882" t="e">
        <f ca="1">IF(ISERROR(XIRR(INDIRECT(BJ513):BK510,INDIRECT(BJ512):BJ510,-20%)),XIRR(INDIRECT(BJ513):BK510,INDIRECT(BJ512):BJ510,20%),"N/A")</f>
        <v>#NUM!</v>
      </c>
      <c r="BS511" s="664"/>
      <c r="BV511" s="898">
        <f>IF(BW500&lt;&gt;0,ROW(BW500),IF(BW501&lt;&gt;0,ROW(BW501),IF(BW502&lt;&gt;0,ROW(BW502),IF(BW503&lt;&gt;0,ROW(BW503),IF(BW504&lt;&gt;0,ROW(BW504),IF(BW505&lt;&gt;0,ROW(BW505),IF(BW506&lt;&gt;0,ROW(BW506),IF(BW507&lt;&gt;0,ROW(BW507),IF(BW508&lt;&gt;0,ROW(BW508),IF(BW509&lt;&gt;0,ROW(BW509)))))))))))</f>
        <v>500</v>
      </c>
      <c r="BW511" s="882" t="e">
        <f ca="1">IF(ISERROR(XIRR(INDIRECT(BV513):BW510,INDIRECT(BV512):BV510,-20%)),XIRR(INDIRECT(BV513):BW510,INDIRECT(BV512):BV510,20%),"N/A")</f>
        <v>#NUM!</v>
      </c>
      <c r="CE511" s="664"/>
      <c r="CH511" s="898">
        <f>IF(CI500&lt;&gt;0,ROW(CI500),IF(CI501&lt;&gt;0,ROW(CI501),IF(CI502&lt;&gt;0,ROW(CI502),IF(CI503&lt;&gt;0,ROW(CI503),IF(CI504&lt;&gt;0,ROW(CI504),IF(CI505&lt;&gt;0,ROW(CI505),IF(CI506&lt;&gt;0,ROW(CI506),IF(CI507&lt;&gt;0,ROW(CI507),IF(CI508&lt;&gt;0,ROW(CI508),IF(CI509&lt;&gt;0,ROW(CI509)))))))))))</f>
        <v>500</v>
      </c>
      <c r="CI511" s="882" t="e">
        <f ca="1">IF(ISERROR(XIRR(INDIRECT(CH513):CI510,INDIRECT(CH512):CH510,-20%)),XIRR(INDIRECT(CH513):CI510,INDIRECT(CH512):CH510,20%),"N/A")</f>
        <v>#NUM!</v>
      </c>
      <c r="CQ511" s="664"/>
      <c r="CT511" s="898">
        <f>IF(CU500&lt;&gt;0,ROW(CU500),IF(CU501&lt;&gt;0,ROW(CU501),IF(CU502&lt;&gt;0,ROW(CU502),IF(CU503&lt;&gt;0,ROW(CU503),IF(CU504&lt;&gt;0,ROW(CU504),IF(CU505&lt;&gt;0,ROW(CU505),IF(CU506&lt;&gt;0,ROW(CU506),IF(CU507&lt;&gt;0,ROW(CU507),IF(CU508&lt;&gt;0,ROW(CU508),IF(CU509&lt;&gt;0,ROW(CU509)))))))))))</f>
        <v>500</v>
      </c>
      <c r="CU511" s="882" t="e">
        <f ca="1">IF(ISERROR(XIRR(INDIRECT(CT513):CU510,INDIRECT(CT512):CT510,-20%)),XIRR(INDIRECT(CT513):CU510,INDIRECT(CT512):CT510,20%),"N/A")</f>
        <v>#NUM!</v>
      </c>
      <c r="DC511" s="664"/>
      <c r="DF511" s="898">
        <f>IF(DG500&lt;&gt;0,ROW(DG500),IF(DG501&lt;&gt;0,ROW(DG501),IF(DG502&lt;&gt;0,ROW(DG502),IF(DG503&lt;&gt;0,ROW(DG503),IF(DG504&lt;&gt;0,ROW(DG504),IF(DG505&lt;&gt;0,ROW(DG505),IF(DG506&lt;&gt;0,ROW(DG506),IF(DG507&lt;&gt;0,ROW(DG507),IF(DG508&lt;&gt;0,ROW(DG508),IF(DG509&lt;&gt;0,ROW(DG509)))))))))))</f>
        <v>500</v>
      </c>
      <c r="DG511" s="882" t="e">
        <f ca="1">IF(ISERROR(XIRR(INDIRECT(DF513):DG510,INDIRECT(DF512):DF510,-20%)),XIRR(INDIRECT(DF513):DG510,INDIRECT(DF512):DF510,20%),"N/A")</f>
        <v>#NUM!</v>
      </c>
      <c r="DO511" s="664"/>
    </row>
    <row r="512" spans="2:119" hidden="1" x14ac:dyDescent="0.25">
      <c r="B512" s="899" t="str">
        <f>CONCATENATE(CHAR(64+COLUMN(B511)),B511)</f>
        <v>B500</v>
      </c>
      <c r="C512" s="897"/>
      <c r="K512" s="664"/>
      <c r="N512" s="899" t="str">
        <f>CONCATENATE(CHAR(64+COLUMN(N511)),N511)</f>
        <v>N500</v>
      </c>
      <c r="O512" s="897"/>
      <c r="U512" s="663"/>
      <c r="W512" s="664"/>
      <c r="Z512" s="899" t="str">
        <f>CONCATENATE(IF(COLUMN(Z511)&lt;=26,CHAR(96+COLUMN(Z511)),(CHAR(96+(ROUNDDOWN((COLUMN(Z511)-1)/26,0)))&amp;CHAR(96+IF(MOD(COLUMN(Z511),26)=0,26,MOD(COLUMN(Z511),26))))),Z511)</f>
        <v>z500</v>
      </c>
      <c r="AA512" s="897"/>
      <c r="AB512" s="663"/>
      <c r="AC512" s="663"/>
      <c r="AD512" s="663"/>
      <c r="AE512" s="663"/>
      <c r="AF512" s="663"/>
      <c r="AG512" s="663"/>
      <c r="AH512" s="663"/>
      <c r="AI512" s="664"/>
      <c r="AL512" s="899" t="str">
        <f>CONCATENATE(IF(COLUMN(AL511)&lt;=26,CHAR(96+COLUMN(AL511)),(CHAR(96+(ROUNDDOWN((COLUMN(AL511)-1)/26,0)))&amp;CHAR(96+IF(MOD(COLUMN(AL511),26)=0,26,MOD(COLUMN(AL511),26))))),AL511)</f>
        <v>al500</v>
      </c>
      <c r="AM512" s="897"/>
      <c r="AN512" s="663"/>
      <c r="AU512" s="664"/>
      <c r="AX512" s="899" t="str">
        <f>CONCATENATE(IF(COLUMN(AX511)&lt;=26,CHAR(96+COLUMN(AX511)),(CHAR(96+(ROUNDDOWN((COLUMN(AX511)-1)/26,0)))&amp;CHAR(96+IF(MOD(COLUMN(AX511),26)=0,26,MOD(COLUMN(AX511),26))))),AX511)</f>
        <v>ax500</v>
      </c>
      <c r="AY512" s="897"/>
      <c r="BG512" s="664"/>
      <c r="BJ512" s="899" t="str">
        <f>CONCATENATE(IF(COLUMN(BJ511)&lt;=26,CHAR(96+COLUMN(BJ511)),(CHAR(96+(ROUNDDOWN((COLUMN(BJ511)-1)/26,0)))&amp;CHAR(96+IF(MOD(COLUMN(BJ511),26)=0,26,MOD(COLUMN(BJ511),26))))),BJ511)</f>
        <v>bj500</v>
      </c>
      <c r="BK512" s="897"/>
      <c r="BS512" s="664"/>
      <c r="BV512" s="899" t="str">
        <f>CONCATENATE(IF(COLUMN(BV511)&lt;=26,CHAR(96+COLUMN(BV511)),(CHAR(96+(ROUNDDOWN((COLUMN(BV511)-1)/26,0)))&amp;CHAR(96+IF(MOD(COLUMN(BV511),26)=0,26,MOD(COLUMN(BV511),26))))),BV511)</f>
        <v>bv500</v>
      </c>
      <c r="BW512" s="897"/>
      <c r="CE512" s="664"/>
      <c r="CH512" s="899" t="str">
        <f>CONCATENATE(IF(COLUMN(CH511)&lt;=26,CHAR(96+COLUMN(CH511)),(CHAR(96+(ROUNDDOWN((COLUMN(CH511)-1)/26,0)))&amp;CHAR(96+IF(MOD(COLUMN(CH511),26)=0,26,MOD(COLUMN(CH511),26))))),CH511)</f>
        <v>ch500</v>
      </c>
      <c r="CI512" s="897"/>
      <c r="CQ512" s="664"/>
      <c r="CT512" s="899" t="str">
        <f>CONCATENATE(IF(COLUMN(CT511)&lt;=26,CHAR(96+COLUMN(CT511)),(CHAR(96+(ROUNDDOWN((COLUMN(CT511)-1)/26,0)))&amp;CHAR(96+IF(MOD(COLUMN(CT511),26)=0,26,MOD(COLUMN(CT511),26))))),CT511)</f>
        <v>ct500</v>
      </c>
      <c r="CU512" s="897"/>
      <c r="DC512" s="664"/>
      <c r="DF512" s="899" t="str">
        <f>CONCATENATE(IF(COLUMN(DF511)&lt;=26,CHAR(96+COLUMN(DF511)),(CHAR(96+(ROUNDDOWN((COLUMN(DF511)-1)/26,0)))&amp;CHAR(96+IF(MOD(COLUMN(DF511),26)=0,26,MOD(COLUMN(DF511),26))))),DF511)</f>
        <v>df500</v>
      </c>
      <c r="DG512" s="897"/>
      <c r="DO512" s="664"/>
    </row>
    <row r="513" spans="2:119" hidden="1" x14ac:dyDescent="0.25">
      <c r="B513" s="899" t="str">
        <f>CONCATENATE(CHAR(64+COLUMN(C511)),B511)</f>
        <v>C500</v>
      </c>
      <c r="C513" s="897"/>
      <c r="K513" s="664"/>
      <c r="N513" s="899" t="str">
        <f>CONCATENATE(CHAR(64+COLUMN(O511)),N511)</f>
        <v>O500</v>
      </c>
      <c r="O513" s="897"/>
      <c r="U513" s="663"/>
      <c r="W513" s="664"/>
      <c r="Z513" s="899" t="str">
        <f>CONCATENATE(IF(COLUMN(AA511)&lt;=26,CHAR(96+COLUMN(AA511)),(CHAR(96+(ROUNDDOWN((COLUMN(AA511)-1)/26,0)))&amp;CHAR(96+IF(MOD(COLUMN(AA511),26)=0,26,MOD(COLUMN(AA511),26))))),Z511)</f>
        <v>aa500</v>
      </c>
      <c r="AA513" s="897"/>
      <c r="AB513" s="663"/>
      <c r="AC513" s="663"/>
      <c r="AD513" s="663"/>
      <c r="AE513" s="663"/>
      <c r="AF513" s="663"/>
      <c r="AG513" s="663"/>
      <c r="AH513" s="663"/>
      <c r="AI513" s="664"/>
      <c r="AL513" s="899" t="str">
        <f>CONCATENATE(IF(COLUMN(AM511)&lt;=26,CHAR(96+COLUMN(AM511)),(CHAR(96+(ROUNDDOWN((COLUMN(AM511)-1)/26,0)))&amp;CHAR(96+IF(MOD(COLUMN(AM511),26)=0,26,MOD(COLUMN(AM511),26))))),AL511)</f>
        <v>am500</v>
      </c>
      <c r="AM513" s="897"/>
      <c r="AN513" s="663"/>
      <c r="AU513" s="664"/>
      <c r="AX513" s="899" t="str">
        <f>CONCATENATE(IF(COLUMN(AY511)&lt;=26,CHAR(96+COLUMN(AY511)),(CHAR(96+(ROUNDDOWN((COLUMN(AY511)-1)/26,0)))&amp;CHAR(96+IF(MOD(COLUMN(AY511),26)=0,26,MOD(COLUMN(AY511),26))))),AX511)</f>
        <v>ay500</v>
      </c>
      <c r="AY513" s="897"/>
      <c r="BG513" s="664"/>
      <c r="BJ513" s="899" t="str">
        <f>CONCATENATE(IF(COLUMN(BK511)&lt;=26,CHAR(96+COLUMN(BK511)),(CHAR(96+(ROUNDDOWN((COLUMN(BK511)-1)/26,0)))&amp;CHAR(96+IF(MOD(COLUMN(BK511),26)=0,26,MOD(COLUMN(BK511),26))))),BJ511)</f>
        <v>bk500</v>
      </c>
      <c r="BK513" s="897"/>
      <c r="BS513" s="664"/>
      <c r="BV513" s="899" t="str">
        <f>CONCATENATE(IF(COLUMN(BW511)&lt;=26,CHAR(96+COLUMN(BW511)),(CHAR(96+(ROUNDDOWN((COLUMN(BW511)-1)/26,0)))&amp;CHAR(96+IF(MOD(COLUMN(BW511),26)=0,26,MOD(COLUMN(BW511),26))))),BV511)</f>
        <v>bw500</v>
      </c>
      <c r="BW513" s="897"/>
      <c r="CE513" s="664"/>
      <c r="CH513" s="899" t="str">
        <f>CONCATENATE(IF(COLUMN(CI511)&lt;=26,CHAR(96+COLUMN(CI511)),(CHAR(96+(ROUNDDOWN((COLUMN(CI511)-1)/26,0)))&amp;CHAR(96+IF(MOD(COLUMN(CI511),26)=0,26,MOD(COLUMN(CI511),26))))),CH511)</f>
        <v>ci500</v>
      </c>
      <c r="CI513" s="897"/>
      <c r="CQ513" s="664"/>
      <c r="CT513" s="899" t="str">
        <f>CONCATENATE(IF(COLUMN(CU511)&lt;=26,CHAR(96+COLUMN(CU511)),(CHAR(96+(ROUNDDOWN((COLUMN(CU511)-1)/26,0)))&amp;CHAR(96+IF(MOD(COLUMN(CU511),26)=0,26,MOD(COLUMN(CU511),26))))),CT511)</f>
        <v>cu500</v>
      </c>
      <c r="CU513" s="897"/>
      <c r="DC513" s="664"/>
      <c r="DF513" s="899" t="str">
        <f>CONCATENATE(IF(COLUMN(DG511)&lt;=26,CHAR(96+COLUMN(DG511)),(CHAR(96+(ROUNDDOWN((COLUMN(DG511)-1)/26,0)))&amp;CHAR(96+IF(MOD(COLUMN(DG511),26)=0,26,MOD(COLUMN(DG511),26))))),DF511)</f>
        <v>dg500</v>
      </c>
      <c r="DG513" s="897"/>
      <c r="DO513" s="664"/>
    </row>
    <row r="514" spans="2:119" hidden="1" x14ac:dyDescent="0.25">
      <c r="B514" s="899"/>
      <c r="C514" s="897"/>
      <c r="K514" s="664"/>
      <c r="N514" s="899"/>
      <c r="O514" s="897"/>
      <c r="U514" s="663"/>
      <c r="W514" s="664"/>
      <c r="Z514" s="899"/>
      <c r="AA514" s="897"/>
      <c r="AB514" s="663"/>
      <c r="AC514" s="663"/>
      <c r="AD514" s="663"/>
      <c r="AE514" s="663"/>
      <c r="AF514" s="663"/>
      <c r="AG514" s="663"/>
      <c r="AH514" s="663"/>
      <c r="AI514" s="664"/>
      <c r="AL514" s="899"/>
      <c r="AM514" s="897"/>
      <c r="AN514" s="663"/>
      <c r="AU514" s="664"/>
      <c r="AX514" s="899"/>
      <c r="AY514" s="897"/>
      <c r="BG514" s="664"/>
      <c r="BJ514" s="899"/>
      <c r="BK514" s="897"/>
      <c r="BS514" s="664"/>
      <c r="BV514" s="899"/>
      <c r="BW514" s="897"/>
      <c r="CE514" s="664"/>
      <c r="CH514" s="899"/>
      <c r="CI514" s="897"/>
      <c r="CQ514" s="664"/>
      <c r="CT514" s="899"/>
      <c r="CU514" s="897"/>
      <c r="DC514" s="664"/>
      <c r="DF514" s="899"/>
      <c r="DG514" s="897"/>
      <c r="DO514" s="664"/>
    </row>
    <row r="515" spans="2:119" hidden="1" x14ac:dyDescent="0.25">
      <c r="B515" s="900">
        <f>B500</f>
        <v>39113</v>
      </c>
      <c r="C515" s="897">
        <f>C500</f>
        <v>-1000000</v>
      </c>
      <c r="K515" s="664"/>
      <c r="N515" s="900">
        <f>N500</f>
        <v>39113</v>
      </c>
      <c r="O515" s="897">
        <f>O500</f>
        <v>-1000000</v>
      </c>
      <c r="U515" s="663"/>
      <c r="W515" s="664"/>
      <c r="Z515" s="900">
        <f>Z500</f>
        <v>39113</v>
      </c>
      <c r="AA515" s="897">
        <f>AA500</f>
        <v>-1000000</v>
      </c>
      <c r="AB515" s="663"/>
      <c r="AC515" s="663"/>
      <c r="AD515" s="663"/>
      <c r="AE515" s="663"/>
      <c r="AF515" s="663"/>
      <c r="AG515" s="663"/>
      <c r="AH515" s="663"/>
      <c r="AI515" s="664"/>
      <c r="AL515" s="900">
        <f>AL500</f>
        <v>39113</v>
      </c>
      <c r="AM515" s="897">
        <f>AM500</f>
        <v>-1000000</v>
      </c>
      <c r="AN515" s="663"/>
      <c r="AU515" s="664"/>
      <c r="AX515" s="900">
        <f>AX500</f>
        <v>39113</v>
      </c>
      <c r="AY515" s="897">
        <f>AY500</f>
        <v>-1000000</v>
      </c>
      <c r="BG515" s="664"/>
      <c r="BJ515" s="900">
        <f>BJ500</f>
        <v>39113</v>
      </c>
      <c r="BK515" s="897">
        <f>BK500</f>
        <v>-1000000</v>
      </c>
      <c r="BS515" s="664"/>
      <c r="BV515" s="900">
        <f>BV500</f>
        <v>39113</v>
      </c>
      <c r="BW515" s="897">
        <f>BW500</f>
        <v>-1000000</v>
      </c>
      <c r="CE515" s="664"/>
      <c r="CH515" s="900">
        <f>CH500</f>
        <v>39113</v>
      </c>
      <c r="CI515" s="897">
        <f>CI500</f>
        <v>-1000000</v>
      </c>
      <c r="CQ515" s="664"/>
      <c r="CT515" s="900">
        <f>CT500</f>
        <v>39113</v>
      </c>
      <c r="CU515" s="897">
        <f>CU500</f>
        <v>-1000000</v>
      </c>
      <c r="DC515" s="664"/>
      <c r="DF515" s="900">
        <f>DF500</f>
        <v>39113</v>
      </c>
      <c r="DG515" s="897">
        <f>DG500</f>
        <v>-1000000</v>
      </c>
      <c r="DO515" s="664"/>
    </row>
    <row r="516" spans="2:119" hidden="1" x14ac:dyDescent="0.25">
      <c r="B516" s="900">
        <f t="shared" ref="B516:C516" si="1241">B501</f>
        <v>39478</v>
      </c>
      <c r="C516" s="897">
        <f t="shared" si="1241"/>
        <v>-2000000</v>
      </c>
      <c r="K516" s="664"/>
      <c r="N516" s="900">
        <f t="shared" ref="N516:O516" si="1242">N501</f>
        <v>39478</v>
      </c>
      <c r="O516" s="897">
        <f t="shared" si="1242"/>
        <v>-2000000</v>
      </c>
      <c r="U516" s="663"/>
      <c r="W516" s="664"/>
      <c r="Z516" s="900">
        <f t="shared" ref="Z516:AA516" si="1243">Z501</f>
        <v>39478</v>
      </c>
      <c r="AA516" s="897">
        <f t="shared" si="1243"/>
        <v>-2000000</v>
      </c>
      <c r="AB516" s="663"/>
      <c r="AC516" s="663"/>
      <c r="AD516" s="663"/>
      <c r="AE516" s="663"/>
      <c r="AF516" s="663"/>
      <c r="AG516" s="663"/>
      <c r="AH516" s="663"/>
      <c r="AI516" s="664"/>
      <c r="AL516" s="900">
        <f t="shared" ref="AL516:AM516" si="1244">AL501</f>
        <v>39478</v>
      </c>
      <c r="AM516" s="897">
        <f t="shared" si="1244"/>
        <v>-2000000</v>
      </c>
      <c r="AN516" s="663"/>
      <c r="AU516" s="664"/>
      <c r="AX516" s="900">
        <f t="shared" ref="AX516:AY516" si="1245">AX501</f>
        <v>39478</v>
      </c>
      <c r="AY516" s="897">
        <f t="shared" si="1245"/>
        <v>-2000000</v>
      </c>
      <c r="BG516" s="664"/>
      <c r="BJ516" s="900">
        <f t="shared" ref="BJ516:BK516" si="1246">BJ501</f>
        <v>39478</v>
      </c>
      <c r="BK516" s="897">
        <f t="shared" si="1246"/>
        <v>-2000000</v>
      </c>
      <c r="BS516" s="664"/>
      <c r="BV516" s="900">
        <f t="shared" ref="BV516:BW516" si="1247">BV501</f>
        <v>39478</v>
      </c>
      <c r="BW516" s="897">
        <f t="shared" si="1247"/>
        <v>-2000000</v>
      </c>
      <c r="CE516" s="664"/>
      <c r="CH516" s="900">
        <f t="shared" ref="CH516:CI516" si="1248">CH501</f>
        <v>39478</v>
      </c>
      <c r="CI516" s="897">
        <f t="shared" si="1248"/>
        <v>-2000000</v>
      </c>
      <c r="CQ516" s="664"/>
      <c r="CT516" s="900">
        <f t="shared" ref="CT516:CU516" si="1249">CT501</f>
        <v>39478</v>
      </c>
      <c r="CU516" s="897">
        <f t="shared" si="1249"/>
        <v>-2000000</v>
      </c>
      <c r="DC516" s="664"/>
      <c r="DF516" s="900">
        <f t="shared" ref="DF516:DG516" si="1250">DF501</f>
        <v>39478</v>
      </c>
      <c r="DG516" s="897">
        <f t="shared" si="1250"/>
        <v>-2000000</v>
      </c>
      <c r="DO516" s="664"/>
    </row>
    <row r="517" spans="2:119" hidden="1" x14ac:dyDescent="0.25">
      <c r="B517" s="900">
        <f t="shared" ref="B517:C517" si="1251">B502</f>
        <v>39843</v>
      </c>
      <c r="C517" s="897">
        <f t="shared" si="1251"/>
        <v>-2500000</v>
      </c>
      <c r="K517" s="664"/>
      <c r="N517" s="900">
        <f t="shared" ref="N517:O517" si="1252">N502</f>
        <v>39843</v>
      </c>
      <c r="O517" s="897">
        <f t="shared" si="1252"/>
        <v>-2500000</v>
      </c>
      <c r="U517" s="663"/>
      <c r="W517" s="664"/>
      <c r="Z517" s="900">
        <f t="shared" ref="Z517:AA517" si="1253">Z502</f>
        <v>39843</v>
      </c>
      <c r="AA517" s="897">
        <f t="shared" si="1253"/>
        <v>-2500000</v>
      </c>
      <c r="AB517" s="663"/>
      <c r="AC517" s="663"/>
      <c r="AD517" s="663"/>
      <c r="AE517" s="663"/>
      <c r="AF517" s="663"/>
      <c r="AG517" s="663"/>
      <c r="AH517" s="663"/>
      <c r="AI517" s="664"/>
      <c r="AL517" s="900">
        <f t="shared" ref="AL517:AM517" si="1254">AL502</f>
        <v>39843</v>
      </c>
      <c r="AM517" s="897">
        <f t="shared" si="1254"/>
        <v>-2500000</v>
      </c>
      <c r="AN517" s="663"/>
      <c r="AU517" s="664"/>
      <c r="AX517" s="900">
        <f t="shared" ref="AX517:AY517" si="1255">AX502</f>
        <v>39843</v>
      </c>
      <c r="AY517" s="897">
        <f t="shared" si="1255"/>
        <v>-2500000</v>
      </c>
      <c r="BG517" s="664"/>
      <c r="BJ517" s="900">
        <f t="shared" ref="BJ517:BK517" si="1256">BJ502</f>
        <v>39843</v>
      </c>
      <c r="BK517" s="897">
        <f t="shared" si="1256"/>
        <v>-2500000</v>
      </c>
      <c r="BS517" s="664"/>
      <c r="BV517" s="900">
        <f t="shared" ref="BV517:BW517" si="1257">BV502</f>
        <v>39843</v>
      </c>
      <c r="BW517" s="897">
        <f t="shared" si="1257"/>
        <v>-2500000</v>
      </c>
      <c r="CE517" s="664"/>
      <c r="CH517" s="900">
        <f t="shared" ref="CH517:CI517" si="1258">CH502</f>
        <v>39843</v>
      </c>
      <c r="CI517" s="897">
        <f t="shared" si="1258"/>
        <v>-2500000</v>
      </c>
      <c r="CQ517" s="664"/>
      <c r="CT517" s="900">
        <f t="shared" ref="CT517:CU517" si="1259">CT502</f>
        <v>39843</v>
      </c>
      <c r="CU517" s="897">
        <f t="shared" si="1259"/>
        <v>-2500000</v>
      </c>
      <c r="DC517" s="664"/>
      <c r="DF517" s="900">
        <f t="shared" ref="DF517:DG517" si="1260">DF502</f>
        <v>39843</v>
      </c>
      <c r="DG517" s="897">
        <f t="shared" si="1260"/>
        <v>-2500000</v>
      </c>
      <c r="DO517" s="664"/>
    </row>
    <row r="518" spans="2:119" hidden="1" x14ac:dyDescent="0.25">
      <c r="B518" s="900">
        <f t="shared" ref="B518:C518" si="1261">B503</f>
        <v>39843</v>
      </c>
      <c r="C518" s="897">
        <f t="shared" si="1261"/>
        <v>0</v>
      </c>
      <c r="K518" s="664"/>
      <c r="N518" s="900">
        <f t="shared" ref="N518:O518" si="1262">N503</f>
        <v>39843</v>
      </c>
      <c r="O518" s="897">
        <f t="shared" si="1262"/>
        <v>0</v>
      </c>
      <c r="U518" s="663"/>
      <c r="W518" s="664"/>
      <c r="Z518" s="900">
        <f t="shared" ref="Z518:AA518" si="1263">Z503</f>
        <v>39843</v>
      </c>
      <c r="AA518" s="897">
        <f t="shared" si="1263"/>
        <v>0</v>
      </c>
      <c r="AB518" s="663"/>
      <c r="AC518" s="663"/>
      <c r="AD518" s="663"/>
      <c r="AE518" s="663"/>
      <c r="AF518" s="663"/>
      <c r="AG518" s="663"/>
      <c r="AH518" s="663"/>
      <c r="AI518" s="664"/>
      <c r="AL518" s="900">
        <f t="shared" ref="AL518:AM518" si="1264">AL503</f>
        <v>39843</v>
      </c>
      <c r="AM518" s="897">
        <f t="shared" si="1264"/>
        <v>0</v>
      </c>
      <c r="AN518" s="663"/>
      <c r="AU518" s="664"/>
      <c r="AX518" s="900">
        <f t="shared" ref="AX518:AY518" si="1265">AX503</f>
        <v>39843</v>
      </c>
      <c r="AY518" s="897">
        <f t="shared" si="1265"/>
        <v>0</v>
      </c>
      <c r="BG518" s="664"/>
      <c r="BJ518" s="900">
        <f t="shared" ref="BJ518:BK518" si="1266">BJ503</f>
        <v>39843</v>
      </c>
      <c r="BK518" s="897">
        <f t="shared" si="1266"/>
        <v>0</v>
      </c>
      <c r="BS518" s="664"/>
      <c r="BV518" s="900">
        <f t="shared" ref="BV518:BW518" si="1267">BV503</f>
        <v>39843</v>
      </c>
      <c r="BW518" s="897">
        <f t="shared" si="1267"/>
        <v>0</v>
      </c>
      <c r="CE518" s="664"/>
      <c r="CH518" s="900">
        <f t="shared" ref="CH518:CI518" si="1268">CH503</f>
        <v>39843</v>
      </c>
      <c r="CI518" s="897">
        <f t="shared" si="1268"/>
        <v>0</v>
      </c>
      <c r="CQ518" s="664"/>
      <c r="CT518" s="900">
        <f t="shared" ref="CT518:CU518" si="1269">CT503</f>
        <v>39843</v>
      </c>
      <c r="CU518" s="897">
        <f t="shared" si="1269"/>
        <v>0</v>
      </c>
      <c r="DC518" s="664"/>
      <c r="DF518" s="900">
        <f t="shared" ref="DF518:DG518" si="1270">DF503</f>
        <v>39843</v>
      </c>
      <c r="DG518" s="897">
        <f t="shared" si="1270"/>
        <v>0</v>
      </c>
      <c r="DO518" s="664"/>
    </row>
    <row r="519" spans="2:119" hidden="1" x14ac:dyDescent="0.25">
      <c r="B519" s="900">
        <f t="shared" ref="B519:C519" si="1271">B504</f>
        <v>39843</v>
      </c>
      <c r="C519" s="897">
        <f t="shared" si="1271"/>
        <v>0</v>
      </c>
      <c r="K519" s="664"/>
      <c r="N519" s="900">
        <f t="shared" ref="N519:O519" si="1272">N504</f>
        <v>39843</v>
      </c>
      <c r="O519" s="897">
        <f t="shared" si="1272"/>
        <v>0</v>
      </c>
      <c r="U519" s="663"/>
      <c r="W519" s="664"/>
      <c r="Z519" s="900">
        <f t="shared" ref="Z519:AA519" si="1273">Z504</f>
        <v>39843</v>
      </c>
      <c r="AA519" s="897">
        <f t="shared" si="1273"/>
        <v>0</v>
      </c>
      <c r="AB519" s="663"/>
      <c r="AC519" s="663"/>
      <c r="AD519" s="663"/>
      <c r="AE519" s="663"/>
      <c r="AF519" s="663"/>
      <c r="AG519" s="663"/>
      <c r="AH519" s="663"/>
      <c r="AI519" s="664"/>
      <c r="AL519" s="900">
        <f t="shared" ref="AL519:AM519" si="1274">AL504</f>
        <v>39843</v>
      </c>
      <c r="AM519" s="897">
        <f t="shared" si="1274"/>
        <v>0</v>
      </c>
      <c r="AN519" s="663"/>
      <c r="AU519" s="664"/>
      <c r="AX519" s="900">
        <f t="shared" ref="AX519:AY519" si="1275">AX504</f>
        <v>39843</v>
      </c>
      <c r="AY519" s="897">
        <f t="shared" si="1275"/>
        <v>0</v>
      </c>
      <c r="BG519" s="664"/>
      <c r="BJ519" s="900">
        <f t="shared" ref="BJ519:BK519" si="1276">BJ504</f>
        <v>39843</v>
      </c>
      <c r="BK519" s="897">
        <f t="shared" si="1276"/>
        <v>0</v>
      </c>
      <c r="BS519" s="664"/>
      <c r="BV519" s="900">
        <f t="shared" ref="BV519:BW519" si="1277">BV504</f>
        <v>39843</v>
      </c>
      <c r="BW519" s="897">
        <f t="shared" si="1277"/>
        <v>0</v>
      </c>
      <c r="CE519" s="664"/>
      <c r="CH519" s="900">
        <f t="shared" ref="CH519:CI519" si="1278">CH504</f>
        <v>39843</v>
      </c>
      <c r="CI519" s="897">
        <f t="shared" si="1278"/>
        <v>0</v>
      </c>
      <c r="CQ519" s="664"/>
      <c r="CT519" s="900">
        <f t="shared" ref="CT519:CU519" si="1279">CT504</f>
        <v>39843</v>
      </c>
      <c r="CU519" s="897">
        <f t="shared" si="1279"/>
        <v>0</v>
      </c>
      <c r="DC519" s="664"/>
      <c r="DF519" s="900">
        <f t="shared" ref="DF519:DG519" si="1280">DF504</f>
        <v>39843</v>
      </c>
      <c r="DG519" s="897">
        <f t="shared" si="1280"/>
        <v>0</v>
      </c>
      <c r="DO519" s="664"/>
    </row>
    <row r="520" spans="2:119" hidden="1" x14ac:dyDescent="0.25">
      <c r="B520" s="900">
        <f t="shared" ref="B520:C520" si="1281">B505</f>
        <v>39843</v>
      </c>
      <c r="C520" s="897">
        <f t="shared" si="1281"/>
        <v>0</v>
      </c>
      <c r="K520" s="664"/>
      <c r="N520" s="900">
        <f t="shared" ref="N520:O520" si="1282">N505</f>
        <v>39843</v>
      </c>
      <c r="O520" s="897">
        <f t="shared" si="1282"/>
        <v>0</v>
      </c>
      <c r="U520" s="663"/>
      <c r="W520" s="664"/>
      <c r="Z520" s="900">
        <f t="shared" ref="Z520:AA520" si="1283">Z505</f>
        <v>39843</v>
      </c>
      <c r="AA520" s="897">
        <f t="shared" si="1283"/>
        <v>0</v>
      </c>
      <c r="AB520" s="663"/>
      <c r="AC520" s="663"/>
      <c r="AD520" s="663"/>
      <c r="AE520" s="663"/>
      <c r="AF520" s="663"/>
      <c r="AG520" s="663"/>
      <c r="AH520" s="663"/>
      <c r="AI520" s="664"/>
      <c r="AL520" s="900">
        <f t="shared" ref="AL520:AM520" si="1284">AL505</f>
        <v>39843</v>
      </c>
      <c r="AM520" s="897">
        <f t="shared" si="1284"/>
        <v>0</v>
      </c>
      <c r="AN520" s="663"/>
      <c r="AU520" s="664"/>
      <c r="AX520" s="900">
        <f t="shared" ref="AX520:AY520" si="1285">AX505</f>
        <v>39843</v>
      </c>
      <c r="AY520" s="897">
        <f t="shared" si="1285"/>
        <v>0</v>
      </c>
      <c r="BG520" s="664"/>
      <c r="BJ520" s="900">
        <f t="shared" ref="BJ520:BK520" si="1286">BJ505</f>
        <v>39843</v>
      </c>
      <c r="BK520" s="897">
        <f t="shared" si="1286"/>
        <v>0</v>
      </c>
      <c r="BS520" s="664"/>
      <c r="BV520" s="900">
        <f t="shared" ref="BV520:BW520" si="1287">BV505</f>
        <v>39843</v>
      </c>
      <c r="BW520" s="897">
        <f t="shared" si="1287"/>
        <v>0</v>
      </c>
      <c r="CE520" s="664"/>
      <c r="CH520" s="900">
        <f t="shared" ref="CH520:CI520" si="1288">CH505</f>
        <v>39843</v>
      </c>
      <c r="CI520" s="897">
        <f t="shared" si="1288"/>
        <v>0</v>
      </c>
      <c r="CQ520" s="664"/>
      <c r="CT520" s="900">
        <f t="shared" ref="CT520:CU520" si="1289">CT505</f>
        <v>39843</v>
      </c>
      <c r="CU520" s="897">
        <f t="shared" si="1289"/>
        <v>0</v>
      </c>
      <c r="DC520" s="664"/>
      <c r="DF520" s="900">
        <f t="shared" ref="DF520:DG520" si="1290">DF505</f>
        <v>39843</v>
      </c>
      <c r="DG520" s="897">
        <f t="shared" si="1290"/>
        <v>0</v>
      </c>
      <c r="DO520" s="664"/>
    </row>
    <row r="521" spans="2:119" hidden="1" x14ac:dyDescent="0.25">
      <c r="B521" s="900">
        <f t="shared" ref="B521:C521" si="1291">B506</f>
        <v>39843</v>
      </c>
      <c r="C521" s="897">
        <f t="shared" si="1291"/>
        <v>0</v>
      </c>
      <c r="K521" s="664"/>
      <c r="N521" s="900">
        <f t="shared" ref="N521:O521" si="1292">N506</f>
        <v>39843</v>
      </c>
      <c r="O521" s="897">
        <f t="shared" si="1292"/>
        <v>0</v>
      </c>
      <c r="U521" s="663"/>
      <c r="W521" s="664"/>
      <c r="Z521" s="900">
        <f t="shared" ref="Z521:AA521" si="1293">Z506</f>
        <v>39843</v>
      </c>
      <c r="AA521" s="897">
        <f t="shared" si="1293"/>
        <v>0</v>
      </c>
      <c r="AB521" s="663"/>
      <c r="AC521" s="663"/>
      <c r="AD521" s="663"/>
      <c r="AE521" s="663"/>
      <c r="AF521" s="663"/>
      <c r="AG521" s="663"/>
      <c r="AH521" s="663"/>
      <c r="AI521" s="664"/>
      <c r="AL521" s="900">
        <f t="shared" ref="AL521:AM521" si="1294">AL506</f>
        <v>39843</v>
      </c>
      <c r="AM521" s="897">
        <f t="shared" si="1294"/>
        <v>0</v>
      </c>
      <c r="AN521" s="663"/>
      <c r="AU521" s="664"/>
      <c r="AX521" s="900">
        <f t="shared" ref="AX521:AY521" si="1295">AX506</f>
        <v>39843</v>
      </c>
      <c r="AY521" s="897">
        <f t="shared" si="1295"/>
        <v>0</v>
      </c>
      <c r="BG521" s="664"/>
      <c r="BJ521" s="900">
        <f t="shared" ref="BJ521:BK521" si="1296">BJ506</f>
        <v>39843</v>
      </c>
      <c r="BK521" s="897">
        <f t="shared" si="1296"/>
        <v>0</v>
      </c>
      <c r="BS521" s="664"/>
      <c r="BV521" s="900">
        <f t="shared" ref="BV521:BW521" si="1297">BV506</f>
        <v>39843</v>
      </c>
      <c r="BW521" s="897">
        <f t="shared" si="1297"/>
        <v>0</v>
      </c>
      <c r="CE521" s="664"/>
      <c r="CH521" s="900">
        <f t="shared" ref="CH521:CI521" si="1298">CH506</f>
        <v>39843</v>
      </c>
      <c r="CI521" s="897">
        <f t="shared" si="1298"/>
        <v>0</v>
      </c>
      <c r="CQ521" s="664"/>
      <c r="CT521" s="900">
        <f t="shared" ref="CT521:CU521" si="1299">CT506</f>
        <v>39843</v>
      </c>
      <c r="CU521" s="897">
        <f t="shared" si="1299"/>
        <v>0</v>
      </c>
      <c r="DC521" s="664"/>
      <c r="DF521" s="900">
        <f t="shared" ref="DF521:DG521" si="1300">DF506</f>
        <v>39843</v>
      </c>
      <c r="DG521" s="897">
        <f t="shared" si="1300"/>
        <v>0</v>
      </c>
      <c r="DO521" s="664"/>
    </row>
    <row r="522" spans="2:119" hidden="1" x14ac:dyDescent="0.25">
      <c r="B522" s="900">
        <f t="shared" ref="B522:C522" si="1301">B507</f>
        <v>39843</v>
      </c>
      <c r="C522" s="897">
        <f t="shared" si="1301"/>
        <v>0</v>
      </c>
      <c r="K522" s="664"/>
      <c r="N522" s="900">
        <f t="shared" ref="N522:O522" si="1302">N507</f>
        <v>39843</v>
      </c>
      <c r="O522" s="897">
        <f t="shared" si="1302"/>
        <v>0</v>
      </c>
      <c r="U522" s="663"/>
      <c r="W522" s="664"/>
      <c r="Z522" s="900">
        <f t="shared" ref="Z522:AA522" si="1303">Z507</f>
        <v>39843</v>
      </c>
      <c r="AA522" s="897">
        <f t="shared" si="1303"/>
        <v>0</v>
      </c>
      <c r="AB522" s="663"/>
      <c r="AC522" s="663"/>
      <c r="AD522" s="663"/>
      <c r="AE522" s="663"/>
      <c r="AF522" s="663"/>
      <c r="AG522" s="663"/>
      <c r="AH522" s="663"/>
      <c r="AI522" s="664"/>
      <c r="AL522" s="900">
        <f t="shared" ref="AL522:AM522" si="1304">AL507</f>
        <v>39843</v>
      </c>
      <c r="AM522" s="897">
        <f t="shared" si="1304"/>
        <v>0</v>
      </c>
      <c r="AN522" s="663"/>
      <c r="AU522" s="664"/>
      <c r="AX522" s="900">
        <f t="shared" ref="AX522:AY522" si="1305">AX507</f>
        <v>39843</v>
      </c>
      <c r="AY522" s="897">
        <f t="shared" si="1305"/>
        <v>0</v>
      </c>
      <c r="BG522" s="664"/>
      <c r="BJ522" s="900">
        <f t="shared" ref="BJ522:BK522" si="1306">BJ507</f>
        <v>39843</v>
      </c>
      <c r="BK522" s="897">
        <f t="shared" si="1306"/>
        <v>0</v>
      </c>
      <c r="BS522" s="664"/>
      <c r="BV522" s="900">
        <f t="shared" ref="BV522:BW522" si="1307">BV507</f>
        <v>39843</v>
      </c>
      <c r="BW522" s="897">
        <f t="shared" si="1307"/>
        <v>0</v>
      </c>
      <c r="CE522" s="664"/>
      <c r="CH522" s="900">
        <f t="shared" ref="CH522:CI522" si="1308">CH507</f>
        <v>39843</v>
      </c>
      <c r="CI522" s="897">
        <f t="shared" si="1308"/>
        <v>0</v>
      </c>
      <c r="CQ522" s="664"/>
      <c r="CT522" s="900">
        <f t="shared" ref="CT522:CU522" si="1309">CT507</f>
        <v>39843</v>
      </c>
      <c r="CU522" s="897">
        <f t="shared" si="1309"/>
        <v>0</v>
      </c>
      <c r="DC522" s="664"/>
      <c r="DF522" s="900">
        <f t="shared" ref="DF522:DG522" si="1310">DF507</f>
        <v>39843</v>
      </c>
      <c r="DG522" s="897">
        <f t="shared" si="1310"/>
        <v>0</v>
      </c>
      <c r="DO522" s="664"/>
    </row>
    <row r="523" spans="2:119" hidden="1" x14ac:dyDescent="0.25">
      <c r="B523" s="900">
        <f t="shared" ref="B523:C523" si="1311">B508</f>
        <v>39843</v>
      </c>
      <c r="C523" s="897">
        <f t="shared" si="1311"/>
        <v>0</v>
      </c>
      <c r="K523" s="664"/>
      <c r="N523" s="900">
        <f t="shared" ref="N523:O523" si="1312">N508</f>
        <v>39843</v>
      </c>
      <c r="O523" s="897">
        <f t="shared" si="1312"/>
        <v>0</v>
      </c>
      <c r="U523" s="663"/>
      <c r="W523" s="664"/>
      <c r="Z523" s="900">
        <f t="shared" ref="Z523:AA523" si="1313">Z508</f>
        <v>39843</v>
      </c>
      <c r="AA523" s="897">
        <f t="shared" si="1313"/>
        <v>0</v>
      </c>
      <c r="AB523" s="663"/>
      <c r="AC523" s="663"/>
      <c r="AD523" s="663"/>
      <c r="AE523" s="663"/>
      <c r="AF523" s="663"/>
      <c r="AG523" s="663"/>
      <c r="AH523" s="663"/>
      <c r="AI523" s="664"/>
      <c r="AL523" s="900">
        <f t="shared" ref="AL523:AM523" si="1314">AL508</f>
        <v>39843</v>
      </c>
      <c r="AM523" s="897">
        <f t="shared" si="1314"/>
        <v>0</v>
      </c>
      <c r="AN523" s="663"/>
      <c r="AU523" s="664"/>
      <c r="AX523" s="900">
        <f t="shared" ref="AX523:AY523" si="1315">AX508</f>
        <v>39843</v>
      </c>
      <c r="AY523" s="897">
        <f t="shared" si="1315"/>
        <v>0</v>
      </c>
      <c r="BG523" s="664"/>
      <c r="BJ523" s="900">
        <f t="shared" ref="BJ523:BK523" si="1316">BJ508</f>
        <v>39843</v>
      </c>
      <c r="BK523" s="897">
        <f t="shared" si="1316"/>
        <v>0</v>
      </c>
      <c r="BS523" s="664"/>
      <c r="BV523" s="900">
        <f t="shared" ref="BV523:BW523" si="1317">BV508</f>
        <v>39843</v>
      </c>
      <c r="BW523" s="897">
        <f t="shared" si="1317"/>
        <v>0</v>
      </c>
      <c r="CE523" s="664"/>
      <c r="CH523" s="900">
        <f t="shared" ref="CH523:CI523" si="1318">CH508</f>
        <v>39843</v>
      </c>
      <c r="CI523" s="897">
        <f t="shared" si="1318"/>
        <v>0</v>
      </c>
      <c r="CQ523" s="664"/>
      <c r="CT523" s="900">
        <f t="shared" ref="CT523:CU523" si="1319">CT508</f>
        <v>39843</v>
      </c>
      <c r="CU523" s="897">
        <f t="shared" si="1319"/>
        <v>0</v>
      </c>
      <c r="DC523" s="664"/>
      <c r="DF523" s="900">
        <f t="shared" ref="DF523:DG523" si="1320">DF508</f>
        <v>39843</v>
      </c>
      <c r="DG523" s="897">
        <f t="shared" si="1320"/>
        <v>0</v>
      </c>
      <c r="DO523" s="664"/>
    </row>
    <row r="524" spans="2:119" hidden="1" x14ac:dyDescent="0.25">
      <c r="B524" s="900">
        <f t="shared" ref="B524:C524" si="1321">B509</f>
        <v>39843</v>
      </c>
      <c r="C524" s="897">
        <f t="shared" si="1321"/>
        <v>0</v>
      </c>
      <c r="K524" s="664"/>
      <c r="N524" s="900">
        <f t="shared" ref="N524:O524" si="1322">N509</f>
        <v>39843</v>
      </c>
      <c r="O524" s="897">
        <f t="shared" si="1322"/>
        <v>0</v>
      </c>
      <c r="U524" s="663"/>
      <c r="W524" s="664"/>
      <c r="Z524" s="900">
        <f t="shared" ref="Z524:AA524" si="1323">Z509</f>
        <v>39843</v>
      </c>
      <c r="AA524" s="897">
        <f t="shared" si="1323"/>
        <v>0</v>
      </c>
      <c r="AB524" s="663"/>
      <c r="AC524" s="663"/>
      <c r="AD524" s="663"/>
      <c r="AE524" s="663"/>
      <c r="AF524" s="663"/>
      <c r="AG524" s="663"/>
      <c r="AH524" s="663"/>
      <c r="AI524" s="664"/>
      <c r="AL524" s="900">
        <f t="shared" ref="AL524:AM524" si="1324">AL509</f>
        <v>39843</v>
      </c>
      <c r="AM524" s="897">
        <f t="shared" si="1324"/>
        <v>0</v>
      </c>
      <c r="AN524" s="663"/>
      <c r="AU524" s="664"/>
      <c r="AX524" s="900">
        <f t="shared" ref="AX524:AY524" si="1325">AX509</f>
        <v>39843</v>
      </c>
      <c r="AY524" s="897">
        <f t="shared" si="1325"/>
        <v>0</v>
      </c>
      <c r="BG524" s="664"/>
      <c r="BJ524" s="900">
        <f t="shared" ref="BJ524:BK524" si="1326">BJ509</f>
        <v>39843</v>
      </c>
      <c r="BK524" s="897">
        <f t="shared" si="1326"/>
        <v>0</v>
      </c>
      <c r="BS524" s="664"/>
      <c r="BV524" s="900">
        <f t="shared" ref="BV524:BW524" si="1327">BV509</f>
        <v>39843</v>
      </c>
      <c r="BW524" s="897">
        <f t="shared" si="1327"/>
        <v>0</v>
      </c>
      <c r="CE524" s="664"/>
      <c r="CH524" s="900">
        <f t="shared" ref="CH524:CI524" si="1328">CH509</f>
        <v>39843</v>
      </c>
      <c r="CI524" s="897">
        <f t="shared" si="1328"/>
        <v>0</v>
      </c>
      <c r="CQ524" s="664"/>
      <c r="CT524" s="900">
        <f t="shared" ref="CT524:CU524" si="1329">CT509</f>
        <v>39843</v>
      </c>
      <c r="CU524" s="897">
        <f t="shared" si="1329"/>
        <v>0</v>
      </c>
      <c r="DC524" s="664"/>
      <c r="DF524" s="900">
        <f t="shared" ref="DF524:DG524" si="1330">DF509</f>
        <v>39843</v>
      </c>
      <c r="DG524" s="897">
        <f t="shared" si="1330"/>
        <v>0</v>
      </c>
      <c r="DO524" s="664"/>
    </row>
    <row r="525" spans="2:119" hidden="1" x14ac:dyDescent="0.25">
      <c r="B525" s="896">
        <f>B510+$C$56</f>
        <v>41359</v>
      </c>
      <c r="C525" s="897">
        <f ca="1">C510</f>
        <v>0</v>
      </c>
      <c r="K525" s="664"/>
      <c r="N525" s="896">
        <f>N510+$C$56</f>
        <v>41359</v>
      </c>
      <c r="O525" s="897">
        <f ca="1">O510</f>
        <v>0</v>
      </c>
      <c r="U525" s="663"/>
      <c r="W525" s="664"/>
      <c r="Z525" s="896">
        <f>Z510+$C$56</f>
        <v>41359</v>
      </c>
      <c r="AA525" s="897">
        <f ca="1">AA510</f>
        <v>0</v>
      </c>
      <c r="AB525" s="663"/>
      <c r="AC525" s="663"/>
      <c r="AD525" s="663"/>
      <c r="AE525" s="663"/>
      <c r="AF525" s="663"/>
      <c r="AG525" s="663"/>
      <c r="AH525" s="663"/>
      <c r="AI525" s="664"/>
      <c r="AL525" s="896">
        <f>AL510+$C$56</f>
        <v>41359</v>
      </c>
      <c r="AM525" s="897">
        <f ca="1">AM510</f>
        <v>0</v>
      </c>
      <c r="AN525" s="663"/>
      <c r="AU525" s="664"/>
      <c r="AX525" s="896">
        <f>AX510+$C$56</f>
        <v>41359</v>
      </c>
      <c r="AY525" s="897">
        <f ca="1">AY510</f>
        <v>0</v>
      </c>
      <c r="BG525" s="664"/>
      <c r="BJ525" s="896">
        <f>BJ510+$C$56</f>
        <v>41359</v>
      </c>
      <c r="BK525" s="897">
        <f ca="1">BK510</f>
        <v>0</v>
      </c>
      <c r="BS525" s="664"/>
      <c r="BV525" s="896">
        <f>BV510+$C$56</f>
        <v>41359</v>
      </c>
      <c r="BW525" s="897">
        <f ca="1">BW510</f>
        <v>0</v>
      </c>
      <c r="CE525" s="664"/>
      <c r="CH525" s="896">
        <f>CH510+$C$56</f>
        <v>41359</v>
      </c>
      <c r="CI525" s="897">
        <f ca="1">CI510</f>
        <v>0</v>
      </c>
      <c r="CQ525" s="664"/>
      <c r="CT525" s="896">
        <f>CT510+$C$56</f>
        <v>41359</v>
      </c>
      <c r="CU525" s="897">
        <f ca="1">CU510</f>
        <v>0</v>
      </c>
      <c r="DC525" s="664"/>
      <c r="DF525" s="896">
        <f>DF510+$C$56</f>
        <v>41359</v>
      </c>
      <c r="DG525" s="897">
        <f ca="1">DG510</f>
        <v>0</v>
      </c>
      <c r="DO525" s="664"/>
    </row>
    <row r="526" spans="2:119" hidden="1" x14ac:dyDescent="0.25">
      <c r="B526" s="898">
        <f>IF(C515&lt;&gt;0,ROW(C515),IF(C516&lt;&gt;0,ROW(C516),IF(C517&lt;&gt;0,ROW(C517),IF(C518&lt;&gt;0,ROW(C518),IF(C519&lt;&gt;0,ROW(C519),IF(C520&lt;&gt;0,ROW(C520),IF(C521&lt;&gt;0,ROW(C521),IF(C522&lt;&gt;0,ROW(C522),IF(C523&lt;&gt;0,ROW(C523),IF(C524&lt;&gt;0,ROW(C524)))))))))))</f>
        <v>515</v>
      </c>
      <c r="C526" s="882" t="e">
        <f ca="1">IF(ISERROR(XIRR(INDIRECT(B528):C525,INDIRECT(B527):B525,-20%)),XIRR(INDIRECT(B528):C525,INDIRECT(B527):B525,20%),"N/A")</f>
        <v>#NUM!</v>
      </c>
      <c r="K526" s="664"/>
      <c r="N526" s="898">
        <f>IF(O515&lt;&gt;0,ROW(O515),IF(O516&lt;&gt;0,ROW(O516),IF(O517&lt;&gt;0,ROW(O517),IF(O518&lt;&gt;0,ROW(O518),IF(O519&lt;&gt;0,ROW(O519),IF(O520&lt;&gt;0,ROW(O520),IF(O521&lt;&gt;0,ROW(O521),IF(O522&lt;&gt;0,ROW(O522),IF(O523&lt;&gt;0,ROW(O523),IF(O524&lt;&gt;0,ROW(O524)))))))))))</f>
        <v>515</v>
      </c>
      <c r="O526" s="882" t="e">
        <f ca="1">IF(ISERROR(XIRR(INDIRECT(N528):O525,INDIRECT(N527):N525,-20%)),XIRR(INDIRECT(N528):O525,INDIRECT(N527):N525,20%),"N/A")</f>
        <v>#NUM!</v>
      </c>
      <c r="U526" s="663"/>
      <c r="W526" s="664"/>
      <c r="Z526" s="898">
        <f>IF(AA515&lt;&gt;0,ROW(AA515),IF(AA516&lt;&gt;0,ROW(AA516),IF(AA517&lt;&gt;0,ROW(AA517),IF(AA518&lt;&gt;0,ROW(AA518),IF(AA519&lt;&gt;0,ROW(AA519),IF(AA520&lt;&gt;0,ROW(AA520),IF(AA521&lt;&gt;0,ROW(AA521),IF(AA522&lt;&gt;0,ROW(AA522),IF(AA523&lt;&gt;0,ROW(AA523),IF(AA524&lt;&gt;0,ROW(AA524)))))))))))</f>
        <v>515</v>
      </c>
      <c r="AA526" s="882" t="e">
        <f ca="1">IF(ISERROR(XIRR(INDIRECT(Z528):AA525,INDIRECT(Z527):Z525,-20%)),XIRR(INDIRECT(Z528):AA525,INDIRECT(Z527):Z525,20%),"N/A")</f>
        <v>#NUM!</v>
      </c>
      <c r="AB526" s="663"/>
      <c r="AC526" s="663"/>
      <c r="AD526" s="663"/>
      <c r="AE526" s="663"/>
      <c r="AF526" s="663"/>
      <c r="AG526" s="663"/>
      <c r="AH526" s="663"/>
      <c r="AI526" s="664"/>
      <c r="AL526" s="898">
        <f>IF(AM515&lt;&gt;0,ROW(AM515),IF(AM516&lt;&gt;0,ROW(AM516),IF(AM517&lt;&gt;0,ROW(AM517),IF(AM518&lt;&gt;0,ROW(AM518),IF(AM519&lt;&gt;0,ROW(AM519),IF(AM520&lt;&gt;0,ROW(AM520),IF(AM521&lt;&gt;0,ROW(AM521),IF(AM522&lt;&gt;0,ROW(AM522),IF(AM523&lt;&gt;0,ROW(AM523),IF(AM524&lt;&gt;0,ROW(AM524)))))))))))</f>
        <v>515</v>
      </c>
      <c r="AM526" s="882" t="e">
        <f ca="1">IF(ISERROR(XIRR(INDIRECT(AL528):AM525,INDIRECT(AL527):AL525,-20%)),XIRR(INDIRECT(AL528):AM525,INDIRECT(AL527):AL525,20%),"N/A")</f>
        <v>#NUM!</v>
      </c>
      <c r="AN526" s="663"/>
      <c r="AU526" s="664"/>
      <c r="AX526" s="898">
        <f>IF(AY515&lt;&gt;0,ROW(AY515),IF(AY516&lt;&gt;0,ROW(AY516),IF(AY517&lt;&gt;0,ROW(AY517),IF(AY518&lt;&gt;0,ROW(AY518),IF(AY519&lt;&gt;0,ROW(AY519),IF(AY520&lt;&gt;0,ROW(AY520),IF(AY521&lt;&gt;0,ROW(AY521),IF(AY522&lt;&gt;0,ROW(AY522),IF(AY523&lt;&gt;0,ROW(AY523),IF(AY524&lt;&gt;0,ROW(AY524)))))))))))</f>
        <v>515</v>
      </c>
      <c r="AY526" s="882" t="e">
        <f ca="1">IF(ISERROR(XIRR(INDIRECT(AX528):AY525,INDIRECT(AX527):AX525,-20%)),XIRR(INDIRECT(AX528):AY525,INDIRECT(AX527):AX525,20%),"N/A")</f>
        <v>#NUM!</v>
      </c>
      <c r="BG526" s="664"/>
      <c r="BJ526" s="898">
        <f>IF(BK515&lt;&gt;0,ROW(BK515),IF(BK516&lt;&gt;0,ROW(BK516),IF(BK517&lt;&gt;0,ROW(BK517),IF(BK518&lt;&gt;0,ROW(BK518),IF(BK519&lt;&gt;0,ROW(BK519),IF(BK520&lt;&gt;0,ROW(BK520),IF(BK521&lt;&gt;0,ROW(BK521),IF(BK522&lt;&gt;0,ROW(BK522),IF(BK523&lt;&gt;0,ROW(BK523),IF(BK524&lt;&gt;0,ROW(BK524)))))))))))</f>
        <v>515</v>
      </c>
      <c r="BK526" s="882" t="e">
        <f ca="1">IF(ISERROR(XIRR(INDIRECT(BJ528):BK525,INDIRECT(BJ527):BJ525,-20%)),XIRR(INDIRECT(BJ528):BK525,INDIRECT(BJ527):BJ525,20%),"N/A")</f>
        <v>#NUM!</v>
      </c>
      <c r="BS526" s="664"/>
      <c r="BV526" s="898">
        <f>IF(BW515&lt;&gt;0,ROW(BW515),IF(BW516&lt;&gt;0,ROW(BW516),IF(BW517&lt;&gt;0,ROW(BW517),IF(BW518&lt;&gt;0,ROW(BW518),IF(BW519&lt;&gt;0,ROW(BW519),IF(BW520&lt;&gt;0,ROW(BW520),IF(BW521&lt;&gt;0,ROW(BW521),IF(BW522&lt;&gt;0,ROW(BW522),IF(BW523&lt;&gt;0,ROW(BW523),IF(BW524&lt;&gt;0,ROW(BW524)))))))))))</f>
        <v>515</v>
      </c>
      <c r="BW526" s="882" t="e">
        <f ca="1">IF(ISERROR(XIRR(INDIRECT(BV528):BW525,INDIRECT(BV527):BV525,-20%)),XIRR(INDIRECT(BV528):BW525,INDIRECT(BV527):BV525,20%),"N/A")</f>
        <v>#NUM!</v>
      </c>
      <c r="CE526" s="664"/>
      <c r="CH526" s="898">
        <f>IF(CI515&lt;&gt;0,ROW(CI515),IF(CI516&lt;&gt;0,ROW(CI516),IF(CI517&lt;&gt;0,ROW(CI517),IF(CI518&lt;&gt;0,ROW(CI518),IF(CI519&lt;&gt;0,ROW(CI519),IF(CI520&lt;&gt;0,ROW(CI520),IF(CI521&lt;&gt;0,ROW(CI521),IF(CI522&lt;&gt;0,ROW(CI522),IF(CI523&lt;&gt;0,ROW(CI523),IF(CI524&lt;&gt;0,ROW(CI524)))))))))))</f>
        <v>515</v>
      </c>
      <c r="CI526" s="882" t="e">
        <f ca="1">IF(ISERROR(XIRR(INDIRECT(CH528):CI525,INDIRECT(CH527):CH525,-20%)),XIRR(INDIRECT(CH528):CI525,INDIRECT(CH527):CH525,20%),"N/A")</f>
        <v>#NUM!</v>
      </c>
      <c r="CQ526" s="664"/>
      <c r="CT526" s="898">
        <f>IF(CU515&lt;&gt;0,ROW(CU515),IF(CU516&lt;&gt;0,ROW(CU516),IF(CU517&lt;&gt;0,ROW(CU517),IF(CU518&lt;&gt;0,ROW(CU518),IF(CU519&lt;&gt;0,ROW(CU519),IF(CU520&lt;&gt;0,ROW(CU520),IF(CU521&lt;&gt;0,ROW(CU521),IF(CU522&lt;&gt;0,ROW(CU522),IF(CU523&lt;&gt;0,ROW(CU523),IF(CU524&lt;&gt;0,ROW(CU524)))))))))))</f>
        <v>515</v>
      </c>
      <c r="CU526" s="882" t="e">
        <f ca="1">IF(ISERROR(XIRR(INDIRECT(CT528):CU525,INDIRECT(CT527):CT525,-20%)),XIRR(INDIRECT(CT528):CU525,INDIRECT(CT527):CT525,20%),"N/A")</f>
        <v>#NUM!</v>
      </c>
      <c r="DC526" s="664"/>
      <c r="DF526" s="898">
        <f>IF(DG515&lt;&gt;0,ROW(DG515),IF(DG516&lt;&gt;0,ROW(DG516),IF(DG517&lt;&gt;0,ROW(DG517),IF(DG518&lt;&gt;0,ROW(DG518),IF(DG519&lt;&gt;0,ROW(DG519),IF(DG520&lt;&gt;0,ROW(DG520),IF(DG521&lt;&gt;0,ROW(DG521),IF(DG522&lt;&gt;0,ROW(DG522),IF(DG523&lt;&gt;0,ROW(DG523),IF(DG524&lt;&gt;0,ROW(DG524)))))))))))</f>
        <v>515</v>
      </c>
      <c r="DG526" s="882" t="e">
        <f ca="1">IF(ISERROR(XIRR(INDIRECT(DF528):DG525,INDIRECT(DF527):DF525,-20%)),XIRR(INDIRECT(DF528):DG525,INDIRECT(DF527):DF525,20%),"N/A")</f>
        <v>#NUM!</v>
      </c>
      <c r="DO526" s="664"/>
    </row>
    <row r="527" spans="2:119" hidden="1" x14ac:dyDescent="0.25">
      <c r="B527" s="899" t="str">
        <f>CONCATENATE(CHAR(64+COLUMN(B526)),B526)</f>
        <v>B515</v>
      </c>
      <c r="C527" s="897"/>
      <c r="K527" s="664"/>
      <c r="N527" s="899" t="str">
        <f>CONCATENATE(CHAR(64+COLUMN(N526)),N526)</f>
        <v>N515</v>
      </c>
      <c r="O527" s="897"/>
      <c r="U527" s="663"/>
      <c r="W527" s="664"/>
      <c r="Z527" s="899" t="str">
        <f>CONCATENATE(IF(COLUMN(Z526)&lt;=26,CHAR(96+COLUMN(Z526)),(CHAR(96+(ROUNDDOWN((COLUMN(Z526)-1)/26,0)))&amp;CHAR(96+IF(MOD(COLUMN(Z526),26)=0,26,MOD(COLUMN(Z526),26))))),Z526)</f>
        <v>z515</v>
      </c>
      <c r="AA527" s="897"/>
      <c r="AB527" s="663"/>
      <c r="AC527" s="663"/>
      <c r="AD527" s="663"/>
      <c r="AE527" s="663"/>
      <c r="AF527" s="663"/>
      <c r="AG527" s="663"/>
      <c r="AH527" s="663"/>
      <c r="AI527" s="664"/>
      <c r="AL527" s="899" t="str">
        <f>CONCATENATE(IF(COLUMN(AL526)&lt;=26,CHAR(96+COLUMN(AL526)),(CHAR(96+(ROUNDDOWN((COLUMN(AL526)-1)/26,0)))&amp;CHAR(96+IF(MOD(COLUMN(AL526),26)=0,26,MOD(COLUMN(AL526),26))))),AL526)</f>
        <v>al515</v>
      </c>
      <c r="AM527" s="897"/>
      <c r="AN527" s="663"/>
      <c r="AU527" s="664"/>
      <c r="AX527" s="899" t="str">
        <f>CONCATENATE(IF(COLUMN(AX526)&lt;=26,CHAR(96+COLUMN(AX526)),(CHAR(96+(ROUNDDOWN((COLUMN(AX526)-1)/26,0)))&amp;CHAR(96+IF(MOD(COLUMN(AX526),26)=0,26,MOD(COLUMN(AX526),26))))),AX526)</f>
        <v>ax515</v>
      </c>
      <c r="AY527" s="897"/>
      <c r="BG527" s="664"/>
      <c r="BJ527" s="899" t="str">
        <f>CONCATENATE(IF(COLUMN(BJ526)&lt;=26,CHAR(96+COLUMN(BJ526)),(CHAR(96+(ROUNDDOWN((COLUMN(BJ526)-1)/26,0)))&amp;CHAR(96+IF(MOD(COLUMN(BJ526),26)=0,26,MOD(COLUMN(BJ526),26))))),BJ526)</f>
        <v>bj515</v>
      </c>
      <c r="BK527" s="897"/>
      <c r="BS527" s="664"/>
      <c r="BV527" s="899" t="str">
        <f>CONCATENATE(IF(COLUMN(BV526)&lt;=26,CHAR(96+COLUMN(BV526)),(CHAR(96+(ROUNDDOWN((COLUMN(BV526)-1)/26,0)))&amp;CHAR(96+IF(MOD(COLUMN(BV526),26)=0,26,MOD(COLUMN(BV526),26))))),BV526)</f>
        <v>bv515</v>
      </c>
      <c r="BW527" s="897"/>
      <c r="CE527" s="664"/>
      <c r="CH527" s="899" t="str">
        <f>CONCATENATE(IF(COLUMN(CH526)&lt;=26,CHAR(96+COLUMN(CH526)),(CHAR(96+(ROUNDDOWN((COLUMN(CH526)-1)/26,0)))&amp;CHAR(96+IF(MOD(COLUMN(CH526),26)=0,26,MOD(COLUMN(CH526),26))))),CH526)</f>
        <v>ch515</v>
      </c>
      <c r="CI527" s="897"/>
      <c r="CQ527" s="664"/>
      <c r="CT527" s="899" t="str">
        <f>CONCATENATE(IF(COLUMN(CT526)&lt;=26,CHAR(96+COLUMN(CT526)),(CHAR(96+(ROUNDDOWN((COLUMN(CT526)-1)/26,0)))&amp;CHAR(96+IF(MOD(COLUMN(CT526),26)=0,26,MOD(COLUMN(CT526),26))))),CT526)</f>
        <v>ct515</v>
      </c>
      <c r="CU527" s="897"/>
      <c r="DC527" s="664"/>
      <c r="DF527" s="899" t="str">
        <f>CONCATENATE(IF(COLUMN(DF526)&lt;=26,CHAR(96+COLUMN(DF526)),(CHAR(96+(ROUNDDOWN((COLUMN(DF526)-1)/26,0)))&amp;CHAR(96+IF(MOD(COLUMN(DF526),26)=0,26,MOD(COLUMN(DF526),26))))),DF526)</f>
        <v>df515</v>
      </c>
      <c r="DG527" s="897"/>
      <c r="DO527" s="664"/>
    </row>
    <row r="528" spans="2:119" hidden="1" x14ac:dyDescent="0.25">
      <c r="B528" s="899" t="str">
        <f>CONCATENATE(CHAR(64+COLUMN(C526)),B526)</f>
        <v>C515</v>
      </c>
      <c r="C528" s="897"/>
      <c r="K528" s="664"/>
      <c r="N528" s="899" t="str">
        <f>CONCATENATE(CHAR(64+COLUMN(O526)),N526)</f>
        <v>O515</v>
      </c>
      <c r="O528" s="897"/>
      <c r="U528" s="663"/>
      <c r="W528" s="664"/>
      <c r="Z528" s="899" t="str">
        <f>CONCATENATE(IF(COLUMN(AA526)&lt;=26,CHAR(96+COLUMN(AA526)),(CHAR(96+(ROUNDDOWN((COLUMN(AA526)-1)/26,0)))&amp;CHAR(96+IF(MOD(COLUMN(AA526),26)=0,26,MOD(COLUMN(AA526),26))))),Z526)</f>
        <v>aa515</v>
      </c>
      <c r="AA528" s="897"/>
      <c r="AB528" s="663"/>
      <c r="AC528" s="663"/>
      <c r="AD528" s="663"/>
      <c r="AE528" s="663"/>
      <c r="AF528" s="663"/>
      <c r="AG528" s="663"/>
      <c r="AH528" s="663"/>
      <c r="AI528" s="664"/>
      <c r="AL528" s="899" t="str">
        <f>CONCATENATE(IF(COLUMN(AM526)&lt;=26,CHAR(96+COLUMN(AM526)),(CHAR(96+(ROUNDDOWN((COLUMN(AM526)-1)/26,0)))&amp;CHAR(96+IF(MOD(COLUMN(AM526),26)=0,26,MOD(COLUMN(AM526),26))))),AL526)</f>
        <v>am515</v>
      </c>
      <c r="AM528" s="897"/>
      <c r="AN528" s="663"/>
      <c r="AU528" s="664"/>
      <c r="AX528" s="899" t="str">
        <f>CONCATENATE(IF(COLUMN(AY526)&lt;=26,CHAR(96+COLUMN(AY526)),(CHAR(96+(ROUNDDOWN((COLUMN(AY526)-1)/26,0)))&amp;CHAR(96+IF(MOD(COLUMN(AY526),26)=0,26,MOD(COLUMN(AY526),26))))),AX526)</f>
        <v>ay515</v>
      </c>
      <c r="AY528" s="897"/>
      <c r="BG528" s="664"/>
      <c r="BJ528" s="899" t="str">
        <f>CONCATENATE(IF(COLUMN(BK526)&lt;=26,CHAR(96+COLUMN(BK526)),(CHAR(96+(ROUNDDOWN((COLUMN(BK526)-1)/26,0)))&amp;CHAR(96+IF(MOD(COLUMN(BK526),26)=0,26,MOD(COLUMN(BK526),26))))),BJ526)</f>
        <v>bk515</v>
      </c>
      <c r="BK528" s="897"/>
      <c r="BS528" s="664"/>
      <c r="BV528" s="899" t="str">
        <f>CONCATENATE(IF(COLUMN(BW526)&lt;=26,CHAR(96+COLUMN(BW526)),(CHAR(96+(ROUNDDOWN((COLUMN(BW526)-1)/26,0)))&amp;CHAR(96+IF(MOD(COLUMN(BW526),26)=0,26,MOD(COLUMN(BW526),26))))),BV526)</f>
        <v>bw515</v>
      </c>
      <c r="BW528" s="897"/>
      <c r="CE528" s="664"/>
      <c r="CH528" s="899" t="str">
        <f>CONCATENATE(IF(COLUMN(CI526)&lt;=26,CHAR(96+COLUMN(CI526)),(CHAR(96+(ROUNDDOWN((COLUMN(CI526)-1)/26,0)))&amp;CHAR(96+IF(MOD(COLUMN(CI526),26)=0,26,MOD(COLUMN(CI526),26))))),CH526)</f>
        <v>ci515</v>
      </c>
      <c r="CI528" s="897"/>
      <c r="CQ528" s="664"/>
      <c r="CT528" s="899" t="str">
        <f>CONCATENATE(IF(COLUMN(CU526)&lt;=26,CHAR(96+COLUMN(CU526)),(CHAR(96+(ROUNDDOWN((COLUMN(CU526)-1)/26,0)))&amp;CHAR(96+IF(MOD(COLUMN(CU526),26)=0,26,MOD(COLUMN(CU526),26))))),CT526)</f>
        <v>cu515</v>
      </c>
      <c r="CU528" s="897"/>
      <c r="DC528" s="664"/>
      <c r="DF528" s="899" t="str">
        <f>CONCATENATE(IF(COLUMN(DG526)&lt;=26,CHAR(96+COLUMN(DG526)),(CHAR(96+(ROUNDDOWN((COLUMN(DG526)-1)/26,0)))&amp;CHAR(96+IF(MOD(COLUMN(DG526),26)=0,26,MOD(COLUMN(DG526),26))))),DF526)</f>
        <v>dg515</v>
      </c>
      <c r="DG528" s="897"/>
      <c r="DO528" s="664"/>
    </row>
    <row r="529" spans="2:119" hidden="1" x14ac:dyDescent="0.25">
      <c r="B529" s="896"/>
      <c r="C529" s="897"/>
      <c r="K529" s="664"/>
      <c r="N529" s="896"/>
      <c r="O529" s="897"/>
      <c r="U529" s="663"/>
      <c r="W529" s="664"/>
      <c r="Z529" s="896"/>
      <c r="AA529" s="897"/>
      <c r="AB529" s="663"/>
      <c r="AC529" s="663"/>
      <c r="AD529" s="663"/>
      <c r="AE529" s="663"/>
      <c r="AF529" s="663"/>
      <c r="AG529" s="663"/>
      <c r="AH529" s="663"/>
      <c r="AI529" s="664"/>
      <c r="AL529" s="896"/>
      <c r="AM529" s="897"/>
      <c r="AN529" s="663"/>
      <c r="AU529" s="664"/>
      <c r="AX529" s="896"/>
      <c r="AY529" s="897"/>
      <c r="BG529" s="664"/>
      <c r="BJ529" s="896"/>
      <c r="BK529" s="897"/>
      <c r="BS529" s="664"/>
      <c r="BV529" s="896"/>
      <c r="BW529" s="897"/>
      <c r="CE529" s="664"/>
      <c r="CH529" s="896"/>
      <c r="CI529" s="897"/>
      <c r="CQ529" s="664"/>
      <c r="CT529" s="896"/>
      <c r="CU529" s="897"/>
      <c r="DC529" s="664"/>
      <c r="DF529" s="896"/>
      <c r="DG529" s="897"/>
      <c r="DO529" s="664"/>
    </row>
    <row r="530" spans="2:119" hidden="1" x14ac:dyDescent="0.25">
      <c r="B530" s="896">
        <f>B515</f>
        <v>39113</v>
      </c>
      <c r="C530" s="897">
        <f>C515</f>
        <v>-1000000</v>
      </c>
      <c r="K530" s="664"/>
      <c r="N530" s="896">
        <f>N515</f>
        <v>39113</v>
      </c>
      <c r="O530" s="897">
        <f>O515</f>
        <v>-1000000</v>
      </c>
      <c r="U530" s="663"/>
      <c r="W530" s="664"/>
      <c r="Z530" s="896">
        <f>Z515</f>
        <v>39113</v>
      </c>
      <c r="AA530" s="897">
        <f>AA515</f>
        <v>-1000000</v>
      </c>
      <c r="AB530" s="663"/>
      <c r="AC530" s="663"/>
      <c r="AD530" s="663"/>
      <c r="AE530" s="663"/>
      <c r="AF530" s="663"/>
      <c r="AG530" s="663"/>
      <c r="AH530" s="663"/>
      <c r="AI530" s="664"/>
      <c r="AL530" s="896">
        <f>AL515</f>
        <v>39113</v>
      </c>
      <c r="AM530" s="897">
        <f>AM515</f>
        <v>-1000000</v>
      </c>
      <c r="AN530" s="663"/>
      <c r="AU530" s="664"/>
      <c r="AX530" s="896">
        <f>AX515</f>
        <v>39113</v>
      </c>
      <c r="AY530" s="897">
        <f>AY515</f>
        <v>-1000000</v>
      </c>
      <c r="BG530" s="664"/>
      <c r="BJ530" s="896">
        <f>BJ515</f>
        <v>39113</v>
      </c>
      <c r="BK530" s="897">
        <f>BK515</f>
        <v>-1000000</v>
      </c>
      <c r="BS530" s="664"/>
      <c r="BV530" s="896">
        <f>BV515</f>
        <v>39113</v>
      </c>
      <c r="BW530" s="897">
        <f>BW515</f>
        <v>-1000000</v>
      </c>
      <c r="CE530" s="664"/>
      <c r="CH530" s="896">
        <f>CH515</f>
        <v>39113</v>
      </c>
      <c r="CI530" s="897">
        <f>CI515</f>
        <v>-1000000</v>
      </c>
      <c r="CQ530" s="664"/>
      <c r="CT530" s="896">
        <f>CT515</f>
        <v>39113</v>
      </c>
      <c r="CU530" s="897">
        <f>CU515</f>
        <v>-1000000</v>
      </c>
      <c r="DC530" s="664"/>
      <c r="DF530" s="896">
        <f>DF515</f>
        <v>39113</v>
      </c>
      <c r="DG530" s="897">
        <f>DG515</f>
        <v>-1000000</v>
      </c>
      <c r="DO530" s="664"/>
    </row>
    <row r="531" spans="2:119" hidden="1" x14ac:dyDescent="0.25">
      <c r="B531" s="896">
        <f t="shared" ref="B531:C531" si="1331">B516</f>
        <v>39478</v>
      </c>
      <c r="C531" s="897">
        <f t="shared" si="1331"/>
        <v>-2000000</v>
      </c>
      <c r="K531" s="664"/>
      <c r="N531" s="896">
        <f t="shared" ref="N531:O531" si="1332">N516</f>
        <v>39478</v>
      </c>
      <c r="O531" s="897">
        <f t="shared" si="1332"/>
        <v>-2000000</v>
      </c>
      <c r="U531" s="663"/>
      <c r="W531" s="664"/>
      <c r="Z531" s="896">
        <f t="shared" ref="Z531:AA531" si="1333">Z516</f>
        <v>39478</v>
      </c>
      <c r="AA531" s="897">
        <f t="shared" si="1333"/>
        <v>-2000000</v>
      </c>
      <c r="AB531" s="663"/>
      <c r="AC531" s="663"/>
      <c r="AD531" s="663"/>
      <c r="AE531" s="663"/>
      <c r="AF531" s="663"/>
      <c r="AG531" s="663"/>
      <c r="AH531" s="663"/>
      <c r="AI531" s="664"/>
      <c r="AL531" s="896">
        <f t="shared" ref="AL531:AM531" si="1334">AL516</f>
        <v>39478</v>
      </c>
      <c r="AM531" s="897">
        <f t="shared" si="1334"/>
        <v>-2000000</v>
      </c>
      <c r="AN531" s="663"/>
      <c r="AU531" s="664"/>
      <c r="AX531" s="896">
        <f t="shared" ref="AX531:AY531" si="1335">AX516</f>
        <v>39478</v>
      </c>
      <c r="AY531" s="897">
        <f t="shared" si="1335"/>
        <v>-2000000</v>
      </c>
      <c r="BG531" s="664"/>
      <c r="BJ531" s="896">
        <f t="shared" ref="BJ531:BK531" si="1336">BJ516</f>
        <v>39478</v>
      </c>
      <c r="BK531" s="897">
        <f t="shared" si="1336"/>
        <v>-2000000</v>
      </c>
      <c r="BS531" s="664"/>
      <c r="BV531" s="896">
        <f t="shared" ref="BV531:BW531" si="1337">BV516</f>
        <v>39478</v>
      </c>
      <c r="BW531" s="897">
        <f t="shared" si="1337"/>
        <v>-2000000</v>
      </c>
      <c r="CE531" s="664"/>
      <c r="CH531" s="896">
        <f t="shared" ref="CH531:CI531" si="1338">CH516</f>
        <v>39478</v>
      </c>
      <c r="CI531" s="897">
        <f t="shared" si="1338"/>
        <v>-2000000</v>
      </c>
      <c r="CQ531" s="664"/>
      <c r="CT531" s="896">
        <f t="shared" ref="CT531:CU531" si="1339">CT516</f>
        <v>39478</v>
      </c>
      <c r="CU531" s="897">
        <f t="shared" si="1339"/>
        <v>-2000000</v>
      </c>
      <c r="DC531" s="664"/>
      <c r="DF531" s="896">
        <f t="shared" ref="DF531:DG531" si="1340">DF516</f>
        <v>39478</v>
      </c>
      <c r="DG531" s="897">
        <f t="shared" si="1340"/>
        <v>-2000000</v>
      </c>
      <c r="DO531" s="664"/>
    </row>
    <row r="532" spans="2:119" hidden="1" x14ac:dyDescent="0.25">
      <c r="B532" s="896">
        <f t="shared" ref="B532:C532" si="1341">B517</f>
        <v>39843</v>
      </c>
      <c r="C532" s="897">
        <f t="shared" si="1341"/>
        <v>-2500000</v>
      </c>
      <c r="K532" s="664"/>
      <c r="N532" s="896">
        <f t="shared" ref="N532:O532" si="1342">N517</f>
        <v>39843</v>
      </c>
      <c r="O532" s="897">
        <f t="shared" si="1342"/>
        <v>-2500000</v>
      </c>
      <c r="U532" s="663"/>
      <c r="W532" s="664"/>
      <c r="Z532" s="896">
        <f t="shared" ref="Z532:AA532" si="1343">Z517</f>
        <v>39843</v>
      </c>
      <c r="AA532" s="897">
        <f t="shared" si="1343"/>
        <v>-2500000</v>
      </c>
      <c r="AB532" s="663"/>
      <c r="AC532" s="663"/>
      <c r="AD532" s="663"/>
      <c r="AE532" s="663"/>
      <c r="AF532" s="663"/>
      <c r="AG532" s="663"/>
      <c r="AH532" s="663"/>
      <c r="AI532" s="664"/>
      <c r="AL532" s="896">
        <f t="shared" ref="AL532:AM532" si="1344">AL517</f>
        <v>39843</v>
      </c>
      <c r="AM532" s="897">
        <f t="shared" si="1344"/>
        <v>-2500000</v>
      </c>
      <c r="AN532" s="663"/>
      <c r="AU532" s="664"/>
      <c r="AX532" s="896">
        <f t="shared" ref="AX532:AY532" si="1345">AX517</f>
        <v>39843</v>
      </c>
      <c r="AY532" s="897">
        <f t="shared" si="1345"/>
        <v>-2500000</v>
      </c>
      <c r="BG532" s="664"/>
      <c r="BJ532" s="896">
        <f t="shared" ref="BJ532:BK532" si="1346">BJ517</f>
        <v>39843</v>
      </c>
      <c r="BK532" s="897">
        <f t="shared" si="1346"/>
        <v>-2500000</v>
      </c>
      <c r="BS532" s="664"/>
      <c r="BV532" s="896">
        <f t="shared" ref="BV532:BW532" si="1347">BV517</f>
        <v>39843</v>
      </c>
      <c r="BW532" s="897">
        <f t="shared" si="1347"/>
        <v>-2500000</v>
      </c>
      <c r="CE532" s="664"/>
      <c r="CH532" s="896">
        <f t="shared" ref="CH532:CI532" si="1348">CH517</f>
        <v>39843</v>
      </c>
      <c r="CI532" s="897">
        <f t="shared" si="1348"/>
        <v>-2500000</v>
      </c>
      <c r="CQ532" s="664"/>
      <c r="CT532" s="896">
        <f t="shared" ref="CT532:CU532" si="1349">CT517</f>
        <v>39843</v>
      </c>
      <c r="CU532" s="897">
        <f t="shared" si="1349"/>
        <v>-2500000</v>
      </c>
      <c r="DC532" s="664"/>
      <c r="DF532" s="896">
        <f t="shared" ref="DF532:DG532" si="1350">DF517</f>
        <v>39843</v>
      </c>
      <c r="DG532" s="897">
        <f t="shared" si="1350"/>
        <v>-2500000</v>
      </c>
      <c r="DO532" s="664"/>
    </row>
    <row r="533" spans="2:119" hidden="1" x14ac:dyDescent="0.25">
      <c r="B533" s="896">
        <f t="shared" ref="B533:C533" si="1351">B518</f>
        <v>39843</v>
      </c>
      <c r="C533" s="897">
        <f t="shared" si="1351"/>
        <v>0</v>
      </c>
      <c r="K533" s="664"/>
      <c r="N533" s="896">
        <f t="shared" ref="N533:O533" si="1352">N518</f>
        <v>39843</v>
      </c>
      <c r="O533" s="897">
        <f t="shared" si="1352"/>
        <v>0</v>
      </c>
      <c r="U533" s="663"/>
      <c r="W533" s="664"/>
      <c r="Z533" s="896">
        <f t="shared" ref="Z533:AA533" si="1353">Z518</f>
        <v>39843</v>
      </c>
      <c r="AA533" s="897">
        <f t="shared" si="1353"/>
        <v>0</v>
      </c>
      <c r="AB533" s="663"/>
      <c r="AC533" s="663"/>
      <c r="AD533" s="663"/>
      <c r="AE533" s="663"/>
      <c r="AF533" s="663"/>
      <c r="AG533" s="663"/>
      <c r="AH533" s="663"/>
      <c r="AI533" s="664"/>
      <c r="AL533" s="896">
        <f t="shared" ref="AL533:AM533" si="1354">AL518</f>
        <v>39843</v>
      </c>
      <c r="AM533" s="897">
        <f t="shared" si="1354"/>
        <v>0</v>
      </c>
      <c r="AN533" s="663"/>
      <c r="AU533" s="664"/>
      <c r="AX533" s="896">
        <f t="shared" ref="AX533:AY533" si="1355">AX518</f>
        <v>39843</v>
      </c>
      <c r="AY533" s="897">
        <f t="shared" si="1355"/>
        <v>0</v>
      </c>
      <c r="BG533" s="664"/>
      <c r="BJ533" s="896">
        <f t="shared" ref="BJ533:BK533" si="1356">BJ518</f>
        <v>39843</v>
      </c>
      <c r="BK533" s="897">
        <f t="shared" si="1356"/>
        <v>0</v>
      </c>
      <c r="BS533" s="664"/>
      <c r="BV533" s="896">
        <f t="shared" ref="BV533:BW533" si="1357">BV518</f>
        <v>39843</v>
      </c>
      <c r="BW533" s="897">
        <f t="shared" si="1357"/>
        <v>0</v>
      </c>
      <c r="CE533" s="664"/>
      <c r="CH533" s="896">
        <f t="shared" ref="CH533:CI533" si="1358">CH518</f>
        <v>39843</v>
      </c>
      <c r="CI533" s="897">
        <f t="shared" si="1358"/>
        <v>0</v>
      </c>
      <c r="CQ533" s="664"/>
      <c r="CT533" s="896">
        <f t="shared" ref="CT533:CU533" si="1359">CT518</f>
        <v>39843</v>
      </c>
      <c r="CU533" s="897">
        <f t="shared" si="1359"/>
        <v>0</v>
      </c>
      <c r="DC533" s="664"/>
      <c r="DF533" s="896">
        <f t="shared" ref="DF533:DG533" si="1360">DF518</f>
        <v>39843</v>
      </c>
      <c r="DG533" s="897">
        <f t="shared" si="1360"/>
        <v>0</v>
      </c>
      <c r="DO533" s="664"/>
    </row>
    <row r="534" spans="2:119" hidden="1" x14ac:dyDescent="0.25">
      <c r="B534" s="896">
        <f t="shared" ref="B534:C534" si="1361">B519</f>
        <v>39843</v>
      </c>
      <c r="C534" s="897">
        <f t="shared" si="1361"/>
        <v>0</v>
      </c>
      <c r="K534" s="664"/>
      <c r="N534" s="896">
        <f t="shared" ref="N534:O534" si="1362">N519</f>
        <v>39843</v>
      </c>
      <c r="O534" s="897">
        <f t="shared" si="1362"/>
        <v>0</v>
      </c>
      <c r="U534" s="663"/>
      <c r="W534" s="664"/>
      <c r="Z534" s="896">
        <f t="shared" ref="Z534:AA534" si="1363">Z519</f>
        <v>39843</v>
      </c>
      <c r="AA534" s="897">
        <f t="shared" si="1363"/>
        <v>0</v>
      </c>
      <c r="AB534" s="663"/>
      <c r="AC534" s="663"/>
      <c r="AD534" s="663"/>
      <c r="AE534" s="663"/>
      <c r="AF534" s="663"/>
      <c r="AG534" s="663"/>
      <c r="AH534" s="663"/>
      <c r="AI534" s="664"/>
      <c r="AL534" s="896">
        <f t="shared" ref="AL534:AM534" si="1364">AL519</f>
        <v>39843</v>
      </c>
      <c r="AM534" s="897">
        <f t="shared" si="1364"/>
        <v>0</v>
      </c>
      <c r="AN534" s="663"/>
      <c r="AU534" s="664"/>
      <c r="AX534" s="896">
        <f t="shared" ref="AX534:AY534" si="1365">AX519</f>
        <v>39843</v>
      </c>
      <c r="AY534" s="897">
        <f t="shared" si="1365"/>
        <v>0</v>
      </c>
      <c r="BG534" s="664"/>
      <c r="BJ534" s="896">
        <f t="shared" ref="BJ534:BK534" si="1366">BJ519</f>
        <v>39843</v>
      </c>
      <c r="BK534" s="897">
        <f t="shared" si="1366"/>
        <v>0</v>
      </c>
      <c r="BS534" s="664"/>
      <c r="BV534" s="896">
        <f t="shared" ref="BV534:BW534" si="1367">BV519</f>
        <v>39843</v>
      </c>
      <c r="BW534" s="897">
        <f t="shared" si="1367"/>
        <v>0</v>
      </c>
      <c r="CE534" s="664"/>
      <c r="CH534" s="896">
        <f t="shared" ref="CH534:CI534" si="1368">CH519</f>
        <v>39843</v>
      </c>
      <c r="CI534" s="897">
        <f t="shared" si="1368"/>
        <v>0</v>
      </c>
      <c r="CQ534" s="664"/>
      <c r="CT534" s="896">
        <f t="shared" ref="CT534:CU534" si="1369">CT519</f>
        <v>39843</v>
      </c>
      <c r="CU534" s="897">
        <f t="shared" si="1369"/>
        <v>0</v>
      </c>
      <c r="DC534" s="664"/>
      <c r="DF534" s="896">
        <f t="shared" ref="DF534:DG534" si="1370">DF519</f>
        <v>39843</v>
      </c>
      <c r="DG534" s="897">
        <f t="shared" si="1370"/>
        <v>0</v>
      </c>
      <c r="DO534" s="664"/>
    </row>
    <row r="535" spans="2:119" hidden="1" x14ac:dyDescent="0.25">
      <c r="B535" s="896">
        <f t="shared" ref="B535:C535" si="1371">B520</f>
        <v>39843</v>
      </c>
      <c r="C535" s="897">
        <f t="shared" si="1371"/>
        <v>0</v>
      </c>
      <c r="K535" s="664"/>
      <c r="N535" s="896">
        <f t="shared" ref="N535:O535" si="1372">N520</f>
        <v>39843</v>
      </c>
      <c r="O535" s="897">
        <f t="shared" si="1372"/>
        <v>0</v>
      </c>
      <c r="U535" s="663"/>
      <c r="W535" s="664"/>
      <c r="Z535" s="896">
        <f t="shared" ref="Z535:AA535" si="1373">Z520</f>
        <v>39843</v>
      </c>
      <c r="AA535" s="897">
        <f t="shared" si="1373"/>
        <v>0</v>
      </c>
      <c r="AB535" s="663"/>
      <c r="AC535" s="663"/>
      <c r="AD535" s="663"/>
      <c r="AE535" s="663"/>
      <c r="AF535" s="663"/>
      <c r="AG535" s="663"/>
      <c r="AH535" s="663"/>
      <c r="AI535" s="664"/>
      <c r="AL535" s="896">
        <f t="shared" ref="AL535:AM535" si="1374">AL520</f>
        <v>39843</v>
      </c>
      <c r="AM535" s="897">
        <f t="shared" si="1374"/>
        <v>0</v>
      </c>
      <c r="AN535" s="663"/>
      <c r="AU535" s="664"/>
      <c r="AX535" s="896">
        <f t="shared" ref="AX535:AY535" si="1375">AX520</f>
        <v>39843</v>
      </c>
      <c r="AY535" s="897">
        <f t="shared" si="1375"/>
        <v>0</v>
      </c>
      <c r="BG535" s="664"/>
      <c r="BJ535" s="896">
        <f t="shared" ref="BJ535:BK535" si="1376">BJ520</f>
        <v>39843</v>
      </c>
      <c r="BK535" s="897">
        <f t="shared" si="1376"/>
        <v>0</v>
      </c>
      <c r="BS535" s="664"/>
      <c r="BV535" s="896">
        <f t="shared" ref="BV535:BW535" si="1377">BV520</f>
        <v>39843</v>
      </c>
      <c r="BW535" s="897">
        <f t="shared" si="1377"/>
        <v>0</v>
      </c>
      <c r="CE535" s="664"/>
      <c r="CH535" s="896">
        <f t="shared" ref="CH535:CI535" si="1378">CH520</f>
        <v>39843</v>
      </c>
      <c r="CI535" s="897">
        <f t="shared" si="1378"/>
        <v>0</v>
      </c>
      <c r="CQ535" s="664"/>
      <c r="CT535" s="896">
        <f t="shared" ref="CT535:CU535" si="1379">CT520</f>
        <v>39843</v>
      </c>
      <c r="CU535" s="897">
        <f t="shared" si="1379"/>
        <v>0</v>
      </c>
      <c r="DC535" s="664"/>
      <c r="DF535" s="896">
        <f t="shared" ref="DF535:DG535" si="1380">DF520</f>
        <v>39843</v>
      </c>
      <c r="DG535" s="897">
        <f t="shared" si="1380"/>
        <v>0</v>
      </c>
      <c r="DO535" s="664"/>
    </row>
    <row r="536" spans="2:119" hidden="1" x14ac:dyDescent="0.25">
      <c r="B536" s="896">
        <f t="shared" ref="B536:C536" si="1381">B521</f>
        <v>39843</v>
      </c>
      <c r="C536" s="897">
        <f t="shared" si="1381"/>
        <v>0</v>
      </c>
      <c r="K536" s="664"/>
      <c r="N536" s="896">
        <f t="shared" ref="N536:O536" si="1382">N521</f>
        <v>39843</v>
      </c>
      <c r="O536" s="897">
        <f t="shared" si="1382"/>
        <v>0</v>
      </c>
      <c r="U536" s="663"/>
      <c r="W536" s="664"/>
      <c r="Z536" s="896">
        <f t="shared" ref="Z536:AA536" si="1383">Z521</f>
        <v>39843</v>
      </c>
      <c r="AA536" s="897">
        <f t="shared" si="1383"/>
        <v>0</v>
      </c>
      <c r="AB536" s="663"/>
      <c r="AC536" s="663"/>
      <c r="AD536" s="663"/>
      <c r="AE536" s="663"/>
      <c r="AF536" s="663"/>
      <c r="AG536" s="663"/>
      <c r="AH536" s="663"/>
      <c r="AI536" s="664"/>
      <c r="AL536" s="896">
        <f t="shared" ref="AL536:AM536" si="1384">AL521</f>
        <v>39843</v>
      </c>
      <c r="AM536" s="897">
        <f t="shared" si="1384"/>
        <v>0</v>
      </c>
      <c r="AN536" s="663"/>
      <c r="AU536" s="664"/>
      <c r="AX536" s="896">
        <f t="shared" ref="AX536:AY536" si="1385">AX521</f>
        <v>39843</v>
      </c>
      <c r="AY536" s="897">
        <f t="shared" si="1385"/>
        <v>0</v>
      </c>
      <c r="BG536" s="664"/>
      <c r="BJ536" s="896">
        <f t="shared" ref="BJ536:BK536" si="1386">BJ521</f>
        <v>39843</v>
      </c>
      <c r="BK536" s="897">
        <f t="shared" si="1386"/>
        <v>0</v>
      </c>
      <c r="BS536" s="664"/>
      <c r="BV536" s="896">
        <f t="shared" ref="BV536:BW536" si="1387">BV521</f>
        <v>39843</v>
      </c>
      <c r="BW536" s="897">
        <f t="shared" si="1387"/>
        <v>0</v>
      </c>
      <c r="CE536" s="664"/>
      <c r="CH536" s="896">
        <f t="shared" ref="CH536:CI536" si="1388">CH521</f>
        <v>39843</v>
      </c>
      <c r="CI536" s="897">
        <f t="shared" si="1388"/>
        <v>0</v>
      </c>
      <c r="CQ536" s="664"/>
      <c r="CT536" s="896">
        <f t="shared" ref="CT536:CU536" si="1389">CT521</f>
        <v>39843</v>
      </c>
      <c r="CU536" s="897">
        <f t="shared" si="1389"/>
        <v>0</v>
      </c>
      <c r="DC536" s="664"/>
      <c r="DF536" s="896">
        <f t="shared" ref="DF536:DG536" si="1390">DF521</f>
        <v>39843</v>
      </c>
      <c r="DG536" s="897">
        <f t="shared" si="1390"/>
        <v>0</v>
      </c>
      <c r="DO536" s="664"/>
    </row>
    <row r="537" spans="2:119" hidden="1" x14ac:dyDescent="0.25">
      <c r="B537" s="896">
        <f t="shared" ref="B537:C537" si="1391">B522</f>
        <v>39843</v>
      </c>
      <c r="C537" s="897">
        <f t="shared" si="1391"/>
        <v>0</v>
      </c>
      <c r="K537" s="664"/>
      <c r="N537" s="896">
        <f t="shared" ref="N537:O537" si="1392">N522</f>
        <v>39843</v>
      </c>
      <c r="O537" s="897">
        <f t="shared" si="1392"/>
        <v>0</v>
      </c>
      <c r="U537" s="663"/>
      <c r="W537" s="664"/>
      <c r="Z537" s="896">
        <f t="shared" ref="Z537:AA537" si="1393">Z522</f>
        <v>39843</v>
      </c>
      <c r="AA537" s="897">
        <f t="shared" si="1393"/>
        <v>0</v>
      </c>
      <c r="AB537" s="663"/>
      <c r="AC537" s="663"/>
      <c r="AD537" s="663"/>
      <c r="AE537" s="663"/>
      <c r="AF537" s="663"/>
      <c r="AG537" s="663"/>
      <c r="AH537" s="663"/>
      <c r="AI537" s="664"/>
      <c r="AL537" s="896">
        <f t="shared" ref="AL537:AM537" si="1394">AL522</f>
        <v>39843</v>
      </c>
      <c r="AM537" s="897">
        <f t="shared" si="1394"/>
        <v>0</v>
      </c>
      <c r="AN537" s="663"/>
      <c r="AU537" s="664"/>
      <c r="AX537" s="896">
        <f t="shared" ref="AX537:AY537" si="1395">AX522</f>
        <v>39843</v>
      </c>
      <c r="AY537" s="897">
        <f t="shared" si="1395"/>
        <v>0</v>
      </c>
      <c r="BG537" s="664"/>
      <c r="BJ537" s="896">
        <f t="shared" ref="BJ537:BK537" si="1396">BJ522</f>
        <v>39843</v>
      </c>
      <c r="BK537" s="897">
        <f t="shared" si="1396"/>
        <v>0</v>
      </c>
      <c r="BS537" s="664"/>
      <c r="BV537" s="896">
        <f t="shared" ref="BV537:BW537" si="1397">BV522</f>
        <v>39843</v>
      </c>
      <c r="BW537" s="897">
        <f t="shared" si="1397"/>
        <v>0</v>
      </c>
      <c r="CE537" s="664"/>
      <c r="CH537" s="896">
        <f t="shared" ref="CH537:CI537" si="1398">CH522</f>
        <v>39843</v>
      </c>
      <c r="CI537" s="897">
        <f t="shared" si="1398"/>
        <v>0</v>
      </c>
      <c r="CQ537" s="664"/>
      <c r="CT537" s="896">
        <f t="shared" ref="CT537:CU537" si="1399">CT522</f>
        <v>39843</v>
      </c>
      <c r="CU537" s="897">
        <f t="shared" si="1399"/>
        <v>0</v>
      </c>
      <c r="DC537" s="664"/>
      <c r="DF537" s="896">
        <f t="shared" ref="DF537:DG537" si="1400">DF522</f>
        <v>39843</v>
      </c>
      <c r="DG537" s="897">
        <f t="shared" si="1400"/>
        <v>0</v>
      </c>
      <c r="DO537" s="664"/>
    </row>
    <row r="538" spans="2:119" hidden="1" x14ac:dyDescent="0.25">
      <c r="B538" s="896">
        <f t="shared" ref="B538:C538" si="1401">B523</f>
        <v>39843</v>
      </c>
      <c r="C538" s="897">
        <f t="shared" si="1401"/>
        <v>0</v>
      </c>
      <c r="K538" s="664"/>
      <c r="N538" s="896">
        <f t="shared" ref="N538:O538" si="1402">N523</f>
        <v>39843</v>
      </c>
      <c r="O538" s="897">
        <f t="shared" si="1402"/>
        <v>0</v>
      </c>
      <c r="U538" s="663"/>
      <c r="W538" s="664"/>
      <c r="Z538" s="896">
        <f t="shared" ref="Z538:AA538" si="1403">Z523</f>
        <v>39843</v>
      </c>
      <c r="AA538" s="897">
        <f t="shared" si="1403"/>
        <v>0</v>
      </c>
      <c r="AB538" s="663"/>
      <c r="AC538" s="663"/>
      <c r="AD538" s="663"/>
      <c r="AE538" s="663"/>
      <c r="AF538" s="663"/>
      <c r="AG538" s="663"/>
      <c r="AH538" s="663"/>
      <c r="AI538" s="664"/>
      <c r="AL538" s="896">
        <f t="shared" ref="AL538:AM538" si="1404">AL523</f>
        <v>39843</v>
      </c>
      <c r="AM538" s="897">
        <f t="shared" si="1404"/>
        <v>0</v>
      </c>
      <c r="AN538" s="663"/>
      <c r="AU538" s="664"/>
      <c r="AX538" s="896">
        <f t="shared" ref="AX538:AY538" si="1405">AX523</f>
        <v>39843</v>
      </c>
      <c r="AY538" s="897">
        <f t="shared" si="1405"/>
        <v>0</v>
      </c>
      <c r="BG538" s="664"/>
      <c r="BJ538" s="896">
        <f t="shared" ref="BJ538:BK538" si="1406">BJ523</f>
        <v>39843</v>
      </c>
      <c r="BK538" s="897">
        <f t="shared" si="1406"/>
        <v>0</v>
      </c>
      <c r="BS538" s="664"/>
      <c r="BV538" s="896">
        <f t="shared" ref="BV538:BW538" si="1407">BV523</f>
        <v>39843</v>
      </c>
      <c r="BW538" s="897">
        <f t="shared" si="1407"/>
        <v>0</v>
      </c>
      <c r="CE538" s="664"/>
      <c r="CH538" s="896">
        <f t="shared" ref="CH538:CI538" si="1408">CH523</f>
        <v>39843</v>
      </c>
      <c r="CI538" s="897">
        <f t="shared" si="1408"/>
        <v>0</v>
      </c>
      <c r="CQ538" s="664"/>
      <c r="CT538" s="896">
        <f t="shared" ref="CT538:CU538" si="1409">CT523</f>
        <v>39843</v>
      </c>
      <c r="CU538" s="897">
        <f t="shared" si="1409"/>
        <v>0</v>
      </c>
      <c r="DC538" s="664"/>
      <c r="DF538" s="896">
        <f t="shared" ref="DF538:DG538" si="1410">DF523</f>
        <v>39843</v>
      </c>
      <c r="DG538" s="897">
        <f t="shared" si="1410"/>
        <v>0</v>
      </c>
      <c r="DO538" s="664"/>
    </row>
    <row r="539" spans="2:119" hidden="1" x14ac:dyDescent="0.25">
      <c r="B539" s="896">
        <f t="shared" ref="B539:C539" si="1411">B524</f>
        <v>39843</v>
      </c>
      <c r="C539" s="897">
        <f t="shared" si="1411"/>
        <v>0</v>
      </c>
      <c r="K539" s="664"/>
      <c r="N539" s="896">
        <f t="shared" ref="N539:O539" si="1412">N524</f>
        <v>39843</v>
      </c>
      <c r="O539" s="897">
        <f t="shared" si="1412"/>
        <v>0</v>
      </c>
      <c r="U539" s="663"/>
      <c r="W539" s="664"/>
      <c r="Z539" s="896">
        <f t="shared" ref="Z539:AA539" si="1413">Z524</f>
        <v>39843</v>
      </c>
      <c r="AA539" s="897">
        <f t="shared" si="1413"/>
        <v>0</v>
      </c>
      <c r="AB539" s="663"/>
      <c r="AC539" s="663"/>
      <c r="AD539" s="663"/>
      <c r="AE539" s="663"/>
      <c r="AF539" s="663"/>
      <c r="AG539" s="663"/>
      <c r="AH539" s="663"/>
      <c r="AI539" s="664"/>
      <c r="AL539" s="896">
        <f t="shared" ref="AL539:AM539" si="1414">AL524</f>
        <v>39843</v>
      </c>
      <c r="AM539" s="897">
        <f t="shared" si="1414"/>
        <v>0</v>
      </c>
      <c r="AN539" s="663"/>
      <c r="AU539" s="664"/>
      <c r="AX539" s="896">
        <f t="shared" ref="AX539:AY539" si="1415">AX524</f>
        <v>39843</v>
      </c>
      <c r="AY539" s="897">
        <f t="shared" si="1415"/>
        <v>0</v>
      </c>
      <c r="BG539" s="664"/>
      <c r="BJ539" s="896">
        <f t="shared" ref="BJ539:BK539" si="1416">BJ524</f>
        <v>39843</v>
      </c>
      <c r="BK539" s="897">
        <f t="shared" si="1416"/>
        <v>0</v>
      </c>
      <c r="BS539" s="664"/>
      <c r="BV539" s="896">
        <f t="shared" ref="BV539:BW539" si="1417">BV524</f>
        <v>39843</v>
      </c>
      <c r="BW539" s="897">
        <f t="shared" si="1417"/>
        <v>0</v>
      </c>
      <c r="CE539" s="664"/>
      <c r="CH539" s="896">
        <f t="shared" ref="CH539:CI539" si="1418">CH524</f>
        <v>39843</v>
      </c>
      <c r="CI539" s="897">
        <f t="shared" si="1418"/>
        <v>0</v>
      </c>
      <c r="CQ539" s="664"/>
      <c r="CT539" s="896">
        <f t="shared" ref="CT539:CU539" si="1419">CT524</f>
        <v>39843</v>
      </c>
      <c r="CU539" s="897">
        <f t="shared" si="1419"/>
        <v>0</v>
      </c>
      <c r="DC539" s="664"/>
      <c r="DF539" s="896">
        <f t="shared" ref="DF539:DG539" si="1420">DF524</f>
        <v>39843</v>
      </c>
      <c r="DG539" s="897">
        <f t="shared" si="1420"/>
        <v>0</v>
      </c>
      <c r="DO539" s="664"/>
    </row>
    <row r="540" spans="2:119" hidden="1" x14ac:dyDescent="0.25">
      <c r="B540" s="896">
        <f>B525+$C$56</f>
        <v>41539</v>
      </c>
      <c r="C540" s="897">
        <f ca="1">C525</f>
        <v>0</v>
      </c>
      <c r="K540" s="664"/>
      <c r="N540" s="896">
        <f>N525+$C$56</f>
        <v>41539</v>
      </c>
      <c r="O540" s="897">
        <f ca="1">O525</f>
        <v>0</v>
      </c>
      <c r="U540" s="663"/>
      <c r="W540" s="664"/>
      <c r="Z540" s="896">
        <f>Z525+$C$56</f>
        <v>41539</v>
      </c>
      <c r="AA540" s="897">
        <f ca="1">AA525</f>
        <v>0</v>
      </c>
      <c r="AB540" s="663"/>
      <c r="AC540" s="663"/>
      <c r="AD540" s="663"/>
      <c r="AE540" s="663"/>
      <c r="AF540" s="663"/>
      <c r="AG540" s="663"/>
      <c r="AH540" s="663"/>
      <c r="AI540" s="664"/>
      <c r="AL540" s="896">
        <f>AL525+$C$56</f>
        <v>41539</v>
      </c>
      <c r="AM540" s="897">
        <f ca="1">AM525</f>
        <v>0</v>
      </c>
      <c r="AN540" s="663"/>
      <c r="AU540" s="664"/>
      <c r="AX540" s="896">
        <f>AX525+$C$56</f>
        <v>41539</v>
      </c>
      <c r="AY540" s="897">
        <f ca="1">AY525</f>
        <v>0</v>
      </c>
      <c r="BG540" s="664"/>
      <c r="BJ540" s="896">
        <f>BJ525+$C$56</f>
        <v>41539</v>
      </c>
      <c r="BK540" s="897">
        <f ca="1">BK525</f>
        <v>0</v>
      </c>
      <c r="BS540" s="664"/>
      <c r="BV540" s="896">
        <f>BV525+$C$56</f>
        <v>41539</v>
      </c>
      <c r="BW540" s="897">
        <f ca="1">BW525</f>
        <v>0</v>
      </c>
      <c r="CE540" s="664"/>
      <c r="CH540" s="896">
        <f>CH525+$C$56</f>
        <v>41539</v>
      </c>
      <c r="CI540" s="897">
        <f ca="1">CI525</f>
        <v>0</v>
      </c>
      <c r="CQ540" s="664"/>
      <c r="CT540" s="896">
        <f>CT525+$C$56</f>
        <v>41539</v>
      </c>
      <c r="CU540" s="897">
        <f ca="1">CU525</f>
        <v>0</v>
      </c>
      <c r="DC540" s="664"/>
      <c r="DF540" s="896">
        <f>DF525+$C$56</f>
        <v>41539</v>
      </c>
      <c r="DG540" s="897">
        <f ca="1">DG525</f>
        <v>0</v>
      </c>
      <c r="DO540" s="664"/>
    </row>
    <row r="541" spans="2:119" hidden="1" x14ac:dyDescent="0.25">
      <c r="B541" s="898">
        <f>IF(C530&lt;&gt;0,ROW(C530),IF(C531&lt;&gt;0,ROW(C531),IF(C532&lt;&gt;0,ROW(C532),IF(C533&lt;&gt;0,ROW(C533),IF(C534&lt;&gt;0,ROW(C534),IF(C535&lt;&gt;0,ROW(C535),IF(C536&lt;&gt;0,ROW(C536),IF(C537&lt;&gt;0,ROW(C537),IF(C538&lt;&gt;0,ROW(C538),IF(C539&lt;&gt;0,ROW(C539)))))))))))</f>
        <v>530</v>
      </c>
      <c r="C541" s="882" t="e">
        <f ca="1">IF(ISERROR(XIRR(INDIRECT(B543):C540,INDIRECT(B542):B540,-20%)),XIRR(INDIRECT(B543):C540,INDIRECT(B542):B540,20%),"N/A")</f>
        <v>#NUM!</v>
      </c>
      <c r="K541" s="664"/>
      <c r="N541" s="898">
        <f>IF(O530&lt;&gt;0,ROW(O530),IF(O531&lt;&gt;0,ROW(O531),IF(O532&lt;&gt;0,ROW(O532),IF(O533&lt;&gt;0,ROW(O533),IF(O534&lt;&gt;0,ROW(O534),IF(O535&lt;&gt;0,ROW(O535),IF(O536&lt;&gt;0,ROW(O536),IF(O537&lt;&gt;0,ROW(O537),IF(O538&lt;&gt;0,ROW(O538),IF(O539&lt;&gt;0,ROW(O539)))))))))))</f>
        <v>530</v>
      </c>
      <c r="O541" s="882" t="e">
        <f ca="1">IF(ISERROR(XIRR(INDIRECT(N543):O540,INDIRECT(N542):N540,-20%)),XIRR(INDIRECT(N543):O540,INDIRECT(N542):N540,20%),"N/A")</f>
        <v>#NUM!</v>
      </c>
      <c r="U541" s="663"/>
      <c r="W541" s="664"/>
      <c r="Z541" s="898">
        <f>IF(AA530&lt;&gt;0,ROW(AA530),IF(AA531&lt;&gt;0,ROW(AA531),IF(AA532&lt;&gt;0,ROW(AA532),IF(AA533&lt;&gt;0,ROW(AA533),IF(AA534&lt;&gt;0,ROW(AA534),IF(AA535&lt;&gt;0,ROW(AA535),IF(AA536&lt;&gt;0,ROW(AA536),IF(AA537&lt;&gt;0,ROW(AA537),IF(AA538&lt;&gt;0,ROW(AA538),IF(AA539&lt;&gt;0,ROW(AA539)))))))))))</f>
        <v>530</v>
      </c>
      <c r="AA541" s="882" t="e">
        <f ca="1">IF(ISERROR(XIRR(INDIRECT(Z543):AA540,INDIRECT(Z542):Z540,-20%)),XIRR(INDIRECT(Z543):AA540,INDIRECT(Z542):Z540,20%),"N/A")</f>
        <v>#NUM!</v>
      </c>
      <c r="AB541" s="663"/>
      <c r="AC541" s="663"/>
      <c r="AD541" s="663"/>
      <c r="AE541" s="663"/>
      <c r="AF541" s="663"/>
      <c r="AG541" s="663"/>
      <c r="AH541" s="663"/>
      <c r="AI541" s="664"/>
      <c r="AL541" s="898">
        <f>IF(AM530&lt;&gt;0,ROW(AM530),IF(AM531&lt;&gt;0,ROW(AM531),IF(AM532&lt;&gt;0,ROW(AM532),IF(AM533&lt;&gt;0,ROW(AM533),IF(AM534&lt;&gt;0,ROW(AM534),IF(AM535&lt;&gt;0,ROW(AM535),IF(AM536&lt;&gt;0,ROW(AM536),IF(AM537&lt;&gt;0,ROW(AM537),IF(AM538&lt;&gt;0,ROW(AM538),IF(AM539&lt;&gt;0,ROW(AM539)))))))))))</f>
        <v>530</v>
      </c>
      <c r="AM541" s="882" t="e">
        <f ca="1">IF(ISERROR(XIRR(INDIRECT(AL543):AM540,INDIRECT(AL542):AL540,-20%)),XIRR(INDIRECT(AL543):AM540,INDIRECT(AL542):AL540,20%),"N/A")</f>
        <v>#NUM!</v>
      </c>
      <c r="AN541" s="663"/>
      <c r="AU541" s="664"/>
      <c r="AX541" s="898">
        <f>IF(AY530&lt;&gt;0,ROW(AY530),IF(AY531&lt;&gt;0,ROW(AY531),IF(AY532&lt;&gt;0,ROW(AY532),IF(AY533&lt;&gt;0,ROW(AY533),IF(AY534&lt;&gt;0,ROW(AY534),IF(AY535&lt;&gt;0,ROW(AY535),IF(AY536&lt;&gt;0,ROW(AY536),IF(AY537&lt;&gt;0,ROW(AY537),IF(AY538&lt;&gt;0,ROW(AY538),IF(AY539&lt;&gt;0,ROW(AY539)))))))))))</f>
        <v>530</v>
      </c>
      <c r="AY541" s="882" t="e">
        <f ca="1">IF(ISERROR(XIRR(INDIRECT(AX543):AY540,INDIRECT(AX542):AX540,-20%)),XIRR(INDIRECT(AX543):AY540,INDIRECT(AX542):AX540,20%),"N/A")</f>
        <v>#NUM!</v>
      </c>
      <c r="BG541" s="664"/>
      <c r="BJ541" s="898">
        <f>IF(BK530&lt;&gt;0,ROW(BK530),IF(BK531&lt;&gt;0,ROW(BK531),IF(BK532&lt;&gt;0,ROW(BK532),IF(BK533&lt;&gt;0,ROW(BK533),IF(BK534&lt;&gt;0,ROW(BK534),IF(BK535&lt;&gt;0,ROW(BK535),IF(BK536&lt;&gt;0,ROW(BK536),IF(BK537&lt;&gt;0,ROW(BK537),IF(BK538&lt;&gt;0,ROW(BK538),IF(BK539&lt;&gt;0,ROW(BK539)))))))))))</f>
        <v>530</v>
      </c>
      <c r="BK541" s="882" t="e">
        <f ca="1">IF(ISERROR(XIRR(INDIRECT(BJ543):BK540,INDIRECT(BJ542):BJ540,-20%)),XIRR(INDIRECT(BJ543):BK540,INDIRECT(BJ542):BJ540,20%),"N/A")</f>
        <v>#NUM!</v>
      </c>
      <c r="BS541" s="664"/>
      <c r="BV541" s="898">
        <f>IF(BW530&lt;&gt;0,ROW(BW530),IF(BW531&lt;&gt;0,ROW(BW531),IF(BW532&lt;&gt;0,ROW(BW532),IF(BW533&lt;&gt;0,ROW(BW533),IF(BW534&lt;&gt;0,ROW(BW534),IF(BW535&lt;&gt;0,ROW(BW535),IF(BW536&lt;&gt;0,ROW(BW536),IF(BW537&lt;&gt;0,ROW(BW537),IF(BW538&lt;&gt;0,ROW(BW538),IF(BW539&lt;&gt;0,ROW(BW539)))))))))))</f>
        <v>530</v>
      </c>
      <c r="BW541" s="882" t="e">
        <f ca="1">IF(ISERROR(XIRR(INDIRECT(BV543):BW540,INDIRECT(BV542):BV540,-20%)),XIRR(INDIRECT(BV543):BW540,INDIRECT(BV542):BV540,20%),"N/A")</f>
        <v>#NUM!</v>
      </c>
      <c r="CE541" s="664"/>
      <c r="CH541" s="898">
        <f>IF(CI530&lt;&gt;0,ROW(CI530),IF(CI531&lt;&gt;0,ROW(CI531),IF(CI532&lt;&gt;0,ROW(CI532),IF(CI533&lt;&gt;0,ROW(CI533),IF(CI534&lt;&gt;0,ROW(CI534),IF(CI535&lt;&gt;0,ROW(CI535),IF(CI536&lt;&gt;0,ROW(CI536),IF(CI537&lt;&gt;0,ROW(CI537),IF(CI538&lt;&gt;0,ROW(CI538),IF(CI539&lt;&gt;0,ROW(CI539)))))))))))</f>
        <v>530</v>
      </c>
      <c r="CI541" s="882" t="e">
        <f ca="1">IF(ISERROR(XIRR(INDIRECT(CH543):CI540,INDIRECT(CH542):CH540,-20%)),XIRR(INDIRECT(CH543):CI540,INDIRECT(CH542):CH540,20%),"N/A")</f>
        <v>#NUM!</v>
      </c>
      <c r="CQ541" s="664"/>
      <c r="CT541" s="898">
        <f>IF(CU530&lt;&gt;0,ROW(CU530),IF(CU531&lt;&gt;0,ROW(CU531),IF(CU532&lt;&gt;0,ROW(CU532),IF(CU533&lt;&gt;0,ROW(CU533),IF(CU534&lt;&gt;0,ROW(CU534),IF(CU535&lt;&gt;0,ROW(CU535),IF(CU536&lt;&gt;0,ROW(CU536),IF(CU537&lt;&gt;0,ROW(CU537),IF(CU538&lt;&gt;0,ROW(CU538),IF(CU539&lt;&gt;0,ROW(CU539)))))))))))</f>
        <v>530</v>
      </c>
      <c r="CU541" s="882" t="e">
        <f ca="1">IF(ISERROR(XIRR(INDIRECT(CT543):CU540,INDIRECT(CT542):CT540,-20%)),XIRR(INDIRECT(CT543):CU540,INDIRECT(CT542):CT540,20%),"N/A")</f>
        <v>#NUM!</v>
      </c>
      <c r="DC541" s="664"/>
      <c r="DF541" s="898">
        <f>IF(DG530&lt;&gt;0,ROW(DG530),IF(DG531&lt;&gt;0,ROW(DG531),IF(DG532&lt;&gt;0,ROW(DG532),IF(DG533&lt;&gt;0,ROW(DG533),IF(DG534&lt;&gt;0,ROW(DG534),IF(DG535&lt;&gt;0,ROW(DG535),IF(DG536&lt;&gt;0,ROW(DG536),IF(DG537&lt;&gt;0,ROW(DG537),IF(DG538&lt;&gt;0,ROW(DG538),IF(DG539&lt;&gt;0,ROW(DG539)))))))))))</f>
        <v>530</v>
      </c>
      <c r="DG541" s="882" t="e">
        <f ca="1">IF(ISERROR(XIRR(INDIRECT(DF543):DG540,INDIRECT(DF542):DF540,-20%)),XIRR(INDIRECT(DF543):DG540,INDIRECT(DF542):DF540,20%),"N/A")</f>
        <v>#NUM!</v>
      </c>
      <c r="DO541" s="664"/>
    </row>
    <row r="542" spans="2:119" hidden="1" x14ac:dyDescent="0.25">
      <c r="B542" s="899" t="str">
        <f>CONCATENATE(CHAR(64+COLUMN(B541)),B541)</f>
        <v>B530</v>
      </c>
      <c r="C542" s="897"/>
      <c r="K542" s="664"/>
      <c r="N542" s="899" t="str">
        <f>CONCATENATE(CHAR(64+COLUMN(N541)),N541)</f>
        <v>N530</v>
      </c>
      <c r="O542" s="897"/>
      <c r="U542" s="663"/>
      <c r="W542" s="664"/>
      <c r="Z542" s="899" t="str">
        <f>CONCATENATE(IF(COLUMN(Z541)&lt;=26,CHAR(96+COLUMN(Z541)),(CHAR(96+(ROUNDDOWN((COLUMN(Z541)-1)/26,0)))&amp;CHAR(96+IF(MOD(COLUMN(Z541),26)=0,26,MOD(COLUMN(Z541),26))))),Z541)</f>
        <v>z530</v>
      </c>
      <c r="AA542" s="897"/>
      <c r="AB542" s="663"/>
      <c r="AC542" s="663"/>
      <c r="AD542" s="663"/>
      <c r="AE542" s="663"/>
      <c r="AF542" s="663"/>
      <c r="AG542" s="663"/>
      <c r="AH542" s="663"/>
      <c r="AI542" s="664"/>
      <c r="AL542" s="899" t="str">
        <f>CONCATENATE(IF(COLUMN(AL541)&lt;=26,CHAR(96+COLUMN(AL541)),(CHAR(96+(ROUNDDOWN((COLUMN(AL541)-1)/26,0)))&amp;CHAR(96+IF(MOD(COLUMN(AL541),26)=0,26,MOD(COLUMN(AL541),26))))),AL541)</f>
        <v>al530</v>
      </c>
      <c r="AM542" s="897"/>
      <c r="AN542" s="663"/>
      <c r="AU542" s="664"/>
      <c r="AX542" s="899" t="str">
        <f>CONCATENATE(IF(COLUMN(AX541)&lt;=26,CHAR(96+COLUMN(AX541)),(CHAR(96+(ROUNDDOWN((COLUMN(AX541)-1)/26,0)))&amp;CHAR(96+IF(MOD(COLUMN(AX541),26)=0,26,MOD(COLUMN(AX541),26))))),AX541)</f>
        <v>ax530</v>
      </c>
      <c r="AY542" s="897"/>
      <c r="BG542" s="664"/>
      <c r="BJ542" s="899" t="str">
        <f>CONCATENATE(IF(COLUMN(BJ541)&lt;=26,CHAR(96+COLUMN(BJ541)),(CHAR(96+(ROUNDDOWN((COLUMN(BJ541)-1)/26,0)))&amp;CHAR(96+IF(MOD(COLUMN(BJ541),26)=0,26,MOD(COLUMN(BJ541),26))))),BJ541)</f>
        <v>bj530</v>
      </c>
      <c r="BK542" s="897"/>
      <c r="BS542" s="664"/>
      <c r="BV542" s="899" t="str">
        <f>CONCATENATE(IF(COLUMN(BV541)&lt;=26,CHAR(96+COLUMN(BV541)),(CHAR(96+(ROUNDDOWN((COLUMN(BV541)-1)/26,0)))&amp;CHAR(96+IF(MOD(COLUMN(BV541),26)=0,26,MOD(COLUMN(BV541),26))))),BV541)</f>
        <v>bv530</v>
      </c>
      <c r="BW542" s="897"/>
      <c r="CE542" s="664"/>
      <c r="CH542" s="899" t="str">
        <f>CONCATENATE(IF(COLUMN(CH541)&lt;=26,CHAR(96+COLUMN(CH541)),(CHAR(96+(ROUNDDOWN((COLUMN(CH541)-1)/26,0)))&amp;CHAR(96+IF(MOD(COLUMN(CH541),26)=0,26,MOD(COLUMN(CH541),26))))),CH541)</f>
        <v>ch530</v>
      </c>
      <c r="CI542" s="897"/>
      <c r="CQ542" s="664"/>
      <c r="CT542" s="899" t="str">
        <f>CONCATENATE(IF(COLUMN(CT541)&lt;=26,CHAR(96+COLUMN(CT541)),(CHAR(96+(ROUNDDOWN((COLUMN(CT541)-1)/26,0)))&amp;CHAR(96+IF(MOD(COLUMN(CT541),26)=0,26,MOD(COLUMN(CT541),26))))),CT541)</f>
        <v>ct530</v>
      </c>
      <c r="CU542" s="897"/>
      <c r="DC542" s="664"/>
      <c r="DF542" s="899" t="str">
        <f>CONCATENATE(IF(COLUMN(DF541)&lt;=26,CHAR(96+COLUMN(DF541)),(CHAR(96+(ROUNDDOWN((COLUMN(DF541)-1)/26,0)))&amp;CHAR(96+IF(MOD(COLUMN(DF541),26)=0,26,MOD(COLUMN(DF541),26))))),DF541)</f>
        <v>df530</v>
      </c>
      <c r="DG542" s="897"/>
      <c r="DO542" s="664"/>
    </row>
    <row r="543" spans="2:119" hidden="1" x14ac:dyDescent="0.25">
      <c r="B543" s="899" t="str">
        <f>CONCATENATE(CHAR(64+COLUMN(C541)),B541)</f>
        <v>C530</v>
      </c>
      <c r="C543" s="897"/>
      <c r="K543" s="664"/>
      <c r="N543" s="899" t="str">
        <f>CONCATENATE(CHAR(64+COLUMN(O541)),N541)</f>
        <v>O530</v>
      </c>
      <c r="O543" s="897"/>
      <c r="U543" s="663"/>
      <c r="W543" s="664"/>
      <c r="Z543" s="899" t="str">
        <f>CONCATENATE(IF(COLUMN(AA541)&lt;=26,CHAR(96+COLUMN(AA541)),(CHAR(96+(ROUNDDOWN((COLUMN(AA541)-1)/26,0)))&amp;CHAR(96+IF(MOD(COLUMN(AA541),26)=0,26,MOD(COLUMN(AA541),26))))),Z541)</f>
        <v>aa530</v>
      </c>
      <c r="AA543" s="897"/>
      <c r="AB543" s="663"/>
      <c r="AC543" s="663"/>
      <c r="AD543" s="663"/>
      <c r="AE543" s="663"/>
      <c r="AF543" s="663"/>
      <c r="AG543" s="663"/>
      <c r="AH543" s="663"/>
      <c r="AI543" s="664"/>
      <c r="AL543" s="899" t="str">
        <f>CONCATENATE(IF(COLUMN(AM541)&lt;=26,CHAR(96+COLUMN(AM541)),(CHAR(96+(ROUNDDOWN((COLUMN(AM541)-1)/26,0)))&amp;CHAR(96+IF(MOD(COLUMN(AM541),26)=0,26,MOD(COLUMN(AM541),26))))),AL541)</f>
        <v>am530</v>
      </c>
      <c r="AM543" s="897"/>
      <c r="AN543" s="663"/>
      <c r="AU543" s="664"/>
      <c r="AX543" s="899" t="str">
        <f>CONCATENATE(IF(COLUMN(AY541)&lt;=26,CHAR(96+COLUMN(AY541)),(CHAR(96+(ROUNDDOWN((COLUMN(AY541)-1)/26,0)))&amp;CHAR(96+IF(MOD(COLUMN(AY541),26)=0,26,MOD(COLUMN(AY541),26))))),AX541)</f>
        <v>ay530</v>
      </c>
      <c r="AY543" s="897"/>
      <c r="BG543" s="664"/>
      <c r="BJ543" s="899" t="str">
        <f>CONCATENATE(IF(COLUMN(BK541)&lt;=26,CHAR(96+COLUMN(BK541)),(CHAR(96+(ROUNDDOWN((COLUMN(BK541)-1)/26,0)))&amp;CHAR(96+IF(MOD(COLUMN(BK541),26)=0,26,MOD(COLUMN(BK541),26))))),BJ541)</f>
        <v>bk530</v>
      </c>
      <c r="BK543" s="897"/>
      <c r="BS543" s="664"/>
      <c r="BV543" s="899" t="str">
        <f>CONCATENATE(IF(COLUMN(BW541)&lt;=26,CHAR(96+COLUMN(BW541)),(CHAR(96+(ROUNDDOWN((COLUMN(BW541)-1)/26,0)))&amp;CHAR(96+IF(MOD(COLUMN(BW541),26)=0,26,MOD(COLUMN(BW541),26))))),BV541)</f>
        <v>bw530</v>
      </c>
      <c r="BW543" s="897"/>
      <c r="CE543" s="664"/>
      <c r="CH543" s="899" t="str">
        <f>CONCATENATE(IF(COLUMN(CI541)&lt;=26,CHAR(96+COLUMN(CI541)),(CHAR(96+(ROUNDDOWN((COLUMN(CI541)-1)/26,0)))&amp;CHAR(96+IF(MOD(COLUMN(CI541),26)=0,26,MOD(COLUMN(CI541),26))))),CH541)</f>
        <v>ci530</v>
      </c>
      <c r="CI543" s="897"/>
      <c r="CQ543" s="664"/>
      <c r="CT543" s="899" t="str">
        <f>CONCATENATE(IF(COLUMN(CU541)&lt;=26,CHAR(96+COLUMN(CU541)),(CHAR(96+(ROUNDDOWN((COLUMN(CU541)-1)/26,0)))&amp;CHAR(96+IF(MOD(COLUMN(CU541),26)=0,26,MOD(COLUMN(CU541),26))))),CT541)</f>
        <v>cu530</v>
      </c>
      <c r="CU543" s="897"/>
      <c r="DC543" s="664"/>
      <c r="DF543" s="899" t="str">
        <f>CONCATENATE(IF(COLUMN(DG541)&lt;=26,CHAR(96+COLUMN(DG541)),(CHAR(96+(ROUNDDOWN((COLUMN(DG541)-1)/26,0)))&amp;CHAR(96+IF(MOD(COLUMN(DG541),26)=0,26,MOD(COLUMN(DG541),26))))),DF541)</f>
        <v>dg530</v>
      </c>
      <c r="DG543" s="897"/>
      <c r="DO543" s="664"/>
    </row>
    <row r="544" spans="2:119" hidden="1" x14ac:dyDescent="0.25">
      <c r="B544" s="668"/>
      <c r="C544" s="895"/>
      <c r="K544" s="664"/>
      <c r="N544" s="668"/>
      <c r="O544" s="895"/>
      <c r="U544" s="663"/>
      <c r="W544" s="664"/>
      <c r="Z544" s="668"/>
      <c r="AA544" s="895"/>
      <c r="AB544" s="663"/>
      <c r="AC544" s="663"/>
      <c r="AD544" s="663"/>
      <c r="AE544" s="663"/>
      <c r="AF544" s="663"/>
      <c r="AG544" s="663"/>
      <c r="AH544" s="663"/>
      <c r="AI544" s="664"/>
      <c r="AL544" s="668"/>
      <c r="AM544" s="895"/>
      <c r="AN544" s="663"/>
      <c r="AU544" s="664"/>
      <c r="AX544" s="668"/>
      <c r="AY544" s="895"/>
      <c r="BG544" s="664"/>
      <c r="BJ544" s="668"/>
      <c r="BK544" s="895"/>
      <c r="BS544" s="664"/>
      <c r="BV544" s="668"/>
      <c r="BW544" s="895"/>
      <c r="CE544" s="664"/>
      <c r="CH544" s="668"/>
      <c r="CI544" s="895"/>
      <c r="CQ544" s="664"/>
      <c r="CT544" s="668"/>
      <c r="CU544" s="895"/>
      <c r="DC544" s="664"/>
      <c r="DF544" s="668"/>
      <c r="DG544" s="895"/>
      <c r="DO544" s="664"/>
    </row>
    <row r="545" spans="2:119" hidden="1" x14ac:dyDescent="0.25">
      <c r="B545" s="668"/>
      <c r="C545" s="895"/>
      <c r="K545" s="664"/>
      <c r="N545" s="668"/>
      <c r="O545" s="895"/>
      <c r="U545" s="663"/>
      <c r="W545" s="664"/>
      <c r="Z545" s="668"/>
      <c r="AA545" s="895"/>
      <c r="AB545" s="663"/>
      <c r="AC545" s="663"/>
      <c r="AD545" s="663"/>
      <c r="AE545" s="663"/>
      <c r="AF545" s="663"/>
      <c r="AG545" s="663"/>
      <c r="AH545" s="663"/>
      <c r="AI545" s="664"/>
      <c r="AL545" s="668"/>
      <c r="AM545" s="895"/>
      <c r="AN545" s="663"/>
      <c r="AU545" s="664"/>
      <c r="AX545" s="668"/>
      <c r="AY545" s="895"/>
      <c r="BG545" s="664"/>
      <c r="BJ545" s="668"/>
      <c r="BK545" s="895"/>
      <c r="BS545" s="664"/>
      <c r="BV545" s="668"/>
      <c r="BW545" s="895"/>
      <c r="CE545" s="664"/>
      <c r="CH545" s="668"/>
      <c r="CI545" s="895"/>
      <c r="CQ545" s="664"/>
      <c r="CT545" s="668"/>
      <c r="CU545" s="895"/>
      <c r="DC545" s="664"/>
      <c r="DF545" s="668"/>
      <c r="DG545" s="895"/>
      <c r="DO545" s="664"/>
    </row>
    <row r="546" spans="2:119" hidden="1" x14ac:dyDescent="0.25">
      <c r="B546" s="894" t="str">
        <f>CONCATENATE(B207," Gross Return Analysis")</f>
        <v>Inv F Gross Return Analysis</v>
      </c>
      <c r="C546" s="666"/>
      <c r="K546" s="664"/>
      <c r="N546" s="894" t="str">
        <f>CONCATENATE(N207," Gross Return Analysis")</f>
        <v>Inv F Gross Return Analysis</v>
      </c>
      <c r="O546" s="666"/>
      <c r="U546" s="663"/>
      <c r="W546" s="664"/>
      <c r="Z546" s="894" t="str">
        <f>CONCATENATE(Z207," Gross Return Analysis")</f>
        <v>Inv F Gross Return Analysis</v>
      </c>
      <c r="AA546" s="666"/>
      <c r="AB546" s="663"/>
      <c r="AC546" s="663"/>
      <c r="AD546" s="663"/>
      <c r="AE546" s="663"/>
      <c r="AF546" s="663"/>
      <c r="AG546" s="663"/>
      <c r="AH546" s="663"/>
      <c r="AI546" s="664"/>
      <c r="AL546" s="894" t="str">
        <f>CONCATENATE(AL207," Gross Return Analysis")</f>
        <v>Inv F Gross Return Analysis</v>
      </c>
      <c r="AM546" s="666"/>
      <c r="AN546" s="663"/>
      <c r="AU546" s="664"/>
      <c r="AX546" s="894" t="str">
        <f>CONCATENATE(AX207," Gross Return Analysis")</f>
        <v>Inv F Gross Return Analysis</v>
      </c>
      <c r="AY546" s="666"/>
      <c r="BG546" s="664"/>
      <c r="BJ546" s="894" t="str">
        <f>CONCATENATE(BJ207," Gross Return Analysis")</f>
        <v>Inv F Gross Return Analysis</v>
      </c>
      <c r="BK546" s="666"/>
      <c r="BS546" s="664"/>
      <c r="BV546" s="894" t="str">
        <f>CONCATENATE(BV207," Gross Return Analysis")</f>
        <v>Inv F Gross Return Analysis</v>
      </c>
      <c r="BW546" s="666"/>
      <c r="CE546" s="664"/>
      <c r="CH546" s="894" t="str">
        <f>CONCATENATE(CH207," Gross Return Analysis")</f>
        <v>Inv F Gross Return Analysis</v>
      </c>
      <c r="CI546" s="666"/>
      <c r="CQ546" s="664"/>
      <c r="CT546" s="894" t="str">
        <f>CONCATENATE(CT207," Gross Return Analysis")</f>
        <v>Inv F Gross Return Analysis</v>
      </c>
      <c r="CU546" s="666"/>
      <c r="DC546" s="664"/>
      <c r="DF546" s="894" t="str">
        <f>CONCATENATE(DF207," Gross Return Analysis")</f>
        <v>Inv F Gross Return Analysis</v>
      </c>
      <c r="DG546" s="666"/>
      <c r="DO546" s="664"/>
    </row>
    <row r="547" spans="2:119" hidden="1" x14ac:dyDescent="0.25">
      <c r="B547" s="668" t="s">
        <v>114</v>
      </c>
      <c r="C547" s="666">
        <f ca="1">C207</f>
        <v>0</v>
      </c>
      <c r="K547" s="664"/>
      <c r="N547" s="668" t="s">
        <v>114</v>
      </c>
      <c r="O547" s="666">
        <f ca="1">O207</f>
        <v>0</v>
      </c>
      <c r="U547" s="663"/>
      <c r="W547" s="664"/>
      <c r="Z547" s="668" t="s">
        <v>114</v>
      </c>
      <c r="AA547" s="666">
        <f ca="1">AA207</f>
        <v>0</v>
      </c>
      <c r="AB547" s="663"/>
      <c r="AC547" s="663"/>
      <c r="AD547" s="663"/>
      <c r="AE547" s="663"/>
      <c r="AF547" s="663"/>
      <c r="AG547" s="663"/>
      <c r="AH547" s="663"/>
      <c r="AI547" s="664"/>
      <c r="AL547" s="668" t="s">
        <v>114</v>
      </c>
      <c r="AM547" s="666">
        <f ca="1">AM207</f>
        <v>0</v>
      </c>
      <c r="AN547" s="663"/>
      <c r="AU547" s="664"/>
      <c r="AX547" s="668" t="s">
        <v>114</v>
      </c>
      <c r="AY547" s="666">
        <f ca="1">AY207</f>
        <v>0</v>
      </c>
      <c r="BG547" s="664"/>
      <c r="BJ547" s="668" t="s">
        <v>114</v>
      </c>
      <c r="BK547" s="666">
        <f ca="1">BK207</f>
        <v>0</v>
      </c>
      <c r="BS547" s="664"/>
      <c r="BV547" s="668" t="s">
        <v>114</v>
      </c>
      <c r="BW547" s="666">
        <f ca="1">BW207</f>
        <v>0</v>
      </c>
      <c r="CE547" s="664"/>
      <c r="CH547" s="668" t="s">
        <v>114</v>
      </c>
      <c r="CI547" s="666">
        <f ca="1">CI207</f>
        <v>0</v>
      </c>
      <c r="CQ547" s="664"/>
      <c r="CT547" s="668" t="s">
        <v>114</v>
      </c>
      <c r="CU547" s="666">
        <f ca="1">CU207</f>
        <v>0</v>
      </c>
      <c r="DC547" s="664"/>
      <c r="DF547" s="668" t="s">
        <v>114</v>
      </c>
      <c r="DG547" s="666">
        <f ca="1">DG207</f>
        <v>0</v>
      </c>
      <c r="DO547" s="664"/>
    </row>
    <row r="548" spans="2:119" hidden="1" x14ac:dyDescent="0.25">
      <c r="B548" s="668" t="s">
        <v>115</v>
      </c>
      <c r="C548" s="895">
        <f ca="1">IF($P$34=0,0,C207/$P$34)</f>
        <v>0</v>
      </c>
      <c r="K548" s="664"/>
      <c r="N548" s="668" t="s">
        <v>115</v>
      </c>
      <c r="O548" s="895">
        <f ca="1">IF($P$34=0,0,O207/$P$34)</f>
        <v>0</v>
      </c>
      <c r="U548" s="663"/>
      <c r="W548" s="664"/>
      <c r="Z548" s="668" t="s">
        <v>115</v>
      </c>
      <c r="AA548" s="895">
        <f ca="1">IF($P$34=0,0,AA207/$P$34)</f>
        <v>0</v>
      </c>
      <c r="AB548" s="663"/>
      <c r="AC548" s="663"/>
      <c r="AD548" s="663"/>
      <c r="AE548" s="663"/>
      <c r="AF548" s="663"/>
      <c r="AG548" s="663"/>
      <c r="AH548" s="663"/>
      <c r="AI548" s="664"/>
      <c r="AL548" s="668" t="s">
        <v>115</v>
      </c>
      <c r="AM548" s="895">
        <f ca="1">IF($P$34=0,0,AM207/$P$34)</f>
        <v>0</v>
      </c>
      <c r="AN548" s="663"/>
      <c r="AU548" s="664"/>
      <c r="AX548" s="668" t="s">
        <v>115</v>
      </c>
      <c r="AY548" s="895">
        <f ca="1">IF($P$34=0,0,AY207/$P$34)</f>
        <v>0</v>
      </c>
      <c r="BG548" s="664"/>
      <c r="BJ548" s="668" t="s">
        <v>115</v>
      </c>
      <c r="BK548" s="895">
        <f ca="1">IF($P$34=0,0,BK207/$P$34)</f>
        <v>0</v>
      </c>
      <c r="BS548" s="664"/>
      <c r="BV548" s="668" t="s">
        <v>115</v>
      </c>
      <c r="BW548" s="895">
        <f ca="1">IF($P$34=0,0,BW207/$P$34)</f>
        <v>0</v>
      </c>
      <c r="CE548" s="664"/>
      <c r="CH548" s="668" t="s">
        <v>115</v>
      </c>
      <c r="CI548" s="895">
        <f ca="1">IF($P$34=0,0,CI207/$P$34)</f>
        <v>0</v>
      </c>
      <c r="CQ548" s="664"/>
      <c r="CT548" s="668" t="s">
        <v>115</v>
      </c>
      <c r="CU548" s="895">
        <f ca="1">IF($P$34=0,0,CU207/$P$34)</f>
        <v>0</v>
      </c>
      <c r="DC548" s="664"/>
      <c r="DF548" s="668" t="s">
        <v>115</v>
      </c>
      <c r="DG548" s="895">
        <f ca="1">IF($P$34=0,0,DG207/$P$34)</f>
        <v>0</v>
      </c>
      <c r="DO548" s="664"/>
    </row>
    <row r="549" spans="2:119" hidden="1" x14ac:dyDescent="0.25">
      <c r="B549" s="896">
        <f>$F$5</f>
        <v>39113</v>
      </c>
      <c r="C549" s="897">
        <f>-$F$34</f>
        <v>0</v>
      </c>
      <c r="K549" s="664"/>
      <c r="N549" s="896">
        <f>$F$5</f>
        <v>39113</v>
      </c>
      <c r="O549" s="897">
        <f>-$F$34</f>
        <v>0</v>
      </c>
      <c r="U549" s="663"/>
      <c r="W549" s="664"/>
      <c r="Z549" s="896">
        <f>$F$5</f>
        <v>39113</v>
      </c>
      <c r="AA549" s="897">
        <f>-$F$34</f>
        <v>0</v>
      </c>
      <c r="AB549" s="663"/>
      <c r="AC549" s="663"/>
      <c r="AD549" s="663"/>
      <c r="AE549" s="663"/>
      <c r="AF549" s="663"/>
      <c r="AG549" s="663"/>
      <c r="AH549" s="663"/>
      <c r="AI549" s="664"/>
      <c r="AL549" s="896">
        <f>$F$5</f>
        <v>39113</v>
      </c>
      <c r="AM549" s="897">
        <f>-$F$34</f>
        <v>0</v>
      </c>
      <c r="AN549" s="663"/>
      <c r="AU549" s="664"/>
      <c r="AX549" s="896">
        <f>$F$5</f>
        <v>39113</v>
      </c>
      <c r="AY549" s="897">
        <f>-$F$34</f>
        <v>0</v>
      </c>
      <c r="BG549" s="664"/>
      <c r="BJ549" s="896">
        <f>$F$5</f>
        <v>39113</v>
      </c>
      <c r="BK549" s="897">
        <f>-$F$34</f>
        <v>0</v>
      </c>
      <c r="BS549" s="664"/>
      <c r="BV549" s="896">
        <f>$F$5</f>
        <v>39113</v>
      </c>
      <c r="BW549" s="897">
        <f>-$F$34</f>
        <v>0</v>
      </c>
      <c r="CE549" s="664"/>
      <c r="CH549" s="896">
        <f>$F$5</f>
        <v>39113</v>
      </c>
      <c r="CI549" s="897">
        <f>-$F$34</f>
        <v>0</v>
      </c>
      <c r="CQ549" s="664"/>
      <c r="CT549" s="896">
        <f>$F$5</f>
        <v>39113</v>
      </c>
      <c r="CU549" s="897">
        <f>-$F$34</f>
        <v>0</v>
      </c>
      <c r="DC549" s="664"/>
      <c r="DF549" s="896">
        <f>$F$5</f>
        <v>39113</v>
      </c>
      <c r="DG549" s="897">
        <f>-$F$34</f>
        <v>0</v>
      </c>
      <c r="DO549" s="664"/>
    </row>
    <row r="550" spans="2:119" hidden="1" x14ac:dyDescent="0.25">
      <c r="B550" s="896">
        <f>$G$5</f>
        <v>39478</v>
      </c>
      <c r="C550" s="897">
        <f>-$G$34</f>
        <v>0</v>
      </c>
      <c r="K550" s="664"/>
      <c r="N550" s="896">
        <f>$G$5</f>
        <v>39478</v>
      </c>
      <c r="O550" s="897">
        <f>-$G$34</f>
        <v>0</v>
      </c>
      <c r="U550" s="663"/>
      <c r="W550" s="664"/>
      <c r="Z550" s="896">
        <f>$G$5</f>
        <v>39478</v>
      </c>
      <c r="AA550" s="897">
        <f>-$G$34</f>
        <v>0</v>
      </c>
      <c r="AB550" s="663"/>
      <c r="AC550" s="663"/>
      <c r="AD550" s="663"/>
      <c r="AE550" s="663"/>
      <c r="AF550" s="663"/>
      <c r="AG550" s="663"/>
      <c r="AH550" s="663"/>
      <c r="AI550" s="664"/>
      <c r="AL550" s="896">
        <f>$G$5</f>
        <v>39478</v>
      </c>
      <c r="AM550" s="897">
        <f>-$G$34</f>
        <v>0</v>
      </c>
      <c r="AN550" s="663"/>
      <c r="AU550" s="664"/>
      <c r="AX550" s="896">
        <f>$G$5</f>
        <v>39478</v>
      </c>
      <c r="AY550" s="897">
        <f>-$G$34</f>
        <v>0</v>
      </c>
      <c r="BG550" s="664"/>
      <c r="BJ550" s="896">
        <f>$G$5</f>
        <v>39478</v>
      </c>
      <c r="BK550" s="897">
        <f>-$G$34</f>
        <v>0</v>
      </c>
      <c r="BS550" s="664"/>
      <c r="BV550" s="896">
        <f>$G$5</f>
        <v>39478</v>
      </c>
      <c r="BW550" s="897">
        <f>-$G$34</f>
        <v>0</v>
      </c>
      <c r="CE550" s="664"/>
      <c r="CH550" s="896">
        <f>$G$5</f>
        <v>39478</v>
      </c>
      <c r="CI550" s="897">
        <f>-$G$34</f>
        <v>0</v>
      </c>
      <c r="CQ550" s="664"/>
      <c r="CT550" s="896">
        <f>$G$5</f>
        <v>39478</v>
      </c>
      <c r="CU550" s="897">
        <f>-$G$34</f>
        <v>0</v>
      </c>
      <c r="DC550" s="664"/>
      <c r="DF550" s="896">
        <f>$G$5</f>
        <v>39478</v>
      </c>
      <c r="DG550" s="897">
        <f>-$G$34</f>
        <v>0</v>
      </c>
      <c r="DO550" s="664"/>
    </row>
    <row r="551" spans="2:119" hidden="1" x14ac:dyDescent="0.25">
      <c r="B551" s="896">
        <f>$H$5</f>
        <v>39843</v>
      </c>
      <c r="C551" s="897">
        <f>-$H$34</f>
        <v>-2500000</v>
      </c>
      <c r="K551" s="664"/>
      <c r="N551" s="896">
        <f>$H$5</f>
        <v>39843</v>
      </c>
      <c r="O551" s="897">
        <f>-$H$34</f>
        <v>-2500000</v>
      </c>
      <c r="U551" s="663"/>
      <c r="W551" s="664"/>
      <c r="Z551" s="896">
        <f>$H$5</f>
        <v>39843</v>
      </c>
      <c r="AA551" s="897">
        <f>-$H$34</f>
        <v>-2500000</v>
      </c>
      <c r="AB551" s="663"/>
      <c r="AC551" s="663"/>
      <c r="AD551" s="663"/>
      <c r="AE551" s="663"/>
      <c r="AF551" s="663"/>
      <c r="AG551" s="663"/>
      <c r="AH551" s="663"/>
      <c r="AI551" s="664"/>
      <c r="AL551" s="896">
        <f>$H$5</f>
        <v>39843</v>
      </c>
      <c r="AM551" s="897">
        <f>-$H$34</f>
        <v>-2500000</v>
      </c>
      <c r="AN551" s="663"/>
      <c r="AU551" s="664"/>
      <c r="AX551" s="896">
        <f>$H$5</f>
        <v>39843</v>
      </c>
      <c r="AY551" s="897">
        <f>-$H$34</f>
        <v>-2500000</v>
      </c>
      <c r="BG551" s="664"/>
      <c r="BJ551" s="896">
        <f>$H$5</f>
        <v>39843</v>
      </c>
      <c r="BK551" s="897">
        <f>-$H$34</f>
        <v>-2500000</v>
      </c>
      <c r="BS551" s="664"/>
      <c r="BV551" s="896">
        <f>$H$5</f>
        <v>39843</v>
      </c>
      <c r="BW551" s="897">
        <f>-$H$34</f>
        <v>-2500000</v>
      </c>
      <c r="CE551" s="664"/>
      <c r="CH551" s="896">
        <f>$H$5</f>
        <v>39843</v>
      </c>
      <c r="CI551" s="897">
        <f>-$H$34</f>
        <v>-2500000</v>
      </c>
      <c r="CQ551" s="664"/>
      <c r="CT551" s="896">
        <f>$H$5</f>
        <v>39843</v>
      </c>
      <c r="CU551" s="897">
        <f>-$H$34</f>
        <v>-2500000</v>
      </c>
      <c r="DC551" s="664"/>
      <c r="DF551" s="896">
        <f>$H$5</f>
        <v>39843</v>
      </c>
      <c r="DG551" s="897">
        <f>-$H$34</f>
        <v>-2500000</v>
      </c>
      <c r="DO551" s="664"/>
    </row>
    <row r="552" spans="2:119" hidden="1" x14ac:dyDescent="0.25">
      <c r="B552" s="896">
        <f>$I$5</f>
        <v>39843</v>
      </c>
      <c r="C552" s="897">
        <f>-$I$34</f>
        <v>-6666666.666666667</v>
      </c>
      <c r="K552" s="664"/>
      <c r="N552" s="896">
        <f>$I$5</f>
        <v>39843</v>
      </c>
      <c r="O552" s="897">
        <f>-$I$34</f>
        <v>-6666666.666666667</v>
      </c>
      <c r="U552" s="663"/>
      <c r="W552" s="664"/>
      <c r="Z552" s="896">
        <f>$I$5</f>
        <v>39843</v>
      </c>
      <c r="AA552" s="897">
        <f>-$I$34</f>
        <v>-6666666.666666667</v>
      </c>
      <c r="AB552" s="663"/>
      <c r="AC552" s="663"/>
      <c r="AD552" s="663"/>
      <c r="AE552" s="663"/>
      <c r="AF552" s="663"/>
      <c r="AG552" s="663"/>
      <c r="AH552" s="663"/>
      <c r="AI552" s="664"/>
      <c r="AL552" s="896">
        <f>$I$5</f>
        <v>39843</v>
      </c>
      <c r="AM552" s="897">
        <f>-$I$34</f>
        <v>-6666666.666666667</v>
      </c>
      <c r="AN552" s="663"/>
      <c r="AU552" s="664"/>
      <c r="AX552" s="896">
        <f>$I$5</f>
        <v>39843</v>
      </c>
      <c r="AY552" s="897">
        <f>-$I$34</f>
        <v>-6666666.666666667</v>
      </c>
      <c r="BG552" s="664"/>
      <c r="BJ552" s="896">
        <f>$I$5</f>
        <v>39843</v>
      </c>
      <c r="BK552" s="897">
        <f>-$I$34</f>
        <v>-6666666.666666667</v>
      </c>
      <c r="BS552" s="664"/>
      <c r="BV552" s="896">
        <f>$I$5</f>
        <v>39843</v>
      </c>
      <c r="BW552" s="897">
        <f>-$I$34</f>
        <v>-6666666.666666667</v>
      </c>
      <c r="CE552" s="664"/>
      <c r="CH552" s="896">
        <f>$I$5</f>
        <v>39843</v>
      </c>
      <c r="CI552" s="897">
        <f>-$I$34</f>
        <v>-6666666.666666667</v>
      </c>
      <c r="CQ552" s="664"/>
      <c r="CT552" s="896">
        <f>$I$5</f>
        <v>39843</v>
      </c>
      <c r="CU552" s="897">
        <f>-$I$34</f>
        <v>-6666666.666666667</v>
      </c>
      <c r="DC552" s="664"/>
      <c r="DF552" s="896">
        <f>$I$5</f>
        <v>39843</v>
      </c>
      <c r="DG552" s="897">
        <f>-$I$34</f>
        <v>-6666666.666666667</v>
      </c>
      <c r="DO552" s="664"/>
    </row>
    <row r="553" spans="2:119" hidden="1" x14ac:dyDescent="0.25">
      <c r="B553" s="896">
        <f>$J$5</f>
        <v>39843</v>
      </c>
      <c r="C553" s="897">
        <f>-$J$34</f>
        <v>0</v>
      </c>
      <c r="K553" s="664"/>
      <c r="N553" s="896">
        <f>$J$5</f>
        <v>39843</v>
      </c>
      <c r="O553" s="897">
        <f>-$J$34</f>
        <v>0</v>
      </c>
      <c r="U553" s="663"/>
      <c r="W553" s="664"/>
      <c r="Z553" s="896">
        <f>$J$5</f>
        <v>39843</v>
      </c>
      <c r="AA553" s="897">
        <f>-$J$34</f>
        <v>0</v>
      </c>
      <c r="AB553" s="663"/>
      <c r="AC553" s="663"/>
      <c r="AD553" s="663"/>
      <c r="AE553" s="663"/>
      <c r="AF553" s="663"/>
      <c r="AG553" s="663"/>
      <c r="AH553" s="663"/>
      <c r="AI553" s="664"/>
      <c r="AL553" s="896">
        <f>$J$5</f>
        <v>39843</v>
      </c>
      <c r="AM553" s="897">
        <f>-$J$34</f>
        <v>0</v>
      </c>
      <c r="AN553" s="663"/>
      <c r="AU553" s="664"/>
      <c r="AX553" s="896">
        <f>$J$5</f>
        <v>39843</v>
      </c>
      <c r="AY553" s="897">
        <f>-$J$34</f>
        <v>0</v>
      </c>
      <c r="BG553" s="664"/>
      <c r="BJ553" s="896">
        <f>$J$5</f>
        <v>39843</v>
      </c>
      <c r="BK553" s="897">
        <f>-$J$34</f>
        <v>0</v>
      </c>
      <c r="BS553" s="664"/>
      <c r="BV553" s="896">
        <f>$J$5</f>
        <v>39843</v>
      </c>
      <c r="BW553" s="897">
        <f>-$J$34</f>
        <v>0</v>
      </c>
      <c r="CE553" s="664"/>
      <c r="CH553" s="896">
        <f>$J$5</f>
        <v>39843</v>
      </c>
      <c r="CI553" s="897">
        <f>-$J$34</f>
        <v>0</v>
      </c>
      <c r="CQ553" s="664"/>
      <c r="CT553" s="896">
        <f>$J$5</f>
        <v>39843</v>
      </c>
      <c r="CU553" s="897">
        <f>-$J$34</f>
        <v>0</v>
      </c>
      <c r="DC553" s="664"/>
      <c r="DF553" s="896">
        <f>$J$5</f>
        <v>39843</v>
      </c>
      <c r="DG553" s="897">
        <f>-$J$34</f>
        <v>0</v>
      </c>
      <c r="DO553" s="664"/>
    </row>
    <row r="554" spans="2:119" hidden="1" x14ac:dyDescent="0.25">
      <c r="B554" s="896">
        <f>$K$5</f>
        <v>39843</v>
      </c>
      <c r="C554" s="897">
        <f>-$K$34</f>
        <v>0</v>
      </c>
      <c r="K554" s="664"/>
      <c r="N554" s="896">
        <f>$K$5</f>
        <v>39843</v>
      </c>
      <c r="O554" s="897">
        <f>-$K$34</f>
        <v>0</v>
      </c>
      <c r="U554" s="663"/>
      <c r="W554" s="664"/>
      <c r="Z554" s="896">
        <f>$K$5</f>
        <v>39843</v>
      </c>
      <c r="AA554" s="897">
        <f>-$K$34</f>
        <v>0</v>
      </c>
      <c r="AB554" s="663"/>
      <c r="AC554" s="663"/>
      <c r="AD554" s="663"/>
      <c r="AE554" s="663"/>
      <c r="AF554" s="663"/>
      <c r="AG554" s="663"/>
      <c r="AH554" s="663"/>
      <c r="AI554" s="664"/>
      <c r="AL554" s="896">
        <f>$K$5</f>
        <v>39843</v>
      </c>
      <c r="AM554" s="897">
        <f>-$K$34</f>
        <v>0</v>
      </c>
      <c r="AN554" s="663"/>
      <c r="AU554" s="664"/>
      <c r="AX554" s="896">
        <f>$K$5</f>
        <v>39843</v>
      </c>
      <c r="AY554" s="897">
        <f>-$K$34</f>
        <v>0</v>
      </c>
      <c r="BG554" s="664"/>
      <c r="BJ554" s="896">
        <f>$K$5</f>
        <v>39843</v>
      </c>
      <c r="BK554" s="897">
        <f>-$K$34</f>
        <v>0</v>
      </c>
      <c r="BS554" s="664"/>
      <c r="BV554" s="896">
        <f>$K$5</f>
        <v>39843</v>
      </c>
      <c r="BW554" s="897">
        <f>-$K$34</f>
        <v>0</v>
      </c>
      <c r="CE554" s="664"/>
      <c r="CH554" s="896">
        <f>$K$5</f>
        <v>39843</v>
      </c>
      <c r="CI554" s="897">
        <f>-$K$34</f>
        <v>0</v>
      </c>
      <c r="CQ554" s="664"/>
      <c r="CT554" s="896">
        <f>$K$5</f>
        <v>39843</v>
      </c>
      <c r="CU554" s="897">
        <f>-$K$34</f>
        <v>0</v>
      </c>
      <c r="DC554" s="664"/>
      <c r="DF554" s="896">
        <f>$K$5</f>
        <v>39843</v>
      </c>
      <c r="DG554" s="897">
        <f>-$K$34</f>
        <v>0</v>
      </c>
      <c r="DO554" s="664"/>
    </row>
    <row r="555" spans="2:119" hidden="1" x14ac:dyDescent="0.25">
      <c r="B555" s="896">
        <f>$L$5</f>
        <v>39843</v>
      </c>
      <c r="C555" s="897">
        <f>-$L$34</f>
        <v>0</v>
      </c>
      <c r="K555" s="664"/>
      <c r="N555" s="896">
        <f>$L$5</f>
        <v>39843</v>
      </c>
      <c r="O555" s="897">
        <f>-$L$34</f>
        <v>0</v>
      </c>
      <c r="U555" s="663"/>
      <c r="W555" s="664"/>
      <c r="Z555" s="896">
        <f>$L$5</f>
        <v>39843</v>
      </c>
      <c r="AA555" s="897">
        <f>-$L$34</f>
        <v>0</v>
      </c>
      <c r="AB555" s="663"/>
      <c r="AC555" s="663"/>
      <c r="AD555" s="663"/>
      <c r="AE555" s="663"/>
      <c r="AF555" s="663"/>
      <c r="AG555" s="663"/>
      <c r="AH555" s="663"/>
      <c r="AI555" s="664"/>
      <c r="AL555" s="896">
        <f>$L$5</f>
        <v>39843</v>
      </c>
      <c r="AM555" s="897">
        <f>-$L$34</f>
        <v>0</v>
      </c>
      <c r="AN555" s="663"/>
      <c r="AU555" s="664"/>
      <c r="AX555" s="896">
        <f>$L$5</f>
        <v>39843</v>
      </c>
      <c r="AY555" s="897">
        <f>-$L$34</f>
        <v>0</v>
      </c>
      <c r="BG555" s="664"/>
      <c r="BJ555" s="896">
        <f>$L$5</f>
        <v>39843</v>
      </c>
      <c r="BK555" s="897">
        <f>-$L$34</f>
        <v>0</v>
      </c>
      <c r="BS555" s="664"/>
      <c r="BV555" s="896">
        <f>$L$5</f>
        <v>39843</v>
      </c>
      <c r="BW555" s="897">
        <f>-$L$34</f>
        <v>0</v>
      </c>
      <c r="CE555" s="664"/>
      <c r="CH555" s="896">
        <f>$L$5</f>
        <v>39843</v>
      </c>
      <c r="CI555" s="897">
        <f>-$L$34</f>
        <v>0</v>
      </c>
      <c r="CQ555" s="664"/>
      <c r="CT555" s="896">
        <f>$L$5</f>
        <v>39843</v>
      </c>
      <c r="CU555" s="897">
        <f>-$L$34</f>
        <v>0</v>
      </c>
      <c r="DC555" s="664"/>
      <c r="DF555" s="896">
        <f>$L$5</f>
        <v>39843</v>
      </c>
      <c r="DG555" s="897">
        <f>-$L$34</f>
        <v>0</v>
      </c>
      <c r="DO555" s="664"/>
    </row>
    <row r="556" spans="2:119" hidden="1" x14ac:dyDescent="0.25">
      <c r="B556" s="896">
        <f>$M$5</f>
        <v>39843</v>
      </c>
      <c r="C556" s="897">
        <f>-$M$34</f>
        <v>0</v>
      </c>
      <c r="K556" s="664"/>
      <c r="N556" s="896">
        <f>$M$5</f>
        <v>39843</v>
      </c>
      <c r="O556" s="897">
        <f>-$M$34</f>
        <v>0</v>
      </c>
      <c r="U556" s="663"/>
      <c r="W556" s="664"/>
      <c r="Z556" s="896">
        <f>$M$5</f>
        <v>39843</v>
      </c>
      <c r="AA556" s="897">
        <f>-$M$34</f>
        <v>0</v>
      </c>
      <c r="AB556" s="663"/>
      <c r="AC556" s="663"/>
      <c r="AD556" s="663"/>
      <c r="AE556" s="663"/>
      <c r="AF556" s="663"/>
      <c r="AG556" s="663"/>
      <c r="AH556" s="663"/>
      <c r="AI556" s="664"/>
      <c r="AL556" s="896">
        <f>$M$5</f>
        <v>39843</v>
      </c>
      <c r="AM556" s="897">
        <f>-$M$34</f>
        <v>0</v>
      </c>
      <c r="AN556" s="663"/>
      <c r="AU556" s="664"/>
      <c r="AX556" s="896">
        <f>$M$5</f>
        <v>39843</v>
      </c>
      <c r="AY556" s="897">
        <f>-$M$34</f>
        <v>0</v>
      </c>
      <c r="BG556" s="664"/>
      <c r="BJ556" s="896">
        <f>$M$5</f>
        <v>39843</v>
      </c>
      <c r="BK556" s="897">
        <f>-$M$34</f>
        <v>0</v>
      </c>
      <c r="BS556" s="664"/>
      <c r="BV556" s="896">
        <f>$M$5</f>
        <v>39843</v>
      </c>
      <c r="BW556" s="897">
        <f>-$M$34</f>
        <v>0</v>
      </c>
      <c r="CE556" s="664"/>
      <c r="CH556" s="896">
        <f>$M$5</f>
        <v>39843</v>
      </c>
      <c r="CI556" s="897">
        <f>-$M$34</f>
        <v>0</v>
      </c>
      <c r="CQ556" s="664"/>
      <c r="CT556" s="896">
        <f>$M$5</f>
        <v>39843</v>
      </c>
      <c r="CU556" s="897">
        <f>-$M$34</f>
        <v>0</v>
      </c>
      <c r="DC556" s="664"/>
      <c r="DF556" s="896">
        <f>$M$5</f>
        <v>39843</v>
      </c>
      <c r="DG556" s="897">
        <f>-$M$34</f>
        <v>0</v>
      </c>
      <c r="DO556" s="664"/>
    </row>
    <row r="557" spans="2:119" hidden="1" x14ac:dyDescent="0.25">
      <c r="B557" s="896">
        <f>$N$5</f>
        <v>39843</v>
      </c>
      <c r="C557" s="897">
        <f>-$N$34</f>
        <v>0</v>
      </c>
      <c r="K557" s="664"/>
      <c r="N557" s="896">
        <f>$N$5</f>
        <v>39843</v>
      </c>
      <c r="O557" s="897">
        <f>-$N$34</f>
        <v>0</v>
      </c>
      <c r="U557" s="663"/>
      <c r="W557" s="664"/>
      <c r="Z557" s="896">
        <f>$N$5</f>
        <v>39843</v>
      </c>
      <c r="AA557" s="897">
        <f>-$N$34</f>
        <v>0</v>
      </c>
      <c r="AB557" s="663"/>
      <c r="AC557" s="663"/>
      <c r="AD557" s="663"/>
      <c r="AE557" s="663"/>
      <c r="AF557" s="663"/>
      <c r="AG557" s="663"/>
      <c r="AH557" s="663"/>
      <c r="AI557" s="664"/>
      <c r="AL557" s="896">
        <f>$N$5</f>
        <v>39843</v>
      </c>
      <c r="AM557" s="897">
        <f>-$N$34</f>
        <v>0</v>
      </c>
      <c r="AN557" s="663"/>
      <c r="AU557" s="664"/>
      <c r="AX557" s="896">
        <f>$N$5</f>
        <v>39843</v>
      </c>
      <c r="AY557" s="897">
        <f>-$N$34</f>
        <v>0</v>
      </c>
      <c r="BG557" s="664"/>
      <c r="BJ557" s="896">
        <f>$N$5</f>
        <v>39843</v>
      </c>
      <c r="BK557" s="897">
        <f>-$N$34</f>
        <v>0</v>
      </c>
      <c r="BS557" s="664"/>
      <c r="BV557" s="896">
        <f>$N$5</f>
        <v>39843</v>
      </c>
      <c r="BW557" s="897">
        <f>-$N$34</f>
        <v>0</v>
      </c>
      <c r="CE557" s="664"/>
      <c r="CH557" s="896">
        <f>$N$5</f>
        <v>39843</v>
      </c>
      <c r="CI557" s="897">
        <f>-$N$34</f>
        <v>0</v>
      </c>
      <c r="CQ557" s="664"/>
      <c r="CT557" s="896">
        <f>$N$5</f>
        <v>39843</v>
      </c>
      <c r="CU557" s="897">
        <f>-$N$34</f>
        <v>0</v>
      </c>
      <c r="DC557" s="664"/>
      <c r="DF557" s="896">
        <f>$N$5</f>
        <v>39843</v>
      </c>
      <c r="DG557" s="897">
        <f>-$N$34</f>
        <v>0</v>
      </c>
      <c r="DO557" s="664"/>
    </row>
    <row r="558" spans="2:119" hidden="1" x14ac:dyDescent="0.25">
      <c r="B558" s="896">
        <f>$O$5</f>
        <v>39843</v>
      </c>
      <c r="C558" s="897">
        <f>-$O$34</f>
        <v>0</v>
      </c>
      <c r="K558" s="664"/>
      <c r="N558" s="896">
        <f>$O$5</f>
        <v>39843</v>
      </c>
      <c r="O558" s="897">
        <f>-$O$34</f>
        <v>0</v>
      </c>
      <c r="U558" s="663"/>
      <c r="W558" s="664"/>
      <c r="Z558" s="896">
        <f>$O$5</f>
        <v>39843</v>
      </c>
      <c r="AA558" s="897">
        <f>-$O$34</f>
        <v>0</v>
      </c>
      <c r="AB558" s="663"/>
      <c r="AC558" s="663"/>
      <c r="AD558" s="663"/>
      <c r="AE558" s="663"/>
      <c r="AF558" s="663"/>
      <c r="AG558" s="663"/>
      <c r="AH558" s="663"/>
      <c r="AI558" s="664"/>
      <c r="AL558" s="896">
        <f>$O$5</f>
        <v>39843</v>
      </c>
      <c r="AM558" s="897">
        <f>-$O$34</f>
        <v>0</v>
      </c>
      <c r="AN558" s="663"/>
      <c r="AU558" s="664"/>
      <c r="AX558" s="896">
        <f>$O$5</f>
        <v>39843</v>
      </c>
      <c r="AY558" s="897">
        <f>-$O$34</f>
        <v>0</v>
      </c>
      <c r="BG558" s="664"/>
      <c r="BJ558" s="896">
        <f>$O$5</f>
        <v>39843</v>
      </c>
      <c r="BK558" s="897">
        <f>-$O$34</f>
        <v>0</v>
      </c>
      <c r="BS558" s="664"/>
      <c r="BV558" s="896">
        <f>$O$5</f>
        <v>39843</v>
      </c>
      <c r="BW558" s="897">
        <f>-$O$34</f>
        <v>0</v>
      </c>
      <c r="CE558" s="664"/>
      <c r="CH558" s="896">
        <f>$O$5</f>
        <v>39843</v>
      </c>
      <c r="CI558" s="897">
        <f>-$O$34</f>
        <v>0</v>
      </c>
      <c r="CQ558" s="664"/>
      <c r="CT558" s="896">
        <f>$O$5</f>
        <v>39843</v>
      </c>
      <c r="CU558" s="897">
        <f>-$O$34</f>
        <v>0</v>
      </c>
      <c r="DC558" s="664"/>
      <c r="DF558" s="896">
        <f>$O$5</f>
        <v>39843</v>
      </c>
      <c r="DG558" s="897">
        <f>-$O$34</f>
        <v>0</v>
      </c>
      <c r="DO558" s="664"/>
    </row>
    <row r="559" spans="2:119" hidden="1" x14ac:dyDescent="0.25">
      <c r="B559" s="896">
        <f>$C$55</f>
        <v>40999</v>
      </c>
      <c r="C559" s="897">
        <f ca="1">C547</f>
        <v>0</v>
      </c>
      <c r="K559" s="664"/>
      <c r="N559" s="896">
        <f>$C$55</f>
        <v>40999</v>
      </c>
      <c r="O559" s="897">
        <f ca="1">O547</f>
        <v>0</v>
      </c>
      <c r="U559" s="663"/>
      <c r="W559" s="664"/>
      <c r="Z559" s="896">
        <f>$C$55</f>
        <v>40999</v>
      </c>
      <c r="AA559" s="897">
        <f ca="1">AA547</f>
        <v>0</v>
      </c>
      <c r="AB559" s="663"/>
      <c r="AC559" s="663"/>
      <c r="AD559" s="663"/>
      <c r="AE559" s="663"/>
      <c r="AF559" s="663"/>
      <c r="AG559" s="663"/>
      <c r="AH559" s="663"/>
      <c r="AI559" s="664"/>
      <c r="AL559" s="896">
        <f>$C$55</f>
        <v>40999</v>
      </c>
      <c r="AM559" s="897">
        <f ca="1">AM547</f>
        <v>0</v>
      </c>
      <c r="AN559" s="663"/>
      <c r="AU559" s="664"/>
      <c r="AX559" s="896">
        <f>$C$55</f>
        <v>40999</v>
      </c>
      <c r="AY559" s="897">
        <f ca="1">AY547</f>
        <v>0</v>
      </c>
      <c r="BG559" s="664"/>
      <c r="BJ559" s="896">
        <f>$C$55</f>
        <v>40999</v>
      </c>
      <c r="BK559" s="897">
        <f ca="1">BK547</f>
        <v>0</v>
      </c>
      <c r="BS559" s="664"/>
      <c r="BV559" s="896">
        <f>$C$55</f>
        <v>40999</v>
      </c>
      <c r="BW559" s="897">
        <f ca="1">BW547</f>
        <v>0</v>
      </c>
      <c r="CE559" s="664"/>
      <c r="CH559" s="896">
        <f>$C$55</f>
        <v>40999</v>
      </c>
      <c r="CI559" s="897">
        <f ca="1">CI547</f>
        <v>0</v>
      </c>
      <c r="CQ559" s="664"/>
      <c r="CT559" s="896">
        <f>$C$55</f>
        <v>40999</v>
      </c>
      <c r="CU559" s="897">
        <f ca="1">CU547</f>
        <v>0</v>
      </c>
      <c r="DC559" s="664"/>
      <c r="DF559" s="896">
        <f>$C$55</f>
        <v>40999</v>
      </c>
      <c r="DG559" s="897">
        <f ca="1">DG547</f>
        <v>0</v>
      </c>
      <c r="DO559" s="664"/>
    </row>
    <row r="560" spans="2:119" hidden="1" x14ac:dyDescent="0.25">
      <c r="B560" s="898">
        <f>IF(C549&lt;&gt;0,ROW(C549),IF(C550&lt;&gt;0,ROW(C550),IF(C551&lt;&gt;0,ROW(C551),IF(C552&lt;&gt;0,ROW(C552),IF(C553&lt;&gt;0,ROW(C553),IF(C554&lt;&gt;0,ROW(C554),IF(C555&lt;&gt;0,ROW(C555),IF(C556&lt;&gt;0,ROW(C556),IF(C557&lt;&gt;0,ROW(C557),IF(C558&lt;&gt;0,ROW(C558),0))))))))))</f>
        <v>551</v>
      </c>
      <c r="C560" s="882" t="e">
        <f ca="1">IF(ISERROR(XIRR(INDIRECT(B562):C559,INDIRECT(B561):B559,-20%)),XIRR(INDIRECT(B562):C559,INDIRECT(B561):B559,20%),"N/A")</f>
        <v>#NUM!</v>
      </c>
      <c r="K560" s="664"/>
      <c r="N560" s="898">
        <f>IF(O549&lt;&gt;0,ROW(O549),IF(O550&lt;&gt;0,ROW(O550),IF(O551&lt;&gt;0,ROW(O551),IF(O552&lt;&gt;0,ROW(O552),IF(O553&lt;&gt;0,ROW(O553),IF(O554&lt;&gt;0,ROW(O554),IF(O555&lt;&gt;0,ROW(O555),IF(O556&lt;&gt;0,ROW(O556),IF(O557&lt;&gt;0,ROW(O557),IF(O558&lt;&gt;0,ROW(O558),0))))))))))</f>
        <v>551</v>
      </c>
      <c r="O560" s="882" t="e">
        <f ca="1">IF(ISERROR(XIRR(INDIRECT(N562):O559,INDIRECT(N561):N559,-20%)),XIRR(INDIRECT(N562):O559,INDIRECT(N561):N559,20%),"N/A")</f>
        <v>#NUM!</v>
      </c>
      <c r="U560" s="663"/>
      <c r="W560" s="664"/>
      <c r="Z560" s="898">
        <f>IF(AA549&lt;&gt;0,ROW(AA549),IF(AA550&lt;&gt;0,ROW(AA550),IF(AA551&lt;&gt;0,ROW(AA551),IF(AA552&lt;&gt;0,ROW(AA552),IF(AA553&lt;&gt;0,ROW(AA553),IF(AA554&lt;&gt;0,ROW(AA554),IF(AA555&lt;&gt;0,ROW(AA555),IF(AA556&lt;&gt;0,ROW(AA556),IF(AA557&lt;&gt;0,ROW(AA557),IF(AA558&lt;&gt;0,ROW(AA558),0))))))))))</f>
        <v>551</v>
      </c>
      <c r="AA560" s="882" t="e">
        <f ca="1">IF(ISERROR(XIRR(INDIRECT(Z562):AA559,INDIRECT(Z561):Z559,-20%)),XIRR(INDIRECT(Z562):AA559,INDIRECT(Z561):Z559,20%),"N/A")</f>
        <v>#NUM!</v>
      </c>
      <c r="AB560" s="663"/>
      <c r="AC560" s="663"/>
      <c r="AD560" s="663"/>
      <c r="AE560" s="663"/>
      <c r="AF560" s="663"/>
      <c r="AG560" s="663"/>
      <c r="AH560" s="663"/>
      <c r="AI560" s="664"/>
      <c r="AL560" s="898">
        <f>IF(AM549&lt;&gt;0,ROW(AM549),IF(AM550&lt;&gt;0,ROW(AM550),IF(AM551&lt;&gt;0,ROW(AM551),IF(AM552&lt;&gt;0,ROW(AM552),IF(AM553&lt;&gt;0,ROW(AM553),IF(AM554&lt;&gt;0,ROW(AM554),IF(AM555&lt;&gt;0,ROW(AM555),IF(AM556&lt;&gt;0,ROW(AM556),IF(AM557&lt;&gt;0,ROW(AM557),IF(AM558&lt;&gt;0,ROW(AM558),0))))))))))</f>
        <v>551</v>
      </c>
      <c r="AM560" s="882" t="e">
        <f ca="1">IF(ISERROR(XIRR(INDIRECT(AL562):AM559,INDIRECT(AL561):AL559,-20%)),XIRR(INDIRECT(AL562):AM559,INDIRECT(AL561):AL559,20%),"N/A")</f>
        <v>#NUM!</v>
      </c>
      <c r="AN560" s="663"/>
      <c r="AU560" s="664"/>
      <c r="AX560" s="898">
        <f>IF(AY549&lt;&gt;0,ROW(AY549),IF(AY550&lt;&gt;0,ROW(AY550),IF(AY551&lt;&gt;0,ROW(AY551),IF(AY552&lt;&gt;0,ROW(AY552),IF(AY553&lt;&gt;0,ROW(AY553),IF(AY554&lt;&gt;0,ROW(AY554),IF(AY555&lt;&gt;0,ROW(AY555),IF(AY556&lt;&gt;0,ROW(AY556),IF(AY557&lt;&gt;0,ROW(AY557),IF(AY558&lt;&gt;0,ROW(AY558),0))))))))))</f>
        <v>551</v>
      </c>
      <c r="AY560" s="882" t="e">
        <f ca="1">IF(ISERROR(XIRR(INDIRECT(AX562):AY559,INDIRECT(AX561):AX559,-20%)),XIRR(INDIRECT(AX562):AY559,INDIRECT(AX561):AX559,20%),"N/A")</f>
        <v>#NUM!</v>
      </c>
      <c r="BG560" s="664"/>
      <c r="BJ560" s="898">
        <f>IF(BK549&lt;&gt;0,ROW(BK549),IF(BK550&lt;&gt;0,ROW(BK550),IF(BK551&lt;&gt;0,ROW(BK551),IF(BK552&lt;&gt;0,ROW(BK552),IF(BK553&lt;&gt;0,ROW(BK553),IF(BK554&lt;&gt;0,ROW(BK554),IF(BK555&lt;&gt;0,ROW(BK555),IF(BK556&lt;&gt;0,ROW(BK556),IF(BK557&lt;&gt;0,ROW(BK557),IF(BK558&lt;&gt;0,ROW(BK558),0))))))))))</f>
        <v>551</v>
      </c>
      <c r="BK560" s="882" t="e">
        <f ca="1">IF(ISERROR(XIRR(INDIRECT(BJ562):BK559,INDIRECT(BJ561):BJ559,-20%)),XIRR(INDIRECT(BJ562):BK559,INDIRECT(BJ561):BJ559,20%),"N/A")</f>
        <v>#NUM!</v>
      </c>
      <c r="BS560" s="664"/>
      <c r="BV560" s="898">
        <f>IF(BW549&lt;&gt;0,ROW(BW549),IF(BW550&lt;&gt;0,ROW(BW550),IF(BW551&lt;&gt;0,ROW(BW551),IF(BW552&lt;&gt;0,ROW(BW552),IF(BW553&lt;&gt;0,ROW(BW553),IF(BW554&lt;&gt;0,ROW(BW554),IF(BW555&lt;&gt;0,ROW(BW555),IF(BW556&lt;&gt;0,ROW(BW556),IF(BW557&lt;&gt;0,ROW(BW557),IF(BW558&lt;&gt;0,ROW(BW558),0))))))))))</f>
        <v>551</v>
      </c>
      <c r="BW560" s="882" t="e">
        <f ca="1">IF(ISERROR(XIRR(INDIRECT(BV562):BW559,INDIRECT(BV561):BV559,-20%)),XIRR(INDIRECT(BV562):BW559,INDIRECT(BV561):BV559,20%),"N/A")</f>
        <v>#NUM!</v>
      </c>
      <c r="CE560" s="664"/>
      <c r="CH560" s="898">
        <f>IF(CI549&lt;&gt;0,ROW(CI549),IF(CI550&lt;&gt;0,ROW(CI550),IF(CI551&lt;&gt;0,ROW(CI551),IF(CI552&lt;&gt;0,ROW(CI552),IF(CI553&lt;&gt;0,ROW(CI553),IF(CI554&lt;&gt;0,ROW(CI554),IF(CI555&lt;&gt;0,ROW(CI555),IF(CI556&lt;&gt;0,ROW(CI556),IF(CI557&lt;&gt;0,ROW(CI557),IF(CI558&lt;&gt;0,ROW(CI558),0))))))))))</f>
        <v>551</v>
      </c>
      <c r="CI560" s="882" t="e">
        <f ca="1">IF(ISERROR(XIRR(INDIRECT(CH562):CI559,INDIRECT(CH561):CH559,-20%)),XIRR(INDIRECT(CH562):CI559,INDIRECT(CH561):CH559,20%),"N/A")</f>
        <v>#NUM!</v>
      </c>
      <c r="CQ560" s="664"/>
      <c r="CT560" s="898">
        <f>IF(CU549&lt;&gt;0,ROW(CU549),IF(CU550&lt;&gt;0,ROW(CU550),IF(CU551&lt;&gt;0,ROW(CU551),IF(CU552&lt;&gt;0,ROW(CU552),IF(CU553&lt;&gt;0,ROW(CU553),IF(CU554&lt;&gt;0,ROW(CU554),IF(CU555&lt;&gt;0,ROW(CU555),IF(CU556&lt;&gt;0,ROW(CU556),IF(CU557&lt;&gt;0,ROW(CU557),IF(CU558&lt;&gt;0,ROW(CU558),0))))))))))</f>
        <v>551</v>
      </c>
      <c r="CU560" s="882" t="e">
        <f ca="1">IF(ISERROR(XIRR(INDIRECT(CT562):CU559,INDIRECT(CT561):CT559,-20%)),XIRR(INDIRECT(CT562):CU559,INDIRECT(CT561):CT559,20%),"N/A")</f>
        <v>#NUM!</v>
      </c>
      <c r="DC560" s="664"/>
      <c r="DF560" s="898">
        <f>IF(DG549&lt;&gt;0,ROW(DG549),IF(DG550&lt;&gt;0,ROW(DG550),IF(DG551&lt;&gt;0,ROW(DG551),IF(DG552&lt;&gt;0,ROW(DG552),IF(DG553&lt;&gt;0,ROW(DG553),IF(DG554&lt;&gt;0,ROW(DG554),IF(DG555&lt;&gt;0,ROW(DG555),IF(DG556&lt;&gt;0,ROW(DG556),IF(DG557&lt;&gt;0,ROW(DG557),IF(DG558&lt;&gt;0,ROW(DG558),0))))))))))</f>
        <v>551</v>
      </c>
      <c r="DG560" s="882" t="e">
        <f ca="1">IF(ISERROR(XIRR(INDIRECT(DF562):DG559,INDIRECT(DF561):DF559,-20%)),XIRR(INDIRECT(DF562):DG559,INDIRECT(DF561):DF559,20%),"N/A")</f>
        <v>#NUM!</v>
      </c>
      <c r="DO560" s="664"/>
    </row>
    <row r="561" spans="2:119" hidden="1" x14ac:dyDescent="0.25">
      <c r="B561" s="899" t="str">
        <f>CONCATENATE(CHAR(64+COLUMN(B560)),B560)</f>
        <v>B551</v>
      </c>
      <c r="C561" s="897"/>
      <c r="K561" s="664"/>
      <c r="N561" s="899" t="str">
        <f>CONCATENATE(CHAR(64+COLUMN(N560)),N560)</f>
        <v>N551</v>
      </c>
      <c r="O561" s="897"/>
      <c r="U561" s="663"/>
      <c r="W561" s="664"/>
      <c r="Z561" s="899" t="str">
        <f>CONCATENATE(IF(COLUMN(Z560)&lt;=26,CHAR(96+COLUMN(Z560)),(CHAR(96+(ROUNDDOWN((COLUMN(Z560)-1)/26,0)))&amp;CHAR(96+IF(MOD(COLUMN(Z560),26)=0,26,MOD(COLUMN(Z560),26))))),Z560)</f>
        <v>z551</v>
      </c>
      <c r="AA561" s="897"/>
      <c r="AB561" s="663"/>
      <c r="AC561" s="663"/>
      <c r="AD561" s="663"/>
      <c r="AE561" s="663"/>
      <c r="AF561" s="663"/>
      <c r="AG561" s="663"/>
      <c r="AH561" s="663"/>
      <c r="AI561" s="664"/>
      <c r="AL561" s="899" t="str">
        <f>CONCATENATE(IF(COLUMN(AL560)&lt;=26,CHAR(96+COLUMN(AL560)),(CHAR(96+(ROUNDDOWN((COLUMN(AL560)-1)/26,0)))&amp;CHAR(96+IF(MOD(COLUMN(AL560),26)=0,26,MOD(COLUMN(AL560),26))))),AL560)</f>
        <v>al551</v>
      </c>
      <c r="AM561" s="897"/>
      <c r="AN561" s="663"/>
      <c r="AU561" s="664"/>
      <c r="AX561" s="899" t="str">
        <f>CONCATENATE(IF(COLUMN(AX560)&lt;=26,CHAR(96+COLUMN(AX560)),(CHAR(96+(ROUNDDOWN((COLUMN(AX560)-1)/26,0)))&amp;CHAR(96+IF(MOD(COLUMN(AX560),26)=0,26,MOD(COLUMN(AX560),26))))),AX560)</f>
        <v>ax551</v>
      </c>
      <c r="AY561" s="897"/>
      <c r="BG561" s="664"/>
      <c r="BJ561" s="899" t="str">
        <f>CONCATENATE(IF(COLUMN(BJ560)&lt;=26,CHAR(96+COLUMN(BJ560)),(CHAR(96+(ROUNDDOWN((COLUMN(BJ560)-1)/26,0)))&amp;CHAR(96+IF(MOD(COLUMN(BJ560),26)=0,26,MOD(COLUMN(BJ560),26))))),BJ560)</f>
        <v>bj551</v>
      </c>
      <c r="BK561" s="897"/>
      <c r="BS561" s="664"/>
      <c r="BV561" s="899" t="str">
        <f>CONCATENATE(IF(COLUMN(BV560)&lt;=26,CHAR(96+COLUMN(BV560)),(CHAR(96+(ROUNDDOWN((COLUMN(BV560)-1)/26,0)))&amp;CHAR(96+IF(MOD(COLUMN(BV560),26)=0,26,MOD(COLUMN(BV560),26))))),BV560)</f>
        <v>bv551</v>
      </c>
      <c r="BW561" s="897"/>
      <c r="CE561" s="664"/>
      <c r="CH561" s="899" t="str">
        <f>CONCATENATE(IF(COLUMN(CH560)&lt;=26,CHAR(96+COLUMN(CH560)),(CHAR(96+(ROUNDDOWN((COLUMN(CH560)-1)/26,0)))&amp;CHAR(96+IF(MOD(COLUMN(CH560),26)=0,26,MOD(COLUMN(CH560),26))))),CH560)</f>
        <v>ch551</v>
      </c>
      <c r="CI561" s="897"/>
      <c r="CQ561" s="664"/>
      <c r="CT561" s="899" t="str">
        <f>CONCATENATE(IF(COLUMN(CT560)&lt;=26,CHAR(96+COLUMN(CT560)),(CHAR(96+(ROUNDDOWN((COLUMN(CT560)-1)/26,0)))&amp;CHAR(96+IF(MOD(COLUMN(CT560),26)=0,26,MOD(COLUMN(CT560),26))))),CT560)</f>
        <v>ct551</v>
      </c>
      <c r="CU561" s="897"/>
      <c r="DC561" s="664"/>
      <c r="DF561" s="899" t="str">
        <f>CONCATENATE(IF(COLUMN(DF560)&lt;=26,CHAR(96+COLUMN(DF560)),(CHAR(96+(ROUNDDOWN((COLUMN(DF560)-1)/26,0)))&amp;CHAR(96+IF(MOD(COLUMN(DF560),26)=0,26,MOD(COLUMN(DF560),26))))),DF560)</f>
        <v>df551</v>
      </c>
      <c r="DG561" s="897"/>
      <c r="DO561" s="664"/>
    </row>
    <row r="562" spans="2:119" hidden="1" x14ac:dyDescent="0.25">
      <c r="B562" s="899" t="str">
        <f>CONCATENATE(CHAR(64+COLUMN(C560)),B560)</f>
        <v>C551</v>
      </c>
      <c r="C562" s="897"/>
      <c r="K562" s="664"/>
      <c r="N562" s="899" t="str">
        <f>CONCATENATE(CHAR(64+COLUMN(O560)),N560)</f>
        <v>O551</v>
      </c>
      <c r="O562" s="897"/>
      <c r="U562" s="663"/>
      <c r="W562" s="664"/>
      <c r="Z562" s="899" t="str">
        <f>CONCATENATE(IF(COLUMN(AA560)&lt;=26,CHAR(96+COLUMN(AA560)),(CHAR(96+(ROUNDDOWN((COLUMN(AA560)-1)/26,0)))&amp;CHAR(96+IF(MOD(COLUMN(AA560),26)=0,26,MOD(COLUMN(AA560),26))))),Z560)</f>
        <v>aa551</v>
      </c>
      <c r="AA562" s="897"/>
      <c r="AB562" s="663"/>
      <c r="AC562" s="663"/>
      <c r="AD562" s="663"/>
      <c r="AE562" s="663"/>
      <c r="AF562" s="663"/>
      <c r="AG562" s="663"/>
      <c r="AH562" s="663"/>
      <c r="AI562" s="664"/>
      <c r="AL562" s="899" t="str">
        <f>CONCATENATE(IF(COLUMN(AM560)&lt;=26,CHAR(96+COLUMN(AM560)),(CHAR(96+(ROUNDDOWN((COLUMN(AM560)-1)/26,0)))&amp;CHAR(96+IF(MOD(COLUMN(AM560),26)=0,26,MOD(COLUMN(AM560),26))))),AL560)</f>
        <v>am551</v>
      </c>
      <c r="AM562" s="897"/>
      <c r="AN562" s="663"/>
      <c r="AU562" s="664"/>
      <c r="AX562" s="899" t="str">
        <f>CONCATENATE(IF(COLUMN(AY560)&lt;=26,CHAR(96+COLUMN(AY560)),(CHAR(96+(ROUNDDOWN((COLUMN(AY560)-1)/26,0)))&amp;CHAR(96+IF(MOD(COLUMN(AY560),26)=0,26,MOD(COLUMN(AY560),26))))),AX560)</f>
        <v>ay551</v>
      </c>
      <c r="AY562" s="897"/>
      <c r="BG562" s="664"/>
      <c r="BJ562" s="899" t="str">
        <f>CONCATENATE(IF(COLUMN(BK560)&lt;=26,CHAR(96+COLUMN(BK560)),(CHAR(96+(ROUNDDOWN((COLUMN(BK560)-1)/26,0)))&amp;CHAR(96+IF(MOD(COLUMN(BK560),26)=0,26,MOD(COLUMN(BK560),26))))),BJ560)</f>
        <v>bk551</v>
      </c>
      <c r="BK562" s="897"/>
      <c r="BS562" s="664"/>
      <c r="BV562" s="899" t="str">
        <f>CONCATENATE(IF(COLUMN(BW560)&lt;=26,CHAR(96+COLUMN(BW560)),(CHAR(96+(ROUNDDOWN((COLUMN(BW560)-1)/26,0)))&amp;CHAR(96+IF(MOD(COLUMN(BW560),26)=0,26,MOD(COLUMN(BW560),26))))),BV560)</f>
        <v>bw551</v>
      </c>
      <c r="BW562" s="897"/>
      <c r="CE562" s="664"/>
      <c r="CH562" s="899" t="str">
        <f>CONCATENATE(IF(COLUMN(CI560)&lt;=26,CHAR(96+COLUMN(CI560)),(CHAR(96+(ROUNDDOWN((COLUMN(CI560)-1)/26,0)))&amp;CHAR(96+IF(MOD(COLUMN(CI560),26)=0,26,MOD(COLUMN(CI560),26))))),CH560)</f>
        <v>ci551</v>
      </c>
      <c r="CI562" s="897"/>
      <c r="CQ562" s="664"/>
      <c r="CT562" s="899" t="str">
        <f>CONCATENATE(IF(COLUMN(CU560)&lt;=26,CHAR(96+COLUMN(CU560)),(CHAR(96+(ROUNDDOWN((COLUMN(CU560)-1)/26,0)))&amp;CHAR(96+IF(MOD(COLUMN(CU560),26)=0,26,MOD(COLUMN(CU560),26))))),CT560)</f>
        <v>cu551</v>
      </c>
      <c r="CU562" s="897"/>
      <c r="DC562" s="664"/>
      <c r="DF562" s="899" t="str">
        <f>CONCATENATE(IF(COLUMN(DG560)&lt;=26,CHAR(96+COLUMN(DG560)),(CHAR(96+(ROUNDDOWN((COLUMN(DG560)-1)/26,0)))&amp;CHAR(96+IF(MOD(COLUMN(DG560),26)=0,26,MOD(COLUMN(DG560),26))))),DF560)</f>
        <v>dg551</v>
      </c>
      <c r="DG562" s="897"/>
      <c r="DO562" s="664"/>
    </row>
    <row r="563" spans="2:119" hidden="1" x14ac:dyDescent="0.25">
      <c r="B563" s="668"/>
      <c r="C563" s="895"/>
      <c r="K563" s="664"/>
      <c r="N563" s="668"/>
      <c r="O563" s="895"/>
      <c r="U563" s="663"/>
      <c r="W563" s="664"/>
      <c r="Z563" s="668"/>
      <c r="AA563" s="895"/>
      <c r="AB563" s="663"/>
      <c r="AC563" s="663"/>
      <c r="AD563" s="663"/>
      <c r="AE563" s="663"/>
      <c r="AF563" s="663"/>
      <c r="AG563" s="663"/>
      <c r="AH563" s="663"/>
      <c r="AI563" s="664"/>
      <c r="AL563" s="668"/>
      <c r="AM563" s="895"/>
      <c r="AN563" s="663"/>
      <c r="AU563" s="664"/>
      <c r="AX563" s="668"/>
      <c r="AY563" s="895"/>
      <c r="BG563" s="664"/>
      <c r="BJ563" s="668"/>
      <c r="BK563" s="895"/>
      <c r="BS563" s="664"/>
      <c r="BV563" s="668"/>
      <c r="BW563" s="895"/>
      <c r="CE563" s="664"/>
      <c r="CH563" s="668"/>
      <c r="CI563" s="895"/>
      <c r="CQ563" s="664"/>
      <c r="CT563" s="668"/>
      <c r="CU563" s="895"/>
      <c r="DC563" s="664"/>
      <c r="DF563" s="668"/>
      <c r="DG563" s="895"/>
      <c r="DO563" s="664"/>
    </row>
    <row r="564" spans="2:119" hidden="1" x14ac:dyDescent="0.25">
      <c r="B564" s="896">
        <f>B549</f>
        <v>39113</v>
      </c>
      <c r="C564" s="897">
        <f>C549</f>
        <v>0</v>
      </c>
      <c r="K564" s="664"/>
      <c r="N564" s="896">
        <f>N549</f>
        <v>39113</v>
      </c>
      <c r="O564" s="897">
        <f>O549</f>
        <v>0</v>
      </c>
      <c r="U564" s="663"/>
      <c r="W564" s="664"/>
      <c r="Z564" s="896">
        <f>Z549</f>
        <v>39113</v>
      </c>
      <c r="AA564" s="897">
        <f>AA549</f>
        <v>0</v>
      </c>
      <c r="AB564" s="663"/>
      <c r="AC564" s="663"/>
      <c r="AD564" s="663"/>
      <c r="AE564" s="663"/>
      <c r="AF564" s="663"/>
      <c r="AG564" s="663"/>
      <c r="AH564" s="663"/>
      <c r="AI564" s="664"/>
      <c r="AL564" s="896">
        <f>AL549</f>
        <v>39113</v>
      </c>
      <c r="AM564" s="897">
        <f>AM549</f>
        <v>0</v>
      </c>
      <c r="AN564" s="663"/>
      <c r="AU564" s="664"/>
      <c r="AX564" s="896">
        <f>AX549</f>
        <v>39113</v>
      </c>
      <c r="AY564" s="897">
        <f>AY549</f>
        <v>0</v>
      </c>
      <c r="BG564" s="664"/>
      <c r="BJ564" s="896">
        <f>BJ549</f>
        <v>39113</v>
      </c>
      <c r="BK564" s="897">
        <f>BK549</f>
        <v>0</v>
      </c>
      <c r="BS564" s="664"/>
      <c r="BV564" s="896">
        <f>BV549</f>
        <v>39113</v>
      </c>
      <c r="BW564" s="897">
        <f>BW549</f>
        <v>0</v>
      </c>
      <c r="CE564" s="664"/>
      <c r="CH564" s="896">
        <f>CH549</f>
        <v>39113</v>
      </c>
      <c r="CI564" s="897">
        <f>CI549</f>
        <v>0</v>
      </c>
      <c r="CQ564" s="664"/>
      <c r="CT564" s="896">
        <f>CT549</f>
        <v>39113</v>
      </c>
      <c r="CU564" s="897">
        <f>CU549</f>
        <v>0</v>
      </c>
      <c r="DC564" s="664"/>
      <c r="DF564" s="896">
        <f>DF549</f>
        <v>39113</v>
      </c>
      <c r="DG564" s="897">
        <f>DG549</f>
        <v>0</v>
      </c>
      <c r="DO564" s="664"/>
    </row>
    <row r="565" spans="2:119" hidden="1" x14ac:dyDescent="0.25">
      <c r="B565" s="896">
        <f t="shared" ref="B565:C565" si="1421">B550</f>
        <v>39478</v>
      </c>
      <c r="C565" s="897">
        <f t="shared" si="1421"/>
        <v>0</v>
      </c>
      <c r="K565" s="664"/>
      <c r="N565" s="896">
        <f t="shared" ref="N565:O565" si="1422">N550</f>
        <v>39478</v>
      </c>
      <c r="O565" s="897">
        <f t="shared" si="1422"/>
        <v>0</v>
      </c>
      <c r="U565" s="663"/>
      <c r="W565" s="664"/>
      <c r="Z565" s="896">
        <f t="shared" ref="Z565:AA565" si="1423">Z550</f>
        <v>39478</v>
      </c>
      <c r="AA565" s="897">
        <f t="shared" si="1423"/>
        <v>0</v>
      </c>
      <c r="AB565" s="663"/>
      <c r="AC565" s="663"/>
      <c r="AD565" s="663"/>
      <c r="AE565" s="663"/>
      <c r="AF565" s="663"/>
      <c r="AG565" s="663"/>
      <c r="AH565" s="663"/>
      <c r="AI565" s="664"/>
      <c r="AL565" s="896">
        <f t="shared" ref="AL565:AM565" si="1424">AL550</f>
        <v>39478</v>
      </c>
      <c r="AM565" s="897">
        <f t="shared" si="1424"/>
        <v>0</v>
      </c>
      <c r="AN565" s="663"/>
      <c r="AU565" s="664"/>
      <c r="AX565" s="896">
        <f t="shared" ref="AX565:AY565" si="1425">AX550</f>
        <v>39478</v>
      </c>
      <c r="AY565" s="897">
        <f t="shared" si="1425"/>
        <v>0</v>
      </c>
      <c r="BG565" s="664"/>
      <c r="BJ565" s="896">
        <f t="shared" ref="BJ565:BK565" si="1426">BJ550</f>
        <v>39478</v>
      </c>
      <c r="BK565" s="897">
        <f t="shared" si="1426"/>
        <v>0</v>
      </c>
      <c r="BS565" s="664"/>
      <c r="BV565" s="896">
        <f t="shared" ref="BV565:BW565" si="1427">BV550</f>
        <v>39478</v>
      </c>
      <c r="BW565" s="897">
        <f t="shared" si="1427"/>
        <v>0</v>
      </c>
      <c r="CE565" s="664"/>
      <c r="CH565" s="896">
        <f t="shared" ref="CH565:CI565" si="1428">CH550</f>
        <v>39478</v>
      </c>
      <c r="CI565" s="897">
        <f t="shared" si="1428"/>
        <v>0</v>
      </c>
      <c r="CQ565" s="664"/>
      <c r="CT565" s="896">
        <f t="shared" ref="CT565:CU565" si="1429">CT550</f>
        <v>39478</v>
      </c>
      <c r="CU565" s="897">
        <f t="shared" si="1429"/>
        <v>0</v>
      </c>
      <c r="DC565" s="664"/>
      <c r="DF565" s="896">
        <f t="shared" ref="DF565:DG565" si="1430">DF550</f>
        <v>39478</v>
      </c>
      <c r="DG565" s="897">
        <f t="shared" si="1430"/>
        <v>0</v>
      </c>
      <c r="DO565" s="664"/>
    </row>
    <row r="566" spans="2:119" hidden="1" x14ac:dyDescent="0.25">
      <c r="B566" s="896">
        <f t="shared" ref="B566:C566" si="1431">B551</f>
        <v>39843</v>
      </c>
      <c r="C566" s="897">
        <f t="shared" si="1431"/>
        <v>-2500000</v>
      </c>
      <c r="K566" s="664"/>
      <c r="N566" s="896">
        <f t="shared" ref="N566:O566" si="1432">N551</f>
        <v>39843</v>
      </c>
      <c r="O566" s="897">
        <f t="shared" si="1432"/>
        <v>-2500000</v>
      </c>
      <c r="U566" s="663"/>
      <c r="W566" s="664"/>
      <c r="Z566" s="896">
        <f t="shared" ref="Z566:AA566" si="1433">Z551</f>
        <v>39843</v>
      </c>
      <c r="AA566" s="897">
        <f t="shared" si="1433"/>
        <v>-2500000</v>
      </c>
      <c r="AB566" s="663"/>
      <c r="AC566" s="663"/>
      <c r="AD566" s="663"/>
      <c r="AE566" s="663"/>
      <c r="AF566" s="663"/>
      <c r="AG566" s="663"/>
      <c r="AH566" s="663"/>
      <c r="AI566" s="664"/>
      <c r="AL566" s="896">
        <f t="shared" ref="AL566:AM566" si="1434">AL551</f>
        <v>39843</v>
      </c>
      <c r="AM566" s="897">
        <f t="shared" si="1434"/>
        <v>-2500000</v>
      </c>
      <c r="AN566" s="663"/>
      <c r="AU566" s="664"/>
      <c r="AX566" s="896">
        <f t="shared" ref="AX566:AY566" si="1435">AX551</f>
        <v>39843</v>
      </c>
      <c r="AY566" s="897">
        <f t="shared" si="1435"/>
        <v>-2500000</v>
      </c>
      <c r="BG566" s="664"/>
      <c r="BJ566" s="896">
        <f t="shared" ref="BJ566:BK566" si="1436">BJ551</f>
        <v>39843</v>
      </c>
      <c r="BK566" s="897">
        <f t="shared" si="1436"/>
        <v>-2500000</v>
      </c>
      <c r="BS566" s="664"/>
      <c r="BV566" s="896">
        <f t="shared" ref="BV566:BW566" si="1437">BV551</f>
        <v>39843</v>
      </c>
      <c r="BW566" s="897">
        <f t="shared" si="1437"/>
        <v>-2500000</v>
      </c>
      <c r="CE566" s="664"/>
      <c r="CH566" s="896">
        <f t="shared" ref="CH566:CI566" si="1438">CH551</f>
        <v>39843</v>
      </c>
      <c r="CI566" s="897">
        <f t="shared" si="1438"/>
        <v>-2500000</v>
      </c>
      <c r="CQ566" s="664"/>
      <c r="CT566" s="896">
        <f t="shared" ref="CT566:CU566" si="1439">CT551</f>
        <v>39843</v>
      </c>
      <c r="CU566" s="897">
        <f t="shared" si="1439"/>
        <v>-2500000</v>
      </c>
      <c r="DC566" s="664"/>
      <c r="DF566" s="896">
        <f t="shared" ref="DF566:DG566" si="1440">DF551</f>
        <v>39843</v>
      </c>
      <c r="DG566" s="897">
        <f t="shared" si="1440"/>
        <v>-2500000</v>
      </c>
      <c r="DO566" s="664"/>
    </row>
    <row r="567" spans="2:119" hidden="1" x14ac:dyDescent="0.25">
      <c r="B567" s="896">
        <f t="shared" ref="B567:C567" si="1441">B552</f>
        <v>39843</v>
      </c>
      <c r="C567" s="897">
        <f t="shared" si="1441"/>
        <v>-6666666.666666667</v>
      </c>
      <c r="K567" s="664"/>
      <c r="N567" s="896">
        <f t="shared" ref="N567:O567" si="1442">N552</f>
        <v>39843</v>
      </c>
      <c r="O567" s="897">
        <f t="shared" si="1442"/>
        <v>-6666666.666666667</v>
      </c>
      <c r="U567" s="663"/>
      <c r="W567" s="664"/>
      <c r="Z567" s="896">
        <f t="shared" ref="Z567:AA567" si="1443">Z552</f>
        <v>39843</v>
      </c>
      <c r="AA567" s="897">
        <f t="shared" si="1443"/>
        <v>-6666666.666666667</v>
      </c>
      <c r="AB567" s="663"/>
      <c r="AC567" s="663"/>
      <c r="AD567" s="663"/>
      <c r="AE567" s="663"/>
      <c r="AF567" s="663"/>
      <c r="AG567" s="663"/>
      <c r="AH567" s="663"/>
      <c r="AI567" s="664"/>
      <c r="AL567" s="896">
        <f t="shared" ref="AL567:AM567" si="1444">AL552</f>
        <v>39843</v>
      </c>
      <c r="AM567" s="897">
        <f t="shared" si="1444"/>
        <v>-6666666.666666667</v>
      </c>
      <c r="AN567" s="663"/>
      <c r="AU567" s="664"/>
      <c r="AX567" s="896">
        <f t="shared" ref="AX567:AY567" si="1445">AX552</f>
        <v>39843</v>
      </c>
      <c r="AY567" s="897">
        <f t="shared" si="1445"/>
        <v>-6666666.666666667</v>
      </c>
      <c r="BG567" s="664"/>
      <c r="BJ567" s="896">
        <f t="shared" ref="BJ567:BK567" si="1446">BJ552</f>
        <v>39843</v>
      </c>
      <c r="BK567" s="897">
        <f t="shared" si="1446"/>
        <v>-6666666.666666667</v>
      </c>
      <c r="BS567" s="664"/>
      <c r="BV567" s="896">
        <f t="shared" ref="BV567:BW567" si="1447">BV552</f>
        <v>39843</v>
      </c>
      <c r="BW567" s="897">
        <f t="shared" si="1447"/>
        <v>-6666666.666666667</v>
      </c>
      <c r="CE567" s="664"/>
      <c r="CH567" s="896">
        <f t="shared" ref="CH567:CI567" si="1448">CH552</f>
        <v>39843</v>
      </c>
      <c r="CI567" s="897">
        <f t="shared" si="1448"/>
        <v>-6666666.666666667</v>
      </c>
      <c r="CQ567" s="664"/>
      <c r="CT567" s="896">
        <f t="shared" ref="CT567:CU567" si="1449">CT552</f>
        <v>39843</v>
      </c>
      <c r="CU567" s="897">
        <f t="shared" si="1449"/>
        <v>-6666666.666666667</v>
      </c>
      <c r="DC567" s="664"/>
      <c r="DF567" s="896">
        <f t="shared" ref="DF567:DG567" si="1450">DF552</f>
        <v>39843</v>
      </c>
      <c r="DG567" s="897">
        <f t="shared" si="1450"/>
        <v>-6666666.666666667</v>
      </c>
      <c r="DO567" s="664"/>
    </row>
    <row r="568" spans="2:119" hidden="1" x14ac:dyDescent="0.25">
      <c r="B568" s="896">
        <f t="shared" ref="B568:C568" si="1451">B553</f>
        <v>39843</v>
      </c>
      <c r="C568" s="897">
        <f t="shared" si="1451"/>
        <v>0</v>
      </c>
      <c r="K568" s="664"/>
      <c r="N568" s="896">
        <f t="shared" ref="N568:O568" si="1452">N553</f>
        <v>39843</v>
      </c>
      <c r="O568" s="897">
        <f t="shared" si="1452"/>
        <v>0</v>
      </c>
      <c r="U568" s="663"/>
      <c r="W568" s="664"/>
      <c r="Z568" s="896">
        <f t="shared" ref="Z568:AA568" si="1453">Z553</f>
        <v>39843</v>
      </c>
      <c r="AA568" s="897">
        <f t="shared" si="1453"/>
        <v>0</v>
      </c>
      <c r="AB568" s="663"/>
      <c r="AC568" s="663"/>
      <c r="AD568" s="663"/>
      <c r="AE568" s="663"/>
      <c r="AF568" s="663"/>
      <c r="AG568" s="663"/>
      <c r="AH568" s="663"/>
      <c r="AI568" s="664"/>
      <c r="AL568" s="896">
        <f t="shared" ref="AL568:AM568" si="1454">AL553</f>
        <v>39843</v>
      </c>
      <c r="AM568" s="897">
        <f t="shared" si="1454"/>
        <v>0</v>
      </c>
      <c r="AN568" s="663"/>
      <c r="AU568" s="664"/>
      <c r="AX568" s="896">
        <f t="shared" ref="AX568:AY568" si="1455">AX553</f>
        <v>39843</v>
      </c>
      <c r="AY568" s="897">
        <f t="shared" si="1455"/>
        <v>0</v>
      </c>
      <c r="BG568" s="664"/>
      <c r="BJ568" s="896">
        <f t="shared" ref="BJ568:BK568" si="1456">BJ553</f>
        <v>39843</v>
      </c>
      <c r="BK568" s="897">
        <f t="shared" si="1456"/>
        <v>0</v>
      </c>
      <c r="BS568" s="664"/>
      <c r="BV568" s="896">
        <f t="shared" ref="BV568:BW568" si="1457">BV553</f>
        <v>39843</v>
      </c>
      <c r="BW568" s="897">
        <f t="shared" si="1457"/>
        <v>0</v>
      </c>
      <c r="CE568" s="664"/>
      <c r="CH568" s="896">
        <f t="shared" ref="CH568:CI568" si="1458">CH553</f>
        <v>39843</v>
      </c>
      <c r="CI568" s="897">
        <f t="shared" si="1458"/>
        <v>0</v>
      </c>
      <c r="CQ568" s="664"/>
      <c r="CT568" s="896">
        <f t="shared" ref="CT568:CU568" si="1459">CT553</f>
        <v>39843</v>
      </c>
      <c r="CU568" s="897">
        <f t="shared" si="1459"/>
        <v>0</v>
      </c>
      <c r="DC568" s="664"/>
      <c r="DF568" s="896">
        <f t="shared" ref="DF568:DG568" si="1460">DF553</f>
        <v>39843</v>
      </c>
      <c r="DG568" s="897">
        <f t="shared" si="1460"/>
        <v>0</v>
      </c>
      <c r="DO568" s="664"/>
    </row>
    <row r="569" spans="2:119" hidden="1" x14ac:dyDescent="0.25">
      <c r="B569" s="896">
        <f t="shared" ref="B569:C569" si="1461">B554</f>
        <v>39843</v>
      </c>
      <c r="C569" s="897">
        <f t="shared" si="1461"/>
        <v>0</v>
      </c>
      <c r="K569" s="664"/>
      <c r="N569" s="896">
        <f t="shared" ref="N569:O569" si="1462">N554</f>
        <v>39843</v>
      </c>
      <c r="O569" s="897">
        <f t="shared" si="1462"/>
        <v>0</v>
      </c>
      <c r="U569" s="663"/>
      <c r="W569" s="664"/>
      <c r="Z569" s="896">
        <f t="shared" ref="Z569:AA569" si="1463">Z554</f>
        <v>39843</v>
      </c>
      <c r="AA569" s="897">
        <f t="shared" si="1463"/>
        <v>0</v>
      </c>
      <c r="AB569" s="663"/>
      <c r="AC569" s="663"/>
      <c r="AD569" s="663"/>
      <c r="AE569" s="663"/>
      <c r="AF569" s="663"/>
      <c r="AG569" s="663"/>
      <c r="AH569" s="663"/>
      <c r="AI569" s="664"/>
      <c r="AL569" s="896">
        <f t="shared" ref="AL569:AM569" si="1464">AL554</f>
        <v>39843</v>
      </c>
      <c r="AM569" s="897">
        <f t="shared" si="1464"/>
        <v>0</v>
      </c>
      <c r="AN569" s="663"/>
      <c r="AU569" s="664"/>
      <c r="AX569" s="896">
        <f t="shared" ref="AX569:AY569" si="1465">AX554</f>
        <v>39843</v>
      </c>
      <c r="AY569" s="897">
        <f t="shared" si="1465"/>
        <v>0</v>
      </c>
      <c r="BG569" s="664"/>
      <c r="BJ569" s="896">
        <f t="shared" ref="BJ569:BK569" si="1466">BJ554</f>
        <v>39843</v>
      </c>
      <c r="BK569" s="897">
        <f t="shared" si="1466"/>
        <v>0</v>
      </c>
      <c r="BS569" s="664"/>
      <c r="BV569" s="896">
        <f t="shared" ref="BV569:BW569" si="1467">BV554</f>
        <v>39843</v>
      </c>
      <c r="BW569" s="897">
        <f t="shared" si="1467"/>
        <v>0</v>
      </c>
      <c r="CE569" s="664"/>
      <c r="CH569" s="896">
        <f t="shared" ref="CH569:CI569" si="1468">CH554</f>
        <v>39843</v>
      </c>
      <c r="CI569" s="897">
        <f t="shared" si="1468"/>
        <v>0</v>
      </c>
      <c r="CQ569" s="664"/>
      <c r="CT569" s="896">
        <f t="shared" ref="CT569:CU569" si="1469">CT554</f>
        <v>39843</v>
      </c>
      <c r="CU569" s="897">
        <f t="shared" si="1469"/>
        <v>0</v>
      </c>
      <c r="DC569" s="664"/>
      <c r="DF569" s="896">
        <f t="shared" ref="DF569:DG569" si="1470">DF554</f>
        <v>39843</v>
      </c>
      <c r="DG569" s="897">
        <f t="shared" si="1470"/>
        <v>0</v>
      </c>
      <c r="DO569" s="664"/>
    </row>
    <row r="570" spans="2:119" hidden="1" x14ac:dyDescent="0.25">
      <c r="B570" s="896">
        <f t="shared" ref="B570:C570" si="1471">B555</f>
        <v>39843</v>
      </c>
      <c r="C570" s="897">
        <f t="shared" si="1471"/>
        <v>0</v>
      </c>
      <c r="K570" s="664"/>
      <c r="N570" s="896">
        <f t="shared" ref="N570:O570" si="1472">N555</f>
        <v>39843</v>
      </c>
      <c r="O570" s="897">
        <f t="shared" si="1472"/>
        <v>0</v>
      </c>
      <c r="U570" s="663"/>
      <c r="W570" s="664"/>
      <c r="Z570" s="896">
        <f t="shared" ref="Z570:AA570" si="1473">Z555</f>
        <v>39843</v>
      </c>
      <c r="AA570" s="897">
        <f t="shared" si="1473"/>
        <v>0</v>
      </c>
      <c r="AB570" s="663"/>
      <c r="AC570" s="663"/>
      <c r="AD570" s="663"/>
      <c r="AE570" s="663"/>
      <c r="AF570" s="663"/>
      <c r="AG570" s="663"/>
      <c r="AH570" s="663"/>
      <c r="AI570" s="664"/>
      <c r="AL570" s="896">
        <f t="shared" ref="AL570:AM570" si="1474">AL555</f>
        <v>39843</v>
      </c>
      <c r="AM570" s="897">
        <f t="shared" si="1474"/>
        <v>0</v>
      </c>
      <c r="AN570" s="663"/>
      <c r="AU570" s="664"/>
      <c r="AX570" s="896">
        <f t="shared" ref="AX570:AY570" si="1475">AX555</f>
        <v>39843</v>
      </c>
      <c r="AY570" s="897">
        <f t="shared" si="1475"/>
        <v>0</v>
      </c>
      <c r="BG570" s="664"/>
      <c r="BJ570" s="896">
        <f t="shared" ref="BJ570:BK570" si="1476">BJ555</f>
        <v>39843</v>
      </c>
      <c r="BK570" s="897">
        <f t="shared" si="1476"/>
        <v>0</v>
      </c>
      <c r="BS570" s="664"/>
      <c r="BV570" s="896">
        <f t="shared" ref="BV570:BW570" si="1477">BV555</f>
        <v>39843</v>
      </c>
      <c r="BW570" s="897">
        <f t="shared" si="1477"/>
        <v>0</v>
      </c>
      <c r="CE570" s="664"/>
      <c r="CH570" s="896">
        <f t="shared" ref="CH570:CI570" si="1478">CH555</f>
        <v>39843</v>
      </c>
      <c r="CI570" s="897">
        <f t="shared" si="1478"/>
        <v>0</v>
      </c>
      <c r="CQ570" s="664"/>
      <c r="CT570" s="896">
        <f t="shared" ref="CT570:CU570" si="1479">CT555</f>
        <v>39843</v>
      </c>
      <c r="CU570" s="897">
        <f t="shared" si="1479"/>
        <v>0</v>
      </c>
      <c r="DC570" s="664"/>
      <c r="DF570" s="896">
        <f t="shared" ref="DF570:DG570" si="1480">DF555</f>
        <v>39843</v>
      </c>
      <c r="DG570" s="897">
        <f t="shared" si="1480"/>
        <v>0</v>
      </c>
      <c r="DO570" s="664"/>
    </row>
    <row r="571" spans="2:119" hidden="1" x14ac:dyDescent="0.25">
      <c r="B571" s="896">
        <f t="shared" ref="B571:C571" si="1481">B556</f>
        <v>39843</v>
      </c>
      <c r="C571" s="897">
        <f t="shared" si="1481"/>
        <v>0</v>
      </c>
      <c r="K571" s="664"/>
      <c r="N571" s="896">
        <f t="shared" ref="N571:O571" si="1482">N556</f>
        <v>39843</v>
      </c>
      <c r="O571" s="897">
        <f t="shared" si="1482"/>
        <v>0</v>
      </c>
      <c r="U571" s="663"/>
      <c r="W571" s="664"/>
      <c r="Z571" s="896">
        <f t="shared" ref="Z571:AA571" si="1483">Z556</f>
        <v>39843</v>
      </c>
      <c r="AA571" s="897">
        <f t="shared" si="1483"/>
        <v>0</v>
      </c>
      <c r="AB571" s="663"/>
      <c r="AC571" s="663"/>
      <c r="AD571" s="663"/>
      <c r="AE571" s="663"/>
      <c r="AF571" s="663"/>
      <c r="AG571" s="663"/>
      <c r="AH571" s="663"/>
      <c r="AI571" s="664"/>
      <c r="AL571" s="896">
        <f t="shared" ref="AL571:AM571" si="1484">AL556</f>
        <v>39843</v>
      </c>
      <c r="AM571" s="897">
        <f t="shared" si="1484"/>
        <v>0</v>
      </c>
      <c r="AN571" s="663"/>
      <c r="AU571" s="664"/>
      <c r="AX571" s="896">
        <f t="shared" ref="AX571:AY571" si="1485">AX556</f>
        <v>39843</v>
      </c>
      <c r="AY571" s="897">
        <f t="shared" si="1485"/>
        <v>0</v>
      </c>
      <c r="BG571" s="664"/>
      <c r="BJ571" s="896">
        <f t="shared" ref="BJ571:BK571" si="1486">BJ556</f>
        <v>39843</v>
      </c>
      <c r="BK571" s="897">
        <f t="shared" si="1486"/>
        <v>0</v>
      </c>
      <c r="BS571" s="664"/>
      <c r="BV571" s="896">
        <f t="shared" ref="BV571:BW571" si="1487">BV556</f>
        <v>39843</v>
      </c>
      <c r="BW571" s="897">
        <f t="shared" si="1487"/>
        <v>0</v>
      </c>
      <c r="CE571" s="664"/>
      <c r="CH571" s="896">
        <f t="shared" ref="CH571:CI571" si="1488">CH556</f>
        <v>39843</v>
      </c>
      <c r="CI571" s="897">
        <f t="shared" si="1488"/>
        <v>0</v>
      </c>
      <c r="CQ571" s="664"/>
      <c r="CT571" s="896">
        <f t="shared" ref="CT571:CU571" si="1489">CT556</f>
        <v>39843</v>
      </c>
      <c r="CU571" s="897">
        <f t="shared" si="1489"/>
        <v>0</v>
      </c>
      <c r="DC571" s="664"/>
      <c r="DF571" s="896">
        <f t="shared" ref="DF571:DG571" si="1490">DF556</f>
        <v>39843</v>
      </c>
      <c r="DG571" s="897">
        <f t="shared" si="1490"/>
        <v>0</v>
      </c>
      <c r="DO571" s="664"/>
    </row>
    <row r="572" spans="2:119" hidden="1" x14ac:dyDescent="0.25">
      <c r="B572" s="896">
        <f t="shared" ref="B572" si="1491">B557</f>
        <v>39843</v>
      </c>
      <c r="C572" s="897">
        <f>C557</f>
        <v>0</v>
      </c>
      <c r="K572" s="664"/>
      <c r="N572" s="896">
        <f t="shared" ref="N572" si="1492">N557</f>
        <v>39843</v>
      </c>
      <c r="O572" s="897">
        <f>O557</f>
        <v>0</v>
      </c>
      <c r="U572" s="663"/>
      <c r="W572" s="664"/>
      <c r="Z572" s="896">
        <f t="shared" ref="Z572" si="1493">Z557</f>
        <v>39843</v>
      </c>
      <c r="AA572" s="897">
        <f>AA557</f>
        <v>0</v>
      </c>
      <c r="AB572" s="663"/>
      <c r="AC572" s="663"/>
      <c r="AD572" s="663"/>
      <c r="AE572" s="663"/>
      <c r="AF572" s="663"/>
      <c r="AG572" s="663"/>
      <c r="AH572" s="663"/>
      <c r="AI572" s="664"/>
      <c r="AL572" s="896">
        <f t="shared" ref="AL572" si="1494">AL557</f>
        <v>39843</v>
      </c>
      <c r="AM572" s="897">
        <f>AM557</f>
        <v>0</v>
      </c>
      <c r="AN572" s="663"/>
      <c r="AU572" s="664"/>
      <c r="AX572" s="896">
        <f t="shared" ref="AX572" si="1495">AX557</f>
        <v>39843</v>
      </c>
      <c r="AY572" s="897">
        <f>AY557</f>
        <v>0</v>
      </c>
      <c r="BG572" s="664"/>
      <c r="BJ572" s="896">
        <f t="shared" ref="BJ572" si="1496">BJ557</f>
        <v>39843</v>
      </c>
      <c r="BK572" s="897">
        <f>BK557</f>
        <v>0</v>
      </c>
      <c r="BS572" s="664"/>
      <c r="BV572" s="896">
        <f t="shared" ref="BV572" si="1497">BV557</f>
        <v>39843</v>
      </c>
      <c r="BW572" s="897">
        <f>BW557</f>
        <v>0</v>
      </c>
      <c r="CE572" s="664"/>
      <c r="CH572" s="896">
        <f t="shared" ref="CH572" si="1498">CH557</f>
        <v>39843</v>
      </c>
      <c r="CI572" s="897">
        <f>CI557</f>
        <v>0</v>
      </c>
      <c r="CQ572" s="664"/>
      <c r="CT572" s="896">
        <f t="shared" ref="CT572" si="1499">CT557</f>
        <v>39843</v>
      </c>
      <c r="CU572" s="897">
        <f>CU557</f>
        <v>0</v>
      </c>
      <c r="DC572" s="664"/>
      <c r="DF572" s="896">
        <f t="shared" ref="DF572" si="1500">DF557</f>
        <v>39843</v>
      </c>
      <c r="DG572" s="897">
        <f>DG557</f>
        <v>0</v>
      </c>
      <c r="DO572" s="664"/>
    </row>
    <row r="573" spans="2:119" hidden="1" x14ac:dyDescent="0.25">
      <c r="B573" s="896">
        <f t="shared" ref="B573:C573" si="1501">B558</f>
        <v>39843</v>
      </c>
      <c r="C573" s="897">
        <f t="shared" si="1501"/>
        <v>0</v>
      </c>
      <c r="K573" s="664"/>
      <c r="N573" s="896">
        <f t="shared" ref="N573:O573" si="1502">N558</f>
        <v>39843</v>
      </c>
      <c r="O573" s="897">
        <f t="shared" si="1502"/>
        <v>0</v>
      </c>
      <c r="U573" s="663"/>
      <c r="W573" s="664"/>
      <c r="Z573" s="896">
        <f t="shared" ref="Z573:AA573" si="1503">Z558</f>
        <v>39843</v>
      </c>
      <c r="AA573" s="897">
        <f t="shared" si="1503"/>
        <v>0</v>
      </c>
      <c r="AB573" s="663"/>
      <c r="AC573" s="663"/>
      <c r="AD573" s="663"/>
      <c r="AE573" s="663"/>
      <c r="AF573" s="663"/>
      <c r="AG573" s="663"/>
      <c r="AH573" s="663"/>
      <c r="AI573" s="664"/>
      <c r="AL573" s="896">
        <f t="shared" ref="AL573:AM573" si="1504">AL558</f>
        <v>39843</v>
      </c>
      <c r="AM573" s="897">
        <f t="shared" si="1504"/>
        <v>0</v>
      </c>
      <c r="AN573" s="663"/>
      <c r="AU573" s="664"/>
      <c r="AX573" s="896">
        <f t="shared" ref="AX573:AY573" si="1505">AX558</f>
        <v>39843</v>
      </c>
      <c r="AY573" s="897">
        <f t="shared" si="1505"/>
        <v>0</v>
      </c>
      <c r="BG573" s="664"/>
      <c r="BJ573" s="896">
        <f t="shared" ref="BJ573:BK573" si="1506">BJ558</f>
        <v>39843</v>
      </c>
      <c r="BK573" s="897">
        <f t="shared" si="1506"/>
        <v>0</v>
      </c>
      <c r="BS573" s="664"/>
      <c r="BV573" s="896">
        <f t="shared" ref="BV573:BW573" si="1507">BV558</f>
        <v>39843</v>
      </c>
      <c r="BW573" s="897">
        <f t="shared" si="1507"/>
        <v>0</v>
      </c>
      <c r="CE573" s="664"/>
      <c r="CH573" s="896">
        <f t="shared" ref="CH573:CI573" si="1508">CH558</f>
        <v>39843</v>
      </c>
      <c r="CI573" s="897">
        <f t="shared" si="1508"/>
        <v>0</v>
      </c>
      <c r="CQ573" s="664"/>
      <c r="CT573" s="896">
        <f t="shared" ref="CT573:CU573" si="1509">CT558</f>
        <v>39843</v>
      </c>
      <c r="CU573" s="897">
        <f t="shared" si="1509"/>
        <v>0</v>
      </c>
      <c r="DC573" s="664"/>
      <c r="DF573" s="896">
        <f t="shared" ref="DF573:DG573" si="1510">DF558</f>
        <v>39843</v>
      </c>
      <c r="DG573" s="897">
        <f t="shared" si="1510"/>
        <v>0</v>
      </c>
      <c r="DO573" s="664"/>
    </row>
    <row r="574" spans="2:119" hidden="1" x14ac:dyDescent="0.25">
      <c r="B574" s="896">
        <f>B559+$C$56</f>
        <v>41179</v>
      </c>
      <c r="C574" s="897">
        <f ca="1">C559</f>
        <v>0</v>
      </c>
      <c r="K574" s="664"/>
      <c r="N574" s="896">
        <f>N559+$C$56</f>
        <v>41179</v>
      </c>
      <c r="O574" s="897">
        <f ca="1">O559</f>
        <v>0</v>
      </c>
      <c r="U574" s="663"/>
      <c r="W574" s="664"/>
      <c r="Z574" s="896">
        <f>Z559+$C$56</f>
        <v>41179</v>
      </c>
      <c r="AA574" s="897">
        <f ca="1">AA559</f>
        <v>0</v>
      </c>
      <c r="AB574" s="663"/>
      <c r="AC574" s="663"/>
      <c r="AD574" s="663"/>
      <c r="AE574" s="663"/>
      <c r="AF574" s="663"/>
      <c r="AG574" s="663"/>
      <c r="AH574" s="663"/>
      <c r="AI574" s="664"/>
      <c r="AL574" s="896">
        <f>AL559+$C$56</f>
        <v>41179</v>
      </c>
      <c r="AM574" s="897">
        <f ca="1">AM559</f>
        <v>0</v>
      </c>
      <c r="AN574" s="663"/>
      <c r="AU574" s="664"/>
      <c r="AX574" s="896">
        <f>AX559+$C$56</f>
        <v>41179</v>
      </c>
      <c r="AY574" s="897">
        <f ca="1">AY559</f>
        <v>0</v>
      </c>
      <c r="BG574" s="664"/>
      <c r="BJ574" s="896">
        <f>BJ559+$C$56</f>
        <v>41179</v>
      </c>
      <c r="BK574" s="897">
        <f ca="1">BK559</f>
        <v>0</v>
      </c>
      <c r="BS574" s="664"/>
      <c r="BV574" s="896">
        <f>BV559+$C$56</f>
        <v>41179</v>
      </c>
      <c r="BW574" s="897">
        <f ca="1">BW559</f>
        <v>0</v>
      </c>
      <c r="CE574" s="664"/>
      <c r="CH574" s="896">
        <f>CH559+$C$56</f>
        <v>41179</v>
      </c>
      <c r="CI574" s="897">
        <f ca="1">CI559</f>
        <v>0</v>
      </c>
      <c r="CQ574" s="664"/>
      <c r="CT574" s="896">
        <f>CT559+$C$56</f>
        <v>41179</v>
      </c>
      <c r="CU574" s="897">
        <f ca="1">CU559</f>
        <v>0</v>
      </c>
      <c r="DC574" s="664"/>
      <c r="DF574" s="896">
        <f>DF559+$C$56</f>
        <v>41179</v>
      </c>
      <c r="DG574" s="897">
        <f ca="1">DG559</f>
        <v>0</v>
      </c>
      <c r="DO574" s="664"/>
    </row>
    <row r="575" spans="2:119" hidden="1" x14ac:dyDescent="0.25">
      <c r="B575" s="898">
        <f>IF(C564&lt;&gt;0,ROW(C564),IF(C565&lt;&gt;0,ROW(C565),IF(C566&lt;&gt;0,ROW(C566),IF(C567&lt;&gt;0,ROW(C567),IF(C568&lt;&gt;0,ROW(C568),IF(C569&lt;&gt;0,ROW(C569),IF(C570&lt;&gt;0,ROW(C570),IF(C571&lt;&gt;0,ROW(C571),IF(C572&lt;&gt;0,ROW(C572),IF(C573&lt;&gt;0,ROW(C573)))))))))))</f>
        <v>566</v>
      </c>
      <c r="C575" s="882" t="e">
        <f ca="1">IF(ISERROR(XIRR(INDIRECT(B577):C574,INDIRECT(B576):B574,-20%)),XIRR(INDIRECT(B577):C574,INDIRECT(B576):B574,20%),"N/A")</f>
        <v>#NUM!</v>
      </c>
      <c r="K575" s="664"/>
      <c r="N575" s="898">
        <f>IF(O564&lt;&gt;0,ROW(O564),IF(O565&lt;&gt;0,ROW(O565),IF(O566&lt;&gt;0,ROW(O566),IF(O567&lt;&gt;0,ROW(O567),IF(O568&lt;&gt;0,ROW(O568),IF(O569&lt;&gt;0,ROW(O569),IF(O570&lt;&gt;0,ROW(O570),IF(O571&lt;&gt;0,ROW(O571),IF(O572&lt;&gt;0,ROW(O572),IF(O573&lt;&gt;0,ROW(O573)))))))))))</f>
        <v>566</v>
      </c>
      <c r="O575" s="882" t="e">
        <f ca="1">IF(ISERROR(XIRR(INDIRECT(N577):O574,INDIRECT(N576):N574,-20%)),XIRR(INDIRECT(N577):O574,INDIRECT(N576):N574,20%),"N/A")</f>
        <v>#NUM!</v>
      </c>
      <c r="U575" s="663"/>
      <c r="W575" s="664"/>
      <c r="Z575" s="898">
        <f>IF(AA564&lt;&gt;0,ROW(AA564),IF(AA565&lt;&gt;0,ROW(AA565),IF(AA566&lt;&gt;0,ROW(AA566),IF(AA567&lt;&gt;0,ROW(AA567),IF(AA568&lt;&gt;0,ROW(AA568),IF(AA569&lt;&gt;0,ROW(AA569),IF(AA570&lt;&gt;0,ROW(AA570),IF(AA571&lt;&gt;0,ROW(AA571),IF(AA572&lt;&gt;0,ROW(AA572),IF(AA573&lt;&gt;0,ROW(AA573)))))))))))</f>
        <v>566</v>
      </c>
      <c r="AA575" s="882" t="e">
        <f ca="1">IF(ISERROR(XIRR(INDIRECT(Z577):AA574,INDIRECT(Z576):Z574,-20%)),XIRR(INDIRECT(Z577):AA574,INDIRECT(Z576):Z574,20%),"N/A")</f>
        <v>#NUM!</v>
      </c>
      <c r="AB575" s="663"/>
      <c r="AC575" s="663"/>
      <c r="AD575" s="663"/>
      <c r="AE575" s="663"/>
      <c r="AF575" s="663"/>
      <c r="AG575" s="663"/>
      <c r="AH575" s="663"/>
      <c r="AI575" s="664"/>
      <c r="AL575" s="898">
        <f>IF(AM564&lt;&gt;0,ROW(AM564),IF(AM565&lt;&gt;0,ROW(AM565),IF(AM566&lt;&gt;0,ROW(AM566),IF(AM567&lt;&gt;0,ROW(AM567),IF(AM568&lt;&gt;0,ROW(AM568),IF(AM569&lt;&gt;0,ROW(AM569),IF(AM570&lt;&gt;0,ROW(AM570),IF(AM571&lt;&gt;0,ROW(AM571),IF(AM572&lt;&gt;0,ROW(AM572),IF(AM573&lt;&gt;0,ROW(AM573)))))))))))</f>
        <v>566</v>
      </c>
      <c r="AM575" s="882" t="e">
        <f ca="1">IF(ISERROR(XIRR(INDIRECT(AL577):AM574,INDIRECT(AL576):AL574,-20%)),XIRR(INDIRECT(AL577):AM574,INDIRECT(AL576):AL574,20%),"N/A")</f>
        <v>#NUM!</v>
      </c>
      <c r="AN575" s="663"/>
      <c r="AU575" s="664"/>
      <c r="AX575" s="898">
        <f>IF(AY564&lt;&gt;0,ROW(AY564),IF(AY565&lt;&gt;0,ROW(AY565),IF(AY566&lt;&gt;0,ROW(AY566),IF(AY567&lt;&gt;0,ROW(AY567),IF(AY568&lt;&gt;0,ROW(AY568),IF(AY569&lt;&gt;0,ROW(AY569),IF(AY570&lt;&gt;0,ROW(AY570),IF(AY571&lt;&gt;0,ROW(AY571),IF(AY572&lt;&gt;0,ROW(AY572),IF(AY573&lt;&gt;0,ROW(AY573)))))))))))</f>
        <v>566</v>
      </c>
      <c r="AY575" s="882" t="e">
        <f ca="1">IF(ISERROR(XIRR(INDIRECT(AX577):AY574,INDIRECT(AX576):AX574,-20%)),XIRR(INDIRECT(AX577):AY574,INDIRECT(AX576):AX574,20%),"N/A")</f>
        <v>#NUM!</v>
      </c>
      <c r="BG575" s="664"/>
      <c r="BJ575" s="898">
        <f>IF(BK564&lt;&gt;0,ROW(BK564),IF(BK565&lt;&gt;0,ROW(BK565),IF(BK566&lt;&gt;0,ROW(BK566),IF(BK567&lt;&gt;0,ROW(BK567),IF(BK568&lt;&gt;0,ROW(BK568),IF(BK569&lt;&gt;0,ROW(BK569),IF(BK570&lt;&gt;0,ROW(BK570),IF(BK571&lt;&gt;0,ROW(BK571),IF(BK572&lt;&gt;0,ROW(BK572),IF(BK573&lt;&gt;0,ROW(BK573)))))))))))</f>
        <v>566</v>
      </c>
      <c r="BK575" s="882" t="e">
        <f ca="1">IF(ISERROR(XIRR(INDIRECT(BJ577):BK574,INDIRECT(BJ576):BJ574,-20%)),XIRR(INDIRECT(BJ577):BK574,INDIRECT(BJ576):BJ574,20%),"N/A")</f>
        <v>#NUM!</v>
      </c>
      <c r="BS575" s="664"/>
      <c r="BV575" s="898">
        <f>IF(BW564&lt;&gt;0,ROW(BW564),IF(BW565&lt;&gt;0,ROW(BW565),IF(BW566&lt;&gt;0,ROW(BW566),IF(BW567&lt;&gt;0,ROW(BW567),IF(BW568&lt;&gt;0,ROW(BW568),IF(BW569&lt;&gt;0,ROW(BW569),IF(BW570&lt;&gt;0,ROW(BW570),IF(BW571&lt;&gt;0,ROW(BW571),IF(BW572&lt;&gt;0,ROW(BW572),IF(BW573&lt;&gt;0,ROW(BW573)))))))))))</f>
        <v>566</v>
      </c>
      <c r="BW575" s="882" t="e">
        <f ca="1">IF(ISERROR(XIRR(INDIRECT(BV577):BW574,INDIRECT(BV576):BV574,-20%)),XIRR(INDIRECT(BV577):BW574,INDIRECT(BV576):BV574,20%),"N/A")</f>
        <v>#NUM!</v>
      </c>
      <c r="CE575" s="664"/>
      <c r="CH575" s="898">
        <f>IF(CI564&lt;&gt;0,ROW(CI564),IF(CI565&lt;&gt;0,ROW(CI565),IF(CI566&lt;&gt;0,ROW(CI566),IF(CI567&lt;&gt;0,ROW(CI567),IF(CI568&lt;&gt;0,ROW(CI568),IF(CI569&lt;&gt;0,ROW(CI569),IF(CI570&lt;&gt;0,ROW(CI570),IF(CI571&lt;&gt;0,ROW(CI571),IF(CI572&lt;&gt;0,ROW(CI572),IF(CI573&lt;&gt;0,ROW(CI573)))))))))))</f>
        <v>566</v>
      </c>
      <c r="CI575" s="882" t="e">
        <f ca="1">IF(ISERROR(XIRR(INDIRECT(CH577):CI574,INDIRECT(CH576):CH574,-20%)),XIRR(INDIRECT(CH577):CI574,INDIRECT(CH576):CH574,20%),"N/A")</f>
        <v>#NUM!</v>
      </c>
      <c r="CQ575" s="664"/>
      <c r="CT575" s="898">
        <f>IF(CU564&lt;&gt;0,ROW(CU564),IF(CU565&lt;&gt;0,ROW(CU565),IF(CU566&lt;&gt;0,ROW(CU566),IF(CU567&lt;&gt;0,ROW(CU567),IF(CU568&lt;&gt;0,ROW(CU568),IF(CU569&lt;&gt;0,ROW(CU569),IF(CU570&lt;&gt;0,ROW(CU570),IF(CU571&lt;&gt;0,ROW(CU571),IF(CU572&lt;&gt;0,ROW(CU572),IF(CU573&lt;&gt;0,ROW(CU573)))))))))))</f>
        <v>566</v>
      </c>
      <c r="CU575" s="882" t="e">
        <f ca="1">IF(ISERROR(XIRR(INDIRECT(CT577):CU574,INDIRECT(CT576):CT574,-20%)),XIRR(INDIRECT(CT577):CU574,INDIRECT(CT576):CT574,20%),"N/A")</f>
        <v>#NUM!</v>
      </c>
      <c r="DC575" s="664"/>
      <c r="DF575" s="898">
        <f>IF(DG564&lt;&gt;0,ROW(DG564),IF(DG565&lt;&gt;0,ROW(DG565),IF(DG566&lt;&gt;0,ROW(DG566),IF(DG567&lt;&gt;0,ROW(DG567),IF(DG568&lt;&gt;0,ROW(DG568),IF(DG569&lt;&gt;0,ROW(DG569),IF(DG570&lt;&gt;0,ROW(DG570),IF(DG571&lt;&gt;0,ROW(DG571),IF(DG572&lt;&gt;0,ROW(DG572),IF(DG573&lt;&gt;0,ROW(DG573)))))))))))</f>
        <v>566</v>
      </c>
      <c r="DG575" s="882" t="e">
        <f ca="1">IF(ISERROR(XIRR(INDIRECT(DF577):DG574,INDIRECT(DF576):DF574,-20%)),XIRR(INDIRECT(DF577):DG574,INDIRECT(DF576):DF574,20%),"N/A")</f>
        <v>#NUM!</v>
      </c>
      <c r="DO575" s="664"/>
    </row>
    <row r="576" spans="2:119" hidden="1" x14ac:dyDescent="0.25">
      <c r="B576" s="899" t="str">
        <f>CONCATENATE(CHAR(64+COLUMN(B575)),B575)</f>
        <v>B566</v>
      </c>
      <c r="C576" s="897"/>
      <c r="K576" s="664"/>
      <c r="N576" s="899" t="str">
        <f>CONCATENATE(CHAR(64+COLUMN(N575)),N575)</f>
        <v>N566</v>
      </c>
      <c r="O576" s="897"/>
      <c r="U576" s="663"/>
      <c r="W576" s="664"/>
      <c r="Z576" s="899" t="str">
        <f>CONCATENATE(IF(COLUMN(Z575)&lt;=26,CHAR(96+COLUMN(Z575)),(CHAR(96+(ROUNDDOWN((COLUMN(Z575)-1)/26,0)))&amp;CHAR(96+IF(MOD(COLUMN(Z575),26)=0,26,MOD(COLUMN(Z575),26))))),Z575)</f>
        <v>z566</v>
      </c>
      <c r="AA576" s="897"/>
      <c r="AB576" s="663"/>
      <c r="AC576" s="663"/>
      <c r="AD576" s="663"/>
      <c r="AE576" s="663"/>
      <c r="AF576" s="663"/>
      <c r="AG576" s="663"/>
      <c r="AH576" s="663"/>
      <c r="AI576" s="664"/>
      <c r="AL576" s="899" t="str">
        <f>CONCATENATE(IF(COLUMN(AL575)&lt;=26,CHAR(96+COLUMN(AL575)),(CHAR(96+(ROUNDDOWN((COLUMN(AL575)-1)/26,0)))&amp;CHAR(96+IF(MOD(COLUMN(AL575),26)=0,26,MOD(COLUMN(AL575),26))))),AL575)</f>
        <v>al566</v>
      </c>
      <c r="AM576" s="897"/>
      <c r="AN576" s="663"/>
      <c r="AU576" s="664"/>
      <c r="AX576" s="899" t="str">
        <f>CONCATENATE(IF(COLUMN(AX575)&lt;=26,CHAR(96+COLUMN(AX575)),(CHAR(96+(ROUNDDOWN((COLUMN(AX575)-1)/26,0)))&amp;CHAR(96+IF(MOD(COLUMN(AX575),26)=0,26,MOD(COLUMN(AX575),26))))),AX575)</f>
        <v>ax566</v>
      </c>
      <c r="AY576" s="897"/>
      <c r="BG576" s="664"/>
      <c r="BJ576" s="899" t="str">
        <f>CONCATENATE(IF(COLUMN(BJ575)&lt;=26,CHAR(96+COLUMN(BJ575)),(CHAR(96+(ROUNDDOWN((COLUMN(BJ575)-1)/26,0)))&amp;CHAR(96+IF(MOD(COLUMN(BJ575),26)=0,26,MOD(COLUMN(BJ575),26))))),BJ575)</f>
        <v>bj566</v>
      </c>
      <c r="BK576" s="897"/>
      <c r="BS576" s="664"/>
      <c r="BV576" s="899" t="str">
        <f>CONCATENATE(IF(COLUMN(BV575)&lt;=26,CHAR(96+COLUMN(BV575)),(CHAR(96+(ROUNDDOWN((COLUMN(BV575)-1)/26,0)))&amp;CHAR(96+IF(MOD(COLUMN(BV575),26)=0,26,MOD(COLUMN(BV575),26))))),BV575)</f>
        <v>bv566</v>
      </c>
      <c r="BW576" s="897"/>
      <c r="CE576" s="664"/>
      <c r="CH576" s="899" t="str">
        <f>CONCATENATE(IF(COLUMN(CH575)&lt;=26,CHAR(96+COLUMN(CH575)),(CHAR(96+(ROUNDDOWN((COLUMN(CH575)-1)/26,0)))&amp;CHAR(96+IF(MOD(COLUMN(CH575),26)=0,26,MOD(COLUMN(CH575),26))))),CH575)</f>
        <v>ch566</v>
      </c>
      <c r="CI576" s="897"/>
      <c r="CQ576" s="664"/>
      <c r="CT576" s="899" t="str">
        <f>CONCATENATE(IF(COLUMN(CT575)&lt;=26,CHAR(96+COLUMN(CT575)),(CHAR(96+(ROUNDDOWN((COLUMN(CT575)-1)/26,0)))&amp;CHAR(96+IF(MOD(COLUMN(CT575),26)=0,26,MOD(COLUMN(CT575),26))))),CT575)</f>
        <v>ct566</v>
      </c>
      <c r="CU576" s="897"/>
      <c r="DC576" s="664"/>
      <c r="DF576" s="899" t="str">
        <f>CONCATENATE(IF(COLUMN(DF575)&lt;=26,CHAR(96+COLUMN(DF575)),(CHAR(96+(ROUNDDOWN((COLUMN(DF575)-1)/26,0)))&amp;CHAR(96+IF(MOD(COLUMN(DF575),26)=0,26,MOD(COLUMN(DF575),26))))),DF575)</f>
        <v>df566</v>
      </c>
      <c r="DG576" s="897"/>
      <c r="DO576" s="664"/>
    </row>
    <row r="577" spans="2:119" hidden="1" x14ac:dyDescent="0.25">
      <c r="B577" s="899" t="str">
        <f>CONCATENATE(CHAR(64+COLUMN(C575)),B575)</f>
        <v>C566</v>
      </c>
      <c r="C577" s="897"/>
      <c r="K577" s="664"/>
      <c r="N577" s="899" t="str">
        <f>CONCATENATE(CHAR(64+COLUMN(O575)),N575)</f>
        <v>O566</v>
      </c>
      <c r="O577" s="897"/>
      <c r="U577" s="663"/>
      <c r="W577" s="664"/>
      <c r="Z577" s="899" t="str">
        <f>CONCATENATE(IF(COLUMN(AA575)&lt;=26,CHAR(96+COLUMN(AA575)),(CHAR(96+(ROUNDDOWN((COLUMN(AA575)-1)/26,0)))&amp;CHAR(96+IF(MOD(COLUMN(AA575),26)=0,26,MOD(COLUMN(AA575),26))))),Z575)</f>
        <v>aa566</v>
      </c>
      <c r="AA577" s="897"/>
      <c r="AB577" s="663"/>
      <c r="AC577" s="663"/>
      <c r="AD577" s="663"/>
      <c r="AE577" s="663"/>
      <c r="AF577" s="663"/>
      <c r="AG577" s="663"/>
      <c r="AH577" s="663"/>
      <c r="AI577" s="664"/>
      <c r="AL577" s="899" t="str">
        <f>CONCATENATE(IF(COLUMN(AM575)&lt;=26,CHAR(96+COLUMN(AM575)),(CHAR(96+(ROUNDDOWN((COLUMN(AM575)-1)/26,0)))&amp;CHAR(96+IF(MOD(COLUMN(AM575),26)=0,26,MOD(COLUMN(AM575),26))))),AL575)</f>
        <v>am566</v>
      </c>
      <c r="AM577" s="897"/>
      <c r="AN577" s="663"/>
      <c r="AU577" s="664"/>
      <c r="AX577" s="899" t="str">
        <f>CONCATENATE(IF(COLUMN(AY575)&lt;=26,CHAR(96+COLUMN(AY575)),(CHAR(96+(ROUNDDOWN((COLUMN(AY575)-1)/26,0)))&amp;CHAR(96+IF(MOD(COLUMN(AY575),26)=0,26,MOD(COLUMN(AY575),26))))),AX575)</f>
        <v>ay566</v>
      </c>
      <c r="AY577" s="897"/>
      <c r="BG577" s="664"/>
      <c r="BJ577" s="899" t="str">
        <f>CONCATENATE(IF(COLUMN(BK575)&lt;=26,CHAR(96+COLUMN(BK575)),(CHAR(96+(ROUNDDOWN((COLUMN(BK575)-1)/26,0)))&amp;CHAR(96+IF(MOD(COLUMN(BK575),26)=0,26,MOD(COLUMN(BK575),26))))),BJ575)</f>
        <v>bk566</v>
      </c>
      <c r="BK577" s="897"/>
      <c r="BS577" s="664"/>
      <c r="BV577" s="899" t="str">
        <f>CONCATENATE(IF(COLUMN(BW575)&lt;=26,CHAR(96+COLUMN(BW575)),(CHAR(96+(ROUNDDOWN((COLUMN(BW575)-1)/26,0)))&amp;CHAR(96+IF(MOD(COLUMN(BW575),26)=0,26,MOD(COLUMN(BW575),26))))),BV575)</f>
        <v>bw566</v>
      </c>
      <c r="BW577" s="897"/>
      <c r="CE577" s="664"/>
      <c r="CH577" s="899" t="str">
        <f>CONCATENATE(IF(COLUMN(CI575)&lt;=26,CHAR(96+COLUMN(CI575)),(CHAR(96+(ROUNDDOWN((COLUMN(CI575)-1)/26,0)))&amp;CHAR(96+IF(MOD(COLUMN(CI575),26)=0,26,MOD(COLUMN(CI575),26))))),CH575)</f>
        <v>ci566</v>
      </c>
      <c r="CI577" s="897"/>
      <c r="CQ577" s="664"/>
      <c r="CT577" s="899" t="str">
        <f>CONCATENATE(IF(COLUMN(CU575)&lt;=26,CHAR(96+COLUMN(CU575)),(CHAR(96+(ROUNDDOWN((COLUMN(CU575)-1)/26,0)))&amp;CHAR(96+IF(MOD(COLUMN(CU575),26)=0,26,MOD(COLUMN(CU575),26))))),CT575)</f>
        <v>cu566</v>
      </c>
      <c r="CU577" s="897"/>
      <c r="DC577" s="664"/>
      <c r="DF577" s="899" t="str">
        <f>CONCATENATE(IF(COLUMN(DG575)&lt;=26,CHAR(96+COLUMN(DG575)),(CHAR(96+(ROUNDDOWN((COLUMN(DG575)-1)/26,0)))&amp;CHAR(96+IF(MOD(COLUMN(DG575),26)=0,26,MOD(COLUMN(DG575),26))))),DF575)</f>
        <v>dg566</v>
      </c>
      <c r="DG577" s="897"/>
      <c r="DO577" s="664"/>
    </row>
    <row r="578" spans="2:119" hidden="1" x14ac:dyDescent="0.25">
      <c r="B578" s="899"/>
      <c r="C578" s="897"/>
      <c r="K578" s="664"/>
      <c r="N578" s="899"/>
      <c r="O578" s="897"/>
      <c r="U578" s="663"/>
      <c r="W578" s="664"/>
      <c r="Z578" s="899"/>
      <c r="AA578" s="897"/>
      <c r="AB578" s="663"/>
      <c r="AC578" s="663"/>
      <c r="AD578" s="663"/>
      <c r="AE578" s="663"/>
      <c r="AF578" s="663"/>
      <c r="AG578" s="663"/>
      <c r="AH578" s="663"/>
      <c r="AI578" s="664"/>
      <c r="AL578" s="899"/>
      <c r="AM578" s="897"/>
      <c r="AN578" s="663"/>
      <c r="AU578" s="664"/>
      <c r="AX578" s="899"/>
      <c r="AY578" s="897"/>
      <c r="BG578" s="664"/>
      <c r="BJ578" s="899"/>
      <c r="BK578" s="897"/>
      <c r="BS578" s="664"/>
      <c r="BV578" s="899"/>
      <c r="BW578" s="897"/>
      <c r="CE578" s="664"/>
      <c r="CH578" s="899"/>
      <c r="CI578" s="897"/>
      <c r="CQ578" s="664"/>
      <c r="CT578" s="899"/>
      <c r="CU578" s="897"/>
      <c r="DC578" s="664"/>
      <c r="DF578" s="899"/>
      <c r="DG578" s="897"/>
      <c r="DO578" s="664"/>
    </row>
    <row r="579" spans="2:119" hidden="1" x14ac:dyDescent="0.25">
      <c r="B579" s="900">
        <f>B564</f>
        <v>39113</v>
      </c>
      <c r="C579" s="897">
        <f>C564</f>
        <v>0</v>
      </c>
      <c r="K579" s="664"/>
      <c r="N579" s="900">
        <f>N564</f>
        <v>39113</v>
      </c>
      <c r="O579" s="897">
        <f>O564</f>
        <v>0</v>
      </c>
      <c r="U579" s="663"/>
      <c r="W579" s="664"/>
      <c r="Z579" s="900">
        <f>Z564</f>
        <v>39113</v>
      </c>
      <c r="AA579" s="897">
        <f>AA564</f>
        <v>0</v>
      </c>
      <c r="AB579" s="663"/>
      <c r="AC579" s="663"/>
      <c r="AD579" s="663"/>
      <c r="AE579" s="663"/>
      <c r="AF579" s="663"/>
      <c r="AG579" s="663"/>
      <c r="AH579" s="663"/>
      <c r="AI579" s="664"/>
      <c r="AL579" s="900">
        <f>AL564</f>
        <v>39113</v>
      </c>
      <c r="AM579" s="897">
        <f>AM564</f>
        <v>0</v>
      </c>
      <c r="AN579" s="663"/>
      <c r="AU579" s="664"/>
      <c r="AX579" s="900">
        <f>AX564</f>
        <v>39113</v>
      </c>
      <c r="AY579" s="897">
        <f>AY564</f>
        <v>0</v>
      </c>
      <c r="BG579" s="664"/>
      <c r="BJ579" s="900">
        <f>BJ564</f>
        <v>39113</v>
      </c>
      <c r="BK579" s="897">
        <f>BK564</f>
        <v>0</v>
      </c>
      <c r="BS579" s="664"/>
      <c r="BV579" s="900">
        <f>BV564</f>
        <v>39113</v>
      </c>
      <c r="BW579" s="897">
        <f>BW564</f>
        <v>0</v>
      </c>
      <c r="CE579" s="664"/>
      <c r="CH579" s="900">
        <f>CH564</f>
        <v>39113</v>
      </c>
      <c r="CI579" s="897">
        <f>CI564</f>
        <v>0</v>
      </c>
      <c r="CQ579" s="664"/>
      <c r="CT579" s="900">
        <f>CT564</f>
        <v>39113</v>
      </c>
      <c r="CU579" s="897">
        <f>CU564</f>
        <v>0</v>
      </c>
      <c r="DC579" s="664"/>
      <c r="DF579" s="900">
        <f>DF564</f>
        <v>39113</v>
      </c>
      <c r="DG579" s="897">
        <f>DG564</f>
        <v>0</v>
      </c>
      <c r="DO579" s="664"/>
    </row>
    <row r="580" spans="2:119" hidden="1" x14ac:dyDescent="0.25">
      <c r="B580" s="900">
        <f t="shared" ref="B580:C580" si="1511">B565</f>
        <v>39478</v>
      </c>
      <c r="C580" s="897">
        <f t="shared" si="1511"/>
        <v>0</v>
      </c>
      <c r="K580" s="664"/>
      <c r="N580" s="900">
        <f t="shared" ref="N580:O580" si="1512">N565</f>
        <v>39478</v>
      </c>
      <c r="O580" s="897">
        <f t="shared" si="1512"/>
        <v>0</v>
      </c>
      <c r="U580" s="663"/>
      <c r="W580" s="664"/>
      <c r="Z580" s="900">
        <f t="shared" ref="Z580:AA580" si="1513">Z565</f>
        <v>39478</v>
      </c>
      <c r="AA580" s="897">
        <f t="shared" si="1513"/>
        <v>0</v>
      </c>
      <c r="AB580" s="663"/>
      <c r="AC580" s="663"/>
      <c r="AD580" s="663"/>
      <c r="AE580" s="663"/>
      <c r="AF580" s="663"/>
      <c r="AG580" s="663"/>
      <c r="AH580" s="663"/>
      <c r="AI580" s="664"/>
      <c r="AL580" s="900">
        <f t="shared" ref="AL580:AM580" si="1514">AL565</f>
        <v>39478</v>
      </c>
      <c r="AM580" s="897">
        <f t="shared" si="1514"/>
        <v>0</v>
      </c>
      <c r="AN580" s="663"/>
      <c r="AU580" s="664"/>
      <c r="AX580" s="900">
        <f t="shared" ref="AX580:AY580" si="1515">AX565</f>
        <v>39478</v>
      </c>
      <c r="AY580" s="897">
        <f t="shared" si="1515"/>
        <v>0</v>
      </c>
      <c r="BG580" s="664"/>
      <c r="BJ580" s="900">
        <f t="shared" ref="BJ580:BK580" si="1516">BJ565</f>
        <v>39478</v>
      </c>
      <c r="BK580" s="897">
        <f t="shared" si="1516"/>
        <v>0</v>
      </c>
      <c r="BS580" s="664"/>
      <c r="BV580" s="900">
        <f t="shared" ref="BV580:BW580" si="1517">BV565</f>
        <v>39478</v>
      </c>
      <c r="BW580" s="897">
        <f t="shared" si="1517"/>
        <v>0</v>
      </c>
      <c r="CE580" s="664"/>
      <c r="CH580" s="900">
        <f t="shared" ref="CH580:CI580" si="1518">CH565</f>
        <v>39478</v>
      </c>
      <c r="CI580" s="897">
        <f t="shared" si="1518"/>
        <v>0</v>
      </c>
      <c r="CQ580" s="664"/>
      <c r="CT580" s="900">
        <f t="shared" ref="CT580:CU580" si="1519">CT565</f>
        <v>39478</v>
      </c>
      <c r="CU580" s="897">
        <f t="shared" si="1519"/>
        <v>0</v>
      </c>
      <c r="DC580" s="664"/>
      <c r="DF580" s="900">
        <f t="shared" ref="DF580:DG580" si="1520">DF565</f>
        <v>39478</v>
      </c>
      <c r="DG580" s="897">
        <f t="shared" si="1520"/>
        <v>0</v>
      </c>
      <c r="DO580" s="664"/>
    </row>
    <row r="581" spans="2:119" hidden="1" x14ac:dyDescent="0.25">
      <c r="B581" s="900">
        <f t="shared" ref="B581:C581" si="1521">B566</f>
        <v>39843</v>
      </c>
      <c r="C581" s="897">
        <f t="shared" si="1521"/>
        <v>-2500000</v>
      </c>
      <c r="K581" s="664"/>
      <c r="N581" s="900">
        <f t="shared" ref="N581:O581" si="1522">N566</f>
        <v>39843</v>
      </c>
      <c r="O581" s="897">
        <f t="shared" si="1522"/>
        <v>-2500000</v>
      </c>
      <c r="U581" s="663"/>
      <c r="W581" s="664"/>
      <c r="Z581" s="900">
        <f t="shared" ref="Z581:AA581" si="1523">Z566</f>
        <v>39843</v>
      </c>
      <c r="AA581" s="897">
        <f t="shared" si="1523"/>
        <v>-2500000</v>
      </c>
      <c r="AB581" s="663"/>
      <c r="AC581" s="663"/>
      <c r="AD581" s="663"/>
      <c r="AE581" s="663"/>
      <c r="AF581" s="663"/>
      <c r="AG581" s="663"/>
      <c r="AH581" s="663"/>
      <c r="AI581" s="664"/>
      <c r="AL581" s="900">
        <f t="shared" ref="AL581:AM581" si="1524">AL566</f>
        <v>39843</v>
      </c>
      <c r="AM581" s="897">
        <f t="shared" si="1524"/>
        <v>-2500000</v>
      </c>
      <c r="AN581" s="663"/>
      <c r="AU581" s="664"/>
      <c r="AX581" s="900">
        <f t="shared" ref="AX581:AY581" si="1525">AX566</f>
        <v>39843</v>
      </c>
      <c r="AY581" s="897">
        <f t="shared" si="1525"/>
        <v>-2500000</v>
      </c>
      <c r="BG581" s="664"/>
      <c r="BJ581" s="900">
        <f t="shared" ref="BJ581:BK581" si="1526">BJ566</f>
        <v>39843</v>
      </c>
      <c r="BK581" s="897">
        <f t="shared" si="1526"/>
        <v>-2500000</v>
      </c>
      <c r="BS581" s="664"/>
      <c r="BV581" s="900">
        <f t="shared" ref="BV581:BW581" si="1527">BV566</f>
        <v>39843</v>
      </c>
      <c r="BW581" s="897">
        <f t="shared" si="1527"/>
        <v>-2500000</v>
      </c>
      <c r="CE581" s="664"/>
      <c r="CH581" s="900">
        <f t="shared" ref="CH581:CI581" si="1528">CH566</f>
        <v>39843</v>
      </c>
      <c r="CI581" s="897">
        <f t="shared" si="1528"/>
        <v>-2500000</v>
      </c>
      <c r="CQ581" s="664"/>
      <c r="CT581" s="900">
        <f t="shared" ref="CT581:CU581" si="1529">CT566</f>
        <v>39843</v>
      </c>
      <c r="CU581" s="897">
        <f t="shared" si="1529"/>
        <v>-2500000</v>
      </c>
      <c r="DC581" s="664"/>
      <c r="DF581" s="900">
        <f t="shared" ref="DF581:DG581" si="1530">DF566</f>
        <v>39843</v>
      </c>
      <c r="DG581" s="897">
        <f t="shared" si="1530"/>
        <v>-2500000</v>
      </c>
      <c r="DO581" s="664"/>
    </row>
    <row r="582" spans="2:119" hidden="1" x14ac:dyDescent="0.25">
      <c r="B582" s="900">
        <f t="shared" ref="B582:C582" si="1531">B567</f>
        <v>39843</v>
      </c>
      <c r="C582" s="897">
        <f t="shared" si="1531"/>
        <v>-6666666.666666667</v>
      </c>
      <c r="K582" s="664"/>
      <c r="N582" s="900">
        <f t="shared" ref="N582:O582" si="1532">N567</f>
        <v>39843</v>
      </c>
      <c r="O582" s="897">
        <f t="shared" si="1532"/>
        <v>-6666666.666666667</v>
      </c>
      <c r="U582" s="663"/>
      <c r="W582" s="664"/>
      <c r="Z582" s="900">
        <f t="shared" ref="Z582:AA582" si="1533">Z567</f>
        <v>39843</v>
      </c>
      <c r="AA582" s="897">
        <f t="shared" si="1533"/>
        <v>-6666666.666666667</v>
      </c>
      <c r="AB582" s="663"/>
      <c r="AC582" s="663"/>
      <c r="AD582" s="663"/>
      <c r="AE582" s="663"/>
      <c r="AF582" s="663"/>
      <c r="AG582" s="663"/>
      <c r="AH582" s="663"/>
      <c r="AI582" s="664"/>
      <c r="AL582" s="900">
        <f t="shared" ref="AL582:AM582" si="1534">AL567</f>
        <v>39843</v>
      </c>
      <c r="AM582" s="897">
        <f t="shared" si="1534"/>
        <v>-6666666.666666667</v>
      </c>
      <c r="AN582" s="663"/>
      <c r="AU582" s="664"/>
      <c r="AX582" s="900">
        <f t="shared" ref="AX582:AY582" si="1535">AX567</f>
        <v>39843</v>
      </c>
      <c r="AY582" s="897">
        <f t="shared" si="1535"/>
        <v>-6666666.666666667</v>
      </c>
      <c r="BG582" s="664"/>
      <c r="BJ582" s="900">
        <f t="shared" ref="BJ582:BK582" si="1536">BJ567</f>
        <v>39843</v>
      </c>
      <c r="BK582" s="897">
        <f t="shared" si="1536"/>
        <v>-6666666.666666667</v>
      </c>
      <c r="BS582" s="664"/>
      <c r="BV582" s="900">
        <f t="shared" ref="BV582:BW582" si="1537">BV567</f>
        <v>39843</v>
      </c>
      <c r="BW582" s="897">
        <f t="shared" si="1537"/>
        <v>-6666666.666666667</v>
      </c>
      <c r="CE582" s="664"/>
      <c r="CH582" s="900">
        <f t="shared" ref="CH582:CI582" si="1538">CH567</f>
        <v>39843</v>
      </c>
      <c r="CI582" s="897">
        <f t="shared" si="1538"/>
        <v>-6666666.666666667</v>
      </c>
      <c r="CQ582" s="664"/>
      <c r="CT582" s="900">
        <f t="shared" ref="CT582:CU582" si="1539">CT567</f>
        <v>39843</v>
      </c>
      <c r="CU582" s="897">
        <f t="shared" si="1539"/>
        <v>-6666666.666666667</v>
      </c>
      <c r="DC582" s="664"/>
      <c r="DF582" s="900">
        <f t="shared" ref="DF582:DG582" si="1540">DF567</f>
        <v>39843</v>
      </c>
      <c r="DG582" s="897">
        <f t="shared" si="1540"/>
        <v>-6666666.666666667</v>
      </c>
      <c r="DO582" s="664"/>
    </row>
    <row r="583" spans="2:119" hidden="1" x14ac:dyDescent="0.25">
      <c r="B583" s="900">
        <f t="shared" ref="B583:C583" si="1541">B568</f>
        <v>39843</v>
      </c>
      <c r="C583" s="897">
        <f t="shared" si="1541"/>
        <v>0</v>
      </c>
      <c r="K583" s="664"/>
      <c r="N583" s="900">
        <f t="shared" ref="N583:O583" si="1542">N568</f>
        <v>39843</v>
      </c>
      <c r="O583" s="897">
        <f t="shared" si="1542"/>
        <v>0</v>
      </c>
      <c r="U583" s="663"/>
      <c r="W583" s="664"/>
      <c r="Z583" s="900">
        <f t="shared" ref="Z583:AA583" si="1543">Z568</f>
        <v>39843</v>
      </c>
      <c r="AA583" s="897">
        <f t="shared" si="1543"/>
        <v>0</v>
      </c>
      <c r="AB583" s="663"/>
      <c r="AC583" s="663"/>
      <c r="AD583" s="663"/>
      <c r="AE583" s="663"/>
      <c r="AF583" s="663"/>
      <c r="AG583" s="663"/>
      <c r="AH583" s="663"/>
      <c r="AI583" s="664"/>
      <c r="AL583" s="900">
        <f t="shared" ref="AL583:AM583" si="1544">AL568</f>
        <v>39843</v>
      </c>
      <c r="AM583" s="897">
        <f t="shared" si="1544"/>
        <v>0</v>
      </c>
      <c r="AN583" s="663"/>
      <c r="AU583" s="664"/>
      <c r="AX583" s="900">
        <f t="shared" ref="AX583:AY583" si="1545">AX568</f>
        <v>39843</v>
      </c>
      <c r="AY583" s="897">
        <f t="shared" si="1545"/>
        <v>0</v>
      </c>
      <c r="BG583" s="664"/>
      <c r="BJ583" s="900">
        <f t="shared" ref="BJ583:BK583" si="1546">BJ568</f>
        <v>39843</v>
      </c>
      <c r="BK583" s="897">
        <f t="shared" si="1546"/>
        <v>0</v>
      </c>
      <c r="BS583" s="664"/>
      <c r="BV583" s="900">
        <f t="shared" ref="BV583:BW583" si="1547">BV568</f>
        <v>39843</v>
      </c>
      <c r="BW583" s="897">
        <f t="shared" si="1547"/>
        <v>0</v>
      </c>
      <c r="CE583" s="664"/>
      <c r="CH583" s="900">
        <f t="shared" ref="CH583:CI583" si="1548">CH568</f>
        <v>39843</v>
      </c>
      <c r="CI583" s="897">
        <f t="shared" si="1548"/>
        <v>0</v>
      </c>
      <c r="CQ583" s="664"/>
      <c r="CT583" s="900">
        <f t="shared" ref="CT583:CU583" si="1549">CT568</f>
        <v>39843</v>
      </c>
      <c r="CU583" s="897">
        <f t="shared" si="1549"/>
        <v>0</v>
      </c>
      <c r="DC583" s="664"/>
      <c r="DF583" s="900">
        <f t="shared" ref="DF583:DG583" si="1550">DF568</f>
        <v>39843</v>
      </c>
      <c r="DG583" s="897">
        <f t="shared" si="1550"/>
        <v>0</v>
      </c>
      <c r="DO583" s="664"/>
    </row>
    <row r="584" spans="2:119" hidden="1" x14ac:dyDescent="0.25">
      <c r="B584" s="900">
        <f t="shared" ref="B584:C584" si="1551">B569</f>
        <v>39843</v>
      </c>
      <c r="C584" s="897">
        <f t="shared" si="1551"/>
        <v>0</v>
      </c>
      <c r="K584" s="664"/>
      <c r="N584" s="900">
        <f t="shared" ref="N584:O584" si="1552">N569</f>
        <v>39843</v>
      </c>
      <c r="O584" s="897">
        <f t="shared" si="1552"/>
        <v>0</v>
      </c>
      <c r="U584" s="663"/>
      <c r="W584" s="664"/>
      <c r="Z584" s="900">
        <f t="shared" ref="Z584:AA584" si="1553">Z569</f>
        <v>39843</v>
      </c>
      <c r="AA584" s="897">
        <f t="shared" si="1553"/>
        <v>0</v>
      </c>
      <c r="AB584" s="663"/>
      <c r="AC584" s="663"/>
      <c r="AD584" s="663"/>
      <c r="AE584" s="663"/>
      <c r="AF584" s="663"/>
      <c r="AG584" s="663"/>
      <c r="AH584" s="663"/>
      <c r="AI584" s="664"/>
      <c r="AL584" s="900">
        <f t="shared" ref="AL584:AM584" si="1554">AL569</f>
        <v>39843</v>
      </c>
      <c r="AM584" s="897">
        <f t="shared" si="1554"/>
        <v>0</v>
      </c>
      <c r="AN584" s="663"/>
      <c r="AU584" s="664"/>
      <c r="AX584" s="900">
        <f t="shared" ref="AX584:AY584" si="1555">AX569</f>
        <v>39843</v>
      </c>
      <c r="AY584" s="897">
        <f t="shared" si="1555"/>
        <v>0</v>
      </c>
      <c r="BG584" s="664"/>
      <c r="BJ584" s="900">
        <f t="shared" ref="BJ584:BK584" si="1556">BJ569</f>
        <v>39843</v>
      </c>
      <c r="BK584" s="897">
        <f t="shared" si="1556"/>
        <v>0</v>
      </c>
      <c r="BS584" s="664"/>
      <c r="BV584" s="900">
        <f t="shared" ref="BV584:BW584" si="1557">BV569</f>
        <v>39843</v>
      </c>
      <c r="BW584" s="897">
        <f t="shared" si="1557"/>
        <v>0</v>
      </c>
      <c r="CE584" s="664"/>
      <c r="CH584" s="900">
        <f t="shared" ref="CH584:CI584" si="1558">CH569</f>
        <v>39843</v>
      </c>
      <c r="CI584" s="897">
        <f t="shared" si="1558"/>
        <v>0</v>
      </c>
      <c r="CQ584" s="664"/>
      <c r="CT584" s="900">
        <f t="shared" ref="CT584:CU584" si="1559">CT569</f>
        <v>39843</v>
      </c>
      <c r="CU584" s="897">
        <f t="shared" si="1559"/>
        <v>0</v>
      </c>
      <c r="DC584" s="664"/>
      <c r="DF584" s="900">
        <f t="shared" ref="DF584:DG584" si="1560">DF569</f>
        <v>39843</v>
      </c>
      <c r="DG584" s="897">
        <f t="shared" si="1560"/>
        <v>0</v>
      </c>
      <c r="DO584" s="664"/>
    </row>
    <row r="585" spans="2:119" hidden="1" x14ac:dyDescent="0.25">
      <c r="B585" s="900">
        <f t="shared" ref="B585:C585" si="1561">B570</f>
        <v>39843</v>
      </c>
      <c r="C585" s="897">
        <f t="shared" si="1561"/>
        <v>0</v>
      </c>
      <c r="K585" s="664"/>
      <c r="N585" s="900">
        <f t="shared" ref="N585:O585" si="1562">N570</f>
        <v>39843</v>
      </c>
      <c r="O585" s="897">
        <f t="shared" si="1562"/>
        <v>0</v>
      </c>
      <c r="U585" s="663"/>
      <c r="W585" s="664"/>
      <c r="Z585" s="900">
        <f t="shared" ref="Z585:AA585" si="1563">Z570</f>
        <v>39843</v>
      </c>
      <c r="AA585" s="897">
        <f t="shared" si="1563"/>
        <v>0</v>
      </c>
      <c r="AB585" s="663"/>
      <c r="AC585" s="663"/>
      <c r="AD585" s="663"/>
      <c r="AE585" s="663"/>
      <c r="AF585" s="663"/>
      <c r="AG585" s="663"/>
      <c r="AH585" s="663"/>
      <c r="AI585" s="664"/>
      <c r="AL585" s="900">
        <f t="shared" ref="AL585:AM585" si="1564">AL570</f>
        <v>39843</v>
      </c>
      <c r="AM585" s="897">
        <f t="shared" si="1564"/>
        <v>0</v>
      </c>
      <c r="AN585" s="663"/>
      <c r="AU585" s="664"/>
      <c r="AX585" s="900">
        <f t="shared" ref="AX585:AY585" si="1565">AX570</f>
        <v>39843</v>
      </c>
      <c r="AY585" s="897">
        <f t="shared" si="1565"/>
        <v>0</v>
      </c>
      <c r="BG585" s="664"/>
      <c r="BJ585" s="900">
        <f t="shared" ref="BJ585:BK585" si="1566">BJ570</f>
        <v>39843</v>
      </c>
      <c r="BK585" s="897">
        <f t="shared" si="1566"/>
        <v>0</v>
      </c>
      <c r="BS585" s="664"/>
      <c r="BV585" s="900">
        <f t="shared" ref="BV585:BW585" si="1567">BV570</f>
        <v>39843</v>
      </c>
      <c r="BW585" s="897">
        <f t="shared" si="1567"/>
        <v>0</v>
      </c>
      <c r="CE585" s="664"/>
      <c r="CH585" s="900">
        <f t="shared" ref="CH585:CI585" si="1568">CH570</f>
        <v>39843</v>
      </c>
      <c r="CI585" s="897">
        <f t="shared" si="1568"/>
        <v>0</v>
      </c>
      <c r="CQ585" s="664"/>
      <c r="CT585" s="900">
        <f t="shared" ref="CT585:CU585" si="1569">CT570</f>
        <v>39843</v>
      </c>
      <c r="CU585" s="897">
        <f t="shared" si="1569"/>
        <v>0</v>
      </c>
      <c r="DC585" s="664"/>
      <c r="DF585" s="900">
        <f t="shared" ref="DF585:DG585" si="1570">DF570</f>
        <v>39843</v>
      </c>
      <c r="DG585" s="897">
        <f t="shared" si="1570"/>
        <v>0</v>
      </c>
      <c r="DO585" s="664"/>
    </row>
    <row r="586" spans="2:119" hidden="1" x14ac:dyDescent="0.25">
      <c r="B586" s="900">
        <f t="shared" ref="B586:C586" si="1571">B571</f>
        <v>39843</v>
      </c>
      <c r="C586" s="897">
        <f t="shared" si="1571"/>
        <v>0</v>
      </c>
      <c r="K586" s="664"/>
      <c r="N586" s="900">
        <f t="shared" ref="N586:O586" si="1572">N571</f>
        <v>39843</v>
      </c>
      <c r="O586" s="897">
        <f t="shared" si="1572"/>
        <v>0</v>
      </c>
      <c r="U586" s="663"/>
      <c r="W586" s="664"/>
      <c r="Z586" s="900">
        <f t="shared" ref="Z586:AA586" si="1573">Z571</f>
        <v>39843</v>
      </c>
      <c r="AA586" s="897">
        <f t="shared" si="1573"/>
        <v>0</v>
      </c>
      <c r="AB586" s="663"/>
      <c r="AC586" s="663"/>
      <c r="AD586" s="663"/>
      <c r="AE586" s="663"/>
      <c r="AF586" s="663"/>
      <c r="AG586" s="663"/>
      <c r="AH586" s="663"/>
      <c r="AI586" s="664"/>
      <c r="AL586" s="900">
        <f t="shared" ref="AL586:AM586" si="1574">AL571</f>
        <v>39843</v>
      </c>
      <c r="AM586" s="897">
        <f t="shared" si="1574"/>
        <v>0</v>
      </c>
      <c r="AN586" s="663"/>
      <c r="AU586" s="664"/>
      <c r="AX586" s="900">
        <f t="shared" ref="AX586:AY586" si="1575">AX571</f>
        <v>39843</v>
      </c>
      <c r="AY586" s="897">
        <f t="shared" si="1575"/>
        <v>0</v>
      </c>
      <c r="BG586" s="664"/>
      <c r="BJ586" s="900">
        <f t="shared" ref="BJ586:BK586" si="1576">BJ571</f>
        <v>39843</v>
      </c>
      <c r="BK586" s="897">
        <f t="shared" si="1576"/>
        <v>0</v>
      </c>
      <c r="BS586" s="664"/>
      <c r="BV586" s="900">
        <f t="shared" ref="BV586:BW586" si="1577">BV571</f>
        <v>39843</v>
      </c>
      <c r="BW586" s="897">
        <f t="shared" si="1577"/>
        <v>0</v>
      </c>
      <c r="CE586" s="664"/>
      <c r="CH586" s="900">
        <f t="shared" ref="CH586:CI586" si="1578">CH571</f>
        <v>39843</v>
      </c>
      <c r="CI586" s="897">
        <f t="shared" si="1578"/>
        <v>0</v>
      </c>
      <c r="CQ586" s="664"/>
      <c r="CT586" s="900">
        <f t="shared" ref="CT586:CU586" si="1579">CT571</f>
        <v>39843</v>
      </c>
      <c r="CU586" s="897">
        <f t="shared" si="1579"/>
        <v>0</v>
      </c>
      <c r="DC586" s="664"/>
      <c r="DF586" s="900">
        <f t="shared" ref="DF586:DG586" si="1580">DF571</f>
        <v>39843</v>
      </c>
      <c r="DG586" s="897">
        <f t="shared" si="1580"/>
        <v>0</v>
      </c>
      <c r="DO586" s="664"/>
    </row>
    <row r="587" spans="2:119" hidden="1" x14ac:dyDescent="0.25">
      <c r="B587" s="900">
        <f t="shared" ref="B587:C587" si="1581">B572</f>
        <v>39843</v>
      </c>
      <c r="C587" s="897">
        <f t="shared" si="1581"/>
        <v>0</v>
      </c>
      <c r="K587" s="664"/>
      <c r="N587" s="900">
        <f t="shared" ref="N587:O587" si="1582">N572</f>
        <v>39843</v>
      </c>
      <c r="O587" s="897">
        <f t="shared" si="1582"/>
        <v>0</v>
      </c>
      <c r="U587" s="663"/>
      <c r="W587" s="664"/>
      <c r="Z587" s="900">
        <f t="shared" ref="Z587:AA587" si="1583">Z572</f>
        <v>39843</v>
      </c>
      <c r="AA587" s="897">
        <f t="shared" si="1583"/>
        <v>0</v>
      </c>
      <c r="AB587" s="663"/>
      <c r="AC587" s="663"/>
      <c r="AD587" s="663"/>
      <c r="AE587" s="663"/>
      <c r="AF587" s="663"/>
      <c r="AG587" s="663"/>
      <c r="AH587" s="663"/>
      <c r="AI587" s="664"/>
      <c r="AL587" s="900">
        <f t="shared" ref="AL587:AM587" si="1584">AL572</f>
        <v>39843</v>
      </c>
      <c r="AM587" s="897">
        <f t="shared" si="1584"/>
        <v>0</v>
      </c>
      <c r="AN587" s="663"/>
      <c r="AU587" s="664"/>
      <c r="AX587" s="900">
        <f t="shared" ref="AX587:AY587" si="1585">AX572</f>
        <v>39843</v>
      </c>
      <c r="AY587" s="897">
        <f t="shared" si="1585"/>
        <v>0</v>
      </c>
      <c r="BG587" s="664"/>
      <c r="BJ587" s="900">
        <f t="shared" ref="BJ587:BK587" si="1586">BJ572</f>
        <v>39843</v>
      </c>
      <c r="BK587" s="897">
        <f t="shared" si="1586"/>
        <v>0</v>
      </c>
      <c r="BS587" s="664"/>
      <c r="BV587" s="900">
        <f t="shared" ref="BV587:BW587" si="1587">BV572</f>
        <v>39843</v>
      </c>
      <c r="BW587" s="897">
        <f t="shared" si="1587"/>
        <v>0</v>
      </c>
      <c r="CE587" s="664"/>
      <c r="CH587" s="900">
        <f t="shared" ref="CH587:CI587" si="1588">CH572</f>
        <v>39843</v>
      </c>
      <c r="CI587" s="897">
        <f t="shared" si="1588"/>
        <v>0</v>
      </c>
      <c r="CQ587" s="664"/>
      <c r="CT587" s="900">
        <f t="shared" ref="CT587:CU587" si="1589">CT572</f>
        <v>39843</v>
      </c>
      <c r="CU587" s="897">
        <f t="shared" si="1589"/>
        <v>0</v>
      </c>
      <c r="DC587" s="664"/>
      <c r="DF587" s="900">
        <f t="shared" ref="DF587:DG587" si="1590">DF572</f>
        <v>39843</v>
      </c>
      <c r="DG587" s="897">
        <f t="shared" si="1590"/>
        <v>0</v>
      </c>
      <c r="DO587" s="664"/>
    </row>
    <row r="588" spans="2:119" hidden="1" x14ac:dyDescent="0.25">
      <c r="B588" s="900">
        <f t="shared" ref="B588:C588" si="1591">B573</f>
        <v>39843</v>
      </c>
      <c r="C588" s="897">
        <f t="shared" si="1591"/>
        <v>0</v>
      </c>
      <c r="K588" s="664"/>
      <c r="N588" s="900">
        <f t="shared" ref="N588:O588" si="1592">N573</f>
        <v>39843</v>
      </c>
      <c r="O588" s="897">
        <f t="shared" si="1592"/>
        <v>0</v>
      </c>
      <c r="U588" s="663"/>
      <c r="W588" s="664"/>
      <c r="Z588" s="900">
        <f t="shared" ref="Z588:AA588" si="1593">Z573</f>
        <v>39843</v>
      </c>
      <c r="AA588" s="897">
        <f t="shared" si="1593"/>
        <v>0</v>
      </c>
      <c r="AB588" s="663"/>
      <c r="AC588" s="663"/>
      <c r="AD588" s="663"/>
      <c r="AE588" s="663"/>
      <c r="AF588" s="663"/>
      <c r="AG588" s="663"/>
      <c r="AH588" s="663"/>
      <c r="AI588" s="664"/>
      <c r="AL588" s="900">
        <f t="shared" ref="AL588:AM588" si="1594">AL573</f>
        <v>39843</v>
      </c>
      <c r="AM588" s="897">
        <f t="shared" si="1594"/>
        <v>0</v>
      </c>
      <c r="AN588" s="663"/>
      <c r="AU588" s="664"/>
      <c r="AX588" s="900">
        <f t="shared" ref="AX588:AY588" si="1595">AX573</f>
        <v>39843</v>
      </c>
      <c r="AY588" s="897">
        <f t="shared" si="1595"/>
        <v>0</v>
      </c>
      <c r="BG588" s="664"/>
      <c r="BJ588" s="900">
        <f t="shared" ref="BJ588:BK588" si="1596">BJ573</f>
        <v>39843</v>
      </c>
      <c r="BK588" s="897">
        <f t="shared" si="1596"/>
        <v>0</v>
      </c>
      <c r="BS588" s="664"/>
      <c r="BV588" s="900">
        <f t="shared" ref="BV588:BW588" si="1597">BV573</f>
        <v>39843</v>
      </c>
      <c r="BW588" s="897">
        <f t="shared" si="1597"/>
        <v>0</v>
      </c>
      <c r="CE588" s="664"/>
      <c r="CH588" s="900">
        <f t="shared" ref="CH588:CI588" si="1598">CH573</f>
        <v>39843</v>
      </c>
      <c r="CI588" s="897">
        <f t="shared" si="1598"/>
        <v>0</v>
      </c>
      <c r="CQ588" s="664"/>
      <c r="CT588" s="900">
        <f t="shared" ref="CT588:CU588" si="1599">CT573</f>
        <v>39843</v>
      </c>
      <c r="CU588" s="897">
        <f t="shared" si="1599"/>
        <v>0</v>
      </c>
      <c r="DC588" s="664"/>
      <c r="DF588" s="900">
        <f t="shared" ref="DF588:DG588" si="1600">DF573</f>
        <v>39843</v>
      </c>
      <c r="DG588" s="897">
        <f t="shared" si="1600"/>
        <v>0</v>
      </c>
      <c r="DO588" s="664"/>
    </row>
    <row r="589" spans="2:119" hidden="1" x14ac:dyDescent="0.25">
      <c r="B589" s="896">
        <f>B574+$C$56</f>
        <v>41359</v>
      </c>
      <c r="C589" s="897">
        <f ca="1">C574</f>
        <v>0</v>
      </c>
      <c r="K589" s="664"/>
      <c r="N589" s="896">
        <f>N574+$C$56</f>
        <v>41359</v>
      </c>
      <c r="O589" s="897">
        <f ca="1">O574</f>
        <v>0</v>
      </c>
      <c r="U589" s="663"/>
      <c r="W589" s="664"/>
      <c r="Z589" s="896">
        <f>Z574+$C$56</f>
        <v>41359</v>
      </c>
      <c r="AA589" s="897">
        <f ca="1">AA574</f>
        <v>0</v>
      </c>
      <c r="AB589" s="663"/>
      <c r="AC589" s="663"/>
      <c r="AD589" s="663"/>
      <c r="AE589" s="663"/>
      <c r="AF589" s="663"/>
      <c r="AG589" s="663"/>
      <c r="AH589" s="663"/>
      <c r="AI589" s="664"/>
      <c r="AL589" s="896">
        <f>AL574+$C$56</f>
        <v>41359</v>
      </c>
      <c r="AM589" s="897">
        <f ca="1">AM574</f>
        <v>0</v>
      </c>
      <c r="AN589" s="663"/>
      <c r="AU589" s="664"/>
      <c r="AX589" s="896">
        <f>AX574+$C$56</f>
        <v>41359</v>
      </c>
      <c r="AY589" s="897">
        <f ca="1">AY574</f>
        <v>0</v>
      </c>
      <c r="BG589" s="664"/>
      <c r="BJ589" s="896">
        <f>BJ574+$C$56</f>
        <v>41359</v>
      </c>
      <c r="BK589" s="897">
        <f ca="1">BK574</f>
        <v>0</v>
      </c>
      <c r="BS589" s="664"/>
      <c r="BV589" s="896">
        <f>BV574+$C$56</f>
        <v>41359</v>
      </c>
      <c r="BW589" s="897">
        <f ca="1">BW574</f>
        <v>0</v>
      </c>
      <c r="CE589" s="664"/>
      <c r="CH589" s="896">
        <f>CH574+$C$56</f>
        <v>41359</v>
      </c>
      <c r="CI589" s="897">
        <f ca="1">CI574</f>
        <v>0</v>
      </c>
      <c r="CQ589" s="664"/>
      <c r="CT589" s="896">
        <f>CT574+$C$56</f>
        <v>41359</v>
      </c>
      <c r="CU589" s="897">
        <f ca="1">CU574</f>
        <v>0</v>
      </c>
      <c r="DC589" s="664"/>
      <c r="DF589" s="896">
        <f>DF574+$C$56</f>
        <v>41359</v>
      </c>
      <c r="DG589" s="897">
        <f ca="1">DG574</f>
        <v>0</v>
      </c>
      <c r="DO589" s="664"/>
    </row>
    <row r="590" spans="2:119" hidden="1" x14ac:dyDescent="0.25">
      <c r="B590" s="898">
        <f>IF(C579&lt;&gt;0,ROW(C579),IF(C580&lt;&gt;0,ROW(C580),IF(C581&lt;&gt;0,ROW(C581),IF(C582&lt;&gt;0,ROW(C582),IF(C583&lt;&gt;0,ROW(C583),IF(C584&lt;&gt;0,ROW(C584),IF(C585&lt;&gt;0,ROW(C585),IF(C586&lt;&gt;0,ROW(C586),IF(C587&lt;&gt;0,ROW(C587),IF(C588&lt;&gt;0,ROW(C588)))))))))))</f>
        <v>581</v>
      </c>
      <c r="C590" s="882" t="e">
        <f ca="1">IF(ISERROR(XIRR(INDIRECT(B592):C589,INDIRECT(B591):B589,-20%)),XIRR(INDIRECT(B592):C589,INDIRECT(B591):B589,20%),"N/A")</f>
        <v>#NUM!</v>
      </c>
      <c r="K590" s="664"/>
      <c r="N590" s="898">
        <f>IF(O579&lt;&gt;0,ROW(O579),IF(O580&lt;&gt;0,ROW(O580),IF(O581&lt;&gt;0,ROW(O581),IF(O582&lt;&gt;0,ROW(O582),IF(O583&lt;&gt;0,ROW(O583),IF(O584&lt;&gt;0,ROW(O584),IF(O585&lt;&gt;0,ROW(O585),IF(O586&lt;&gt;0,ROW(O586),IF(O587&lt;&gt;0,ROW(O587),IF(O588&lt;&gt;0,ROW(O588)))))))))))</f>
        <v>581</v>
      </c>
      <c r="O590" s="882" t="e">
        <f ca="1">IF(ISERROR(XIRR(INDIRECT(N592):O589,INDIRECT(N591):N589,-20%)),XIRR(INDIRECT(N592):O589,INDIRECT(N591):N589,20%),"N/A")</f>
        <v>#NUM!</v>
      </c>
      <c r="U590" s="663"/>
      <c r="W590" s="664"/>
      <c r="Z590" s="898">
        <f>IF(AA579&lt;&gt;0,ROW(AA579),IF(AA580&lt;&gt;0,ROW(AA580),IF(AA581&lt;&gt;0,ROW(AA581),IF(AA582&lt;&gt;0,ROW(AA582),IF(AA583&lt;&gt;0,ROW(AA583),IF(AA584&lt;&gt;0,ROW(AA584),IF(AA585&lt;&gt;0,ROW(AA585),IF(AA586&lt;&gt;0,ROW(AA586),IF(AA587&lt;&gt;0,ROW(AA587),IF(AA588&lt;&gt;0,ROW(AA588)))))))))))</f>
        <v>581</v>
      </c>
      <c r="AA590" s="882" t="e">
        <f ca="1">IF(ISERROR(XIRR(INDIRECT(Z592):AA589,INDIRECT(Z591):Z589,-20%)),XIRR(INDIRECT(Z592):AA589,INDIRECT(Z591):Z589,20%),"N/A")</f>
        <v>#NUM!</v>
      </c>
      <c r="AB590" s="663"/>
      <c r="AC590" s="663"/>
      <c r="AD590" s="663"/>
      <c r="AE590" s="663"/>
      <c r="AF590" s="663"/>
      <c r="AG590" s="663"/>
      <c r="AH590" s="663"/>
      <c r="AI590" s="664"/>
      <c r="AL590" s="898">
        <f>IF(AM579&lt;&gt;0,ROW(AM579),IF(AM580&lt;&gt;0,ROW(AM580),IF(AM581&lt;&gt;0,ROW(AM581),IF(AM582&lt;&gt;0,ROW(AM582),IF(AM583&lt;&gt;0,ROW(AM583),IF(AM584&lt;&gt;0,ROW(AM584),IF(AM585&lt;&gt;0,ROW(AM585),IF(AM586&lt;&gt;0,ROW(AM586),IF(AM587&lt;&gt;0,ROW(AM587),IF(AM588&lt;&gt;0,ROW(AM588)))))))))))</f>
        <v>581</v>
      </c>
      <c r="AM590" s="882" t="e">
        <f ca="1">IF(ISERROR(XIRR(INDIRECT(AL592):AM589,INDIRECT(AL591):AL589,-20%)),XIRR(INDIRECT(AL592):AM589,INDIRECT(AL591):AL589,20%),"N/A")</f>
        <v>#NUM!</v>
      </c>
      <c r="AN590" s="663"/>
      <c r="AU590" s="664"/>
      <c r="AX590" s="898">
        <f>IF(AY579&lt;&gt;0,ROW(AY579),IF(AY580&lt;&gt;0,ROW(AY580),IF(AY581&lt;&gt;0,ROW(AY581),IF(AY582&lt;&gt;0,ROW(AY582),IF(AY583&lt;&gt;0,ROW(AY583),IF(AY584&lt;&gt;0,ROW(AY584),IF(AY585&lt;&gt;0,ROW(AY585),IF(AY586&lt;&gt;0,ROW(AY586),IF(AY587&lt;&gt;0,ROW(AY587),IF(AY588&lt;&gt;0,ROW(AY588)))))))))))</f>
        <v>581</v>
      </c>
      <c r="AY590" s="882" t="e">
        <f ca="1">IF(ISERROR(XIRR(INDIRECT(AX592):AY589,INDIRECT(AX591):AX589,-20%)),XIRR(INDIRECT(AX592):AY589,INDIRECT(AX591):AX589,20%),"N/A")</f>
        <v>#NUM!</v>
      </c>
      <c r="BG590" s="664"/>
      <c r="BJ590" s="898">
        <f>IF(BK579&lt;&gt;0,ROW(BK579),IF(BK580&lt;&gt;0,ROW(BK580),IF(BK581&lt;&gt;0,ROW(BK581),IF(BK582&lt;&gt;0,ROW(BK582),IF(BK583&lt;&gt;0,ROW(BK583),IF(BK584&lt;&gt;0,ROW(BK584),IF(BK585&lt;&gt;0,ROW(BK585),IF(BK586&lt;&gt;0,ROW(BK586),IF(BK587&lt;&gt;0,ROW(BK587),IF(BK588&lt;&gt;0,ROW(BK588)))))))))))</f>
        <v>581</v>
      </c>
      <c r="BK590" s="882" t="e">
        <f ca="1">IF(ISERROR(XIRR(INDIRECT(BJ592):BK589,INDIRECT(BJ591):BJ589,-20%)),XIRR(INDIRECT(BJ592):BK589,INDIRECT(BJ591):BJ589,20%),"N/A")</f>
        <v>#NUM!</v>
      </c>
      <c r="BS590" s="664"/>
      <c r="BV590" s="898">
        <f>IF(BW579&lt;&gt;0,ROW(BW579),IF(BW580&lt;&gt;0,ROW(BW580),IF(BW581&lt;&gt;0,ROW(BW581),IF(BW582&lt;&gt;0,ROW(BW582),IF(BW583&lt;&gt;0,ROW(BW583),IF(BW584&lt;&gt;0,ROW(BW584),IF(BW585&lt;&gt;0,ROW(BW585),IF(BW586&lt;&gt;0,ROW(BW586),IF(BW587&lt;&gt;0,ROW(BW587),IF(BW588&lt;&gt;0,ROW(BW588)))))))))))</f>
        <v>581</v>
      </c>
      <c r="BW590" s="882" t="e">
        <f ca="1">IF(ISERROR(XIRR(INDIRECT(BV592):BW589,INDIRECT(BV591):BV589,-20%)),XIRR(INDIRECT(BV592):BW589,INDIRECT(BV591):BV589,20%),"N/A")</f>
        <v>#NUM!</v>
      </c>
      <c r="CE590" s="664"/>
      <c r="CH590" s="898">
        <f>IF(CI579&lt;&gt;0,ROW(CI579),IF(CI580&lt;&gt;0,ROW(CI580),IF(CI581&lt;&gt;0,ROW(CI581),IF(CI582&lt;&gt;0,ROW(CI582),IF(CI583&lt;&gt;0,ROW(CI583),IF(CI584&lt;&gt;0,ROW(CI584),IF(CI585&lt;&gt;0,ROW(CI585),IF(CI586&lt;&gt;0,ROW(CI586),IF(CI587&lt;&gt;0,ROW(CI587),IF(CI588&lt;&gt;0,ROW(CI588)))))))))))</f>
        <v>581</v>
      </c>
      <c r="CI590" s="882" t="e">
        <f ca="1">IF(ISERROR(XIRR(INDIRECT(CH592):CI589,INDIRECT(CH591):CH589,-20%)),XIRR(INDIRECT(CH592):CI589,INDIRECT(CH591):CH589,20%),"N/A")</f>
        <v>#NUM!</v>
      </c>
      <c r="CQ590" s="664"/>
      <c r="CT590" s="898">
        <f>IF(CU579&lt;&gt;0,ROW(CU579),IF(CU580&lt;&gt;0,ROW(CU580),IF(CU581&lt;&gt;0,ROW(CU581),IF(CU582&lt;&gt;0,ROW(CU582),IF(CU583&lt;&gt;0,ROW(CU583),IF(CU584&lt;&gt;0,ROW(CU584),IF(CU585&lt;&gt;0,ROW(CU585),IF(CU586&lt;&gt;0,ROW(CU586),IF(CU587&lt;&gt;0,ROW(CU587),IF(CU588&lt;&gt;0,ROW(CU588)))))))))))</f>
        <v>581</v>
      </c>
      <c r="CU590" s="882" t="e">
        <f ca="1">IF(ISERROR(XIRR(INDIRECT(CT592):CU589,INDIRECT(CT591):CT589,-20%)),XIRR(INDIRECT(CT592):CU589,INDIRECT(CT591):CT589,20%),"N/A")</f>
        <v>#NUM!</v>
      </c>
      <c r="DC590" s="664"/>
      <c r="DF590" s="898">
        <f>IF(DG579&lt;&gt;0,ROW(DG579),IF(DG580&lt;&gt;0,ROW(DG580),IF(DG581&lt;&gt;0,ROW(DG581),IF(DG582&lt;&gt;0,ROW(DG582),IF(DG583&lt;&gt;0,ROW(DG583),IF(DG584&lt;&gt;0,ROW(DG584),IF(DG585&lt;&gt;0,ROW(DG585),IF(DG586&lt;&gt;0,ROW(DG586),IF(DG587&lt;&gt;0,ROW(DG587),IF(DG588&lt;&gt;0,ROW(DG588)))))))))))</f>
        <v>581</v>
      </c>
      <c r="DG590" s="882" t="e">
        <f ca="1">IF(ISERROR(XIRR(INDIRECT(DF592):DG589,INDIRECT(DF591):DF589,-20%)),XIRR(INDIRECT(DF592):DG589,INDIRECT(DF591):DF589,20%),"N/A")</f>
        <v>#NUM!</v>
      </c>
      <c r="DO590" s="664"/>
    </row>
    <row r="591" spans="2:119" hidden="1" x14ac:dyDescent="0.25">
      <c r="B591" s="899" t="str">
        <f>CONCATENATE(CHAR(64+COLUMN(B590)),B590)</f>
        <v>B581</v>
      </c>
      <c r="C591" s="897"/>
      <c r="K591" s="664"/>
      <c r="N591" s="899" t="str">
        <f>CONCATENATE(CHAR(64+COLUMN(N590)),N590)</f>
        <v>N581</v>
      </c>
      <c r="O591" s="897"/>
      <c r="U591" s="663"/>
      <c r="W591" s="664"/>
      <c r="Z591" s="899" t="str">
        <f>CONCATENATE(IF(COLUMN(Z590)&lt;=26,CHAR(96+COLUMN(Z590)),(CHAR(96+(ROUNDDOWN((COLUMN(Z590)-1)/26,0)))&amp;CHAR(96+IF(MOD(COLUMN(Z590),26)=0,26,MOD(COLUMN(Z590),26))))),Z590)</f>
        <v>z581</v>
      </c>
      <c r="AA591" s="897"/>
      <c r="AB591" s="663"/>
      <c r="AC591" s="663"/>
      <c r="AD591" s="663"/>
      <c r="AE591" s="663"/>
      <c r="AF591" s="663"/>
      <c r="AG591" s="663"/>
      <c r="AH591" s="663"/>
      <c r="AI591" s="664"/>
      <c r="AL591" s="899" t="str">
        <f>CONCATENATE(IF(COLUMN(AL590)&lt;=26,CHAR(96+COLUMN(AL590)),(CHAR(96+(ROUNDDOWN((COLUMN(AL590)-1)/26,0)))&amp;CHAR(96+IF(MOD(COLUMN(AL590),26)=0,26,MOD(COLUMN(AL590),26))))),AL590)</f>
        <v>al581</v>
      </c>
      <c r="AM591" s="897"/>
      <c r="AN591" s="663"/>
      <c r="AU591" s="664"/>
      <c r="AX591" s="899" t="str">
        <f>CONCATENATE(IF(COLUMN(AX590)&lt;=26,CHAR(96+COLUMN(AX590)),(CHAR(96+(ROUNDDOWN((COLUMN(AX590)-1)/26,0)))&amp;CHAR(96+IF(MOD(COLUMN(AX590),26)=0,26,MOD(COLUMN(AX590),26))))),AX590)</f>
        <v>ax581</v>
      </c>
      <c r="AY591" s="897"/>
      <c r="BG591" s="664"/>
      <c r="BJ591" s="899" t="str">
        <f>CONCATENATE(IF(COLUMN(BJ590)&lt;=26,CHAR(96+COLUMN(BJ590)),(CHAR(96+(ROUNDDOWN((COLUMN(BJ590)-1)/26,0)))&amp;CHAR(96+IF(MOD(COLUMN(BJ590),26)=0,26,MOD(COLUMN(BJ590),26))))),BJ590)</f>
        <v>bj581</v>
      </c>
      <c r="BK591" s="897"/>
      <c r="BS591" s="664"/>
      <c r="BV591" s="899" t="str">
        <f>CONCATENATE(IF(COLUMN(BV590)&lt;=26,CHAR(96+COLUMN(BV590)),(CHAR(96+(ROUNDDOWN((COLUMN(BV590)-1)/26,0)))&amp;CHAR(96+IF(MOD(COLUMN(BV590),26)=0,26,MOD(COLUMN(BV590),26))))),BV590)</f>
        <v>bv581</v>
      </c>
      <c r="BW591" s="897"/>
      <c r="CE591" s="664"/>
      <c r="CH591" s="899" t="str">
        <f>CONCATENATE(IF(COLUMN(CH590)&lt;=26,CHAR(96+COLUMN(CH590)),(CHAR(96+(ROUNDDOWN((COLUMN(CH590)-1)/26,0)))&amp;CHAR(96+IF(MOD(COLUMN(CH590),26)=0,26,MOD(COLUMN(CH590),26))))),CH590)</f>
        <v>ch581</v>
      </c>
      <c r="CI591" s="897"/>
      <c r="CQ591" s="664"/>
      <c r="CT591" s="899" t="str">
        <f>CONCATENATE(IF(COLUMN(CT590)&lt;=26,CHAR(96+COLUMN(CT590)),(CHAR(96+(ROUNDDOWN((COLUMN(CT590)-1)/26,0)))&amp;CHAR(96+IF(MOD(COLUMN(CT590),26)=0,26,MOD(COLUMN(CT590),26))))),CT590)</f>
        <v>ct581</v>
      </c>
      <c r="CU591" s="897"/>
      <c r="DC591" s="664"/>
      <c r="DF591" s="899" t="str">
        <f>CONCATENATE(IF(COLUMN(DF590)&lt;=26,CHAR(96+COLUMN(DF590)),(CHAR(96+(ROUNDDOWN((COLUMN(DF590)-1)/26,0)))&amp;CHAR(96+IF(MOD(COLUMN(DF590),26)=0,26,MOD(COLUMN(DF590),26))))),DF590)</f>
        <v>df581</v>
      </c>
      <c r="DG591" s="897"/>
      <c r="DO591" s="664"/>
    </row>
    <row r="592" spans="2:119" hidden="1" x14ac:dyDescent="0.25">
      <c r="B592" s="899" t="str">
        <f>CONCATENATE(CHAR(64+COLUMN(C590)),B590)</f>
        <v>C581</v>
      </c>
      <c r="C592" s="897"/>
      <c r="K592" s="664"/>
      <c r="N592" s="899" t="str">
        <f>CONCATENATE(CHAR(64+COLUMN(O590)),N590)</f>
        <v>O581</v>
      </c>
      <c r="O592" s="897"/>
      <c r="U592" s="663"/>
      <c r="W592" s="664"/>
      <c r="Z592" s="899" t="str">
        <f>CONCATENATE(IF(COLUMN(AA590)&lt;=26,CHAR(96+COLUMN(AA590)),(CHAR(96+(ROUNDDOWN((COLUMN(AA590)-1)/26,0)))&amp;CHAR(96+IF(MOD(COLUMN(AA590),26)=0,26,MOD(COLUMN(AA590),26))))),Z590)</f>
        <v>aa581</v>
      </c>
      <c r="AA592" s="897"/>
      <c r="AB592" s="663"/>
      <c r="AC592" s="663"/>
      <c r="AD592" s="663"/>
      <c r="AE592" s="663"/>
      <c r="AF592" s="663"/>
      <c r="AG592" s="663"/>
      <c r="AH592" s="663"/>
      <c r="AI592" s="664"/>
      <c r="AL592" s="899" t="str">
        <f>CONCATENATE(IF(COLUMN(AM590)&lt;=26,CHAR(96+COLUMN(AM590)),(CHAR(96+(ROUNDDOWN((COLUMN(AM590)-1)/26,0)))&amp;CHAR(96+IF(MOD(COLUMN(AM590),26)=0,26,MOD(COLUMN(AM590),26))))),AL590)</f>
        <v>am581</v>
      </c>
      <c r="AM592" s="897"/>
      <c r="AN592" s="663"/>
      <c r="AU592" s="664"/>
      <c r="AX592" s="899" t="str">
        <f>CONCATENATE(IF(COLUMN(AY590)&lt;=26,CHAR(96+COLUMN(AY590)),(CHAR(96+(ROUNDDOWN((COLUMN(AY590)-1)/26,0)))&amp;CHAR(96+IF(MOD(COLUMN(AY590),26)=0,26,MOD(COLUMN(AY590),26))))),AX590)</f>
        <v>ay581</v>
      </c>
      <c r="AY592" s="897"/>
      <c r="BG592" s="664"/>
      <c r="BJ592" s="899" t="str">
        <f>CONCATENATE(IF(COLUMN(BK590)&lt;=26,CHAR(96+COLUMN(BK590)),(CHAR(96+(ROUNDDOWN((COLUMN(BK590)-1)/26,0)))&amp;CHAR(96+IF(MOD(COLUMN(BK590),26)=0,26,MOD(COLUMN(BK590),26))))),BJ590)</f>
        <v>bk581</v>
      </c>
      <c r="BK592" s="897"/>
      <c r="BS592" s="664"/>
      <c r="BV592" s="899" t="str">
        <f>CONCATENATE(IF(COLUMN(BW590)&lt;=26,CHAR(96+COLUMN(BW590)),(CHAR(96+(ROUNDDOWN((COLUMN(BW590)-1)/26,0)))&amp;CHAR(96+IF(MOD(COLUMN(BW590),26)=0,26,MOD(COLUMN(BW590),26))))),BV590)</f>
        <v>bw581</v>
      </c>
      <c r="BW592" s="897"/>
      <c r="CE592" s="664"/>
      <c r="CH592" s="899" t="str">
        <f>CONCATENATE(IF(COLUMN(CI590)&lt;=26,CHAR(96+COLUMN(CI590)),(CHAR(96+(ROUNDDOWN((COLUMN(CI590)-1)/26,0)))&amp;CHAR(96+IF(MOD(COLUMN(CI590),26)=0,26,MOD(COLUMN(CI590),26))))),CH590)</f>
        <v>ci581</v>
      </c>
      <c r="CI592" s="897"/>
      <c r="CQ592" s="664"/>
      <c r="CT592" s="899" t="str">
        <f>CONCATENATE(IF(COLUMN(CU590)&lt;=26,CHAR(96+COLUMN(CU590)),(CHAR(96+(ROUNDDOWN((COLUMN(CU590)-1)/26,0)))&amp;CHAR(96+IF(MOD(COLUMN(CU590),26)=0,26,MOD(COLUMN(CU590),26))))),CT590)</f>
        <v>cu581</v>
      </c>
      <c r="CU592" s="897"/>
      <c r="DC592" s="664"/>
      <c r="DF592" s="899" t="str">
        <f>CONCATENATE(IF(COLUMN(DG590)&lt;=26,CHAR(96+COLUMN(DG590)),(CHAR(96+(ROUNDDOWN((COLUMN(DG590)-1)/26,0)))&amp;CHAR(96+IF(MOD(COLUMN(DG590),26)=0,26,MOD(COLUMN(DG590),26))))),DF590)</f>
        <v>dg581</v>
      </c>
      <c r="DG592" s="897"/>
      <c r="DO592" s="664"/>
    </row>
    <row r="593" spans="2:119" hidden="1" x14ac:dyDescent="0.25">
      <c r="B593" s="896"/>
      <c r="C593" s="897"/>
      <c r="K593" s="664"/>
      <c r="N593" s="896"/>
      <c r="O593" s="897"/>
      <c r="U593" s="663"/>
      <c r="W593" s="664"/>
      <c r="Z593" s="896"/>
      <c r="AA593" s="897"/>
      <c r="AB593" s="663"/>
      <c r="AC593" s="663"/>
      <c r="AD593" s="663"/>
      <c r="AE593" s="663"/>
      <c r="AF593" s="663"/>
      <c r="AG593" s="663"/>
      <c r="AH593" s="663"/>
      <c r="AI593" s="664"/>
      <c r="AL593" s="896"/>
      <c r="AM593" s="897"/>
      <c r="AN593" s="663"/>
      <c r="AU593" s="664"/>
      <c r="AX593" s="896"/>
      <c r="AY593" s="897"/>
      <c r="BG593" s="664"/>
      <c r="BJ593" s="896"/>
      <c r="BK593" s="897"/>
      <c r="BS593" s="664"/>
      <c r="BV593" s="896"/>
      <c r="BW593" s="897"/>
      <c r="CE593" s="664"/>
      <c r="CH593" s="896"/>
      <c r="CI593" s="897"/>
      <c r="CQ593" s="664"/>
      <c r="CT593" s="896"/>
      <c r="CU593" s="897"/>
      <c r="DC593" s="664"/>
      <c r="DF593" s="896"/>
      <c r="DG593" s="897"/>
      <c r="DO593" s="664"/>
    </row>
    <row r="594" spans="2:119" hidden="1" x14ac:dyDescent="0.25">
      <c r="B594" s="896">
        <f>B579</f>
        <v>39113</v>
      </c>
      <c r="C594" s="897">
        <f>C579</f>
        <v>0</v>
      </c>
      <c r="K594" s="664"/>
      <c r="N594" s="896">
        <f>N579</f>
        <v>39113</v>
      </c>
      <c r="O594" s="897">
        <f>O579</f>
        <v>0</v>
      </c>
      <c r="U594" s="663"/>
      <c r="W594" s="664"/>
      <c r="Z594" s="896">
        <f>Z579</f>
        <v>39113</v>
      </c>
      <c r="AA594" s="897">
        <f>AA579</f>
        <v>0</v>
      </c>
      <c r="AB594" s="663"/>
      <c r="AC594" s="663"/>
      <c r="AD594" s="663"/>
      <c r="AE594" s="663"/>
      <c r="AF594" s="663"/>
      <c r="AG594" s="663"/>
      <c r="AH594" s="663"/>
      <c r="AI594" s="664"/>
      <c r="AL594" s="896">
        <f>AL579</f>
        <v>39113</v>
      </c>
      <c r="AM594" s="897">
        <f>AM579</f>
        <v>0</v>
      </c>
      <c r="AN594" s="663"/>
      <c r="AU594" s="664"/>
      <c r="AX594" s="896">
        <f>AX579</f>
        <v>39113</v>
      </c>
      <c r="AY594" s="897">
        <f>AY579</f>
        <v>0</v>
      </c>
      <c r="BG594" s="664"/>
      <c r="BJ594" s="896">
        <f>BJ579</f>
        <v>39113</v>
      </c>
      <c r="BK594" s="897">
        <f>BK579</f>
        <v>0</v>
      </c>
      <c r="BS594" s="664"/>
      <c r="BV594" s="896">
        <f>BV579</f>
        <v>39113</v>
      </c>
      <c r="BW594" s="897">
        <f>BW579</f>
        <v>0</v>
      </c>
      <c r="CE594" s="664"/>
      <c r="CH594" s="896">
        <f>CH579</f>
        <v>39113</v>
      </c>
      <c r="CI594" s="897">
        <f>CI579</f>
        <v>0</v>
      </c>
      <c r="CQ594" s="664"/>
      <c r="CT594" s="896">
        <f>CT579</f>
        <v>39113</v>
      </c>
      <c r="CU594" s="897">
        <f>CU579</f>
        <v>0</v>
      </c>
      <c r="DC594" s="664"/>
      <c r="DF594" s="896">
        <f>DF579</f>
        <v>39113</v>
      </c>
      <c r="DG594" s="897">
        <f>DG579</f>
        <v>0</v>
      </c>
      <c r="DO594" s="664"/>
    </row>
    <row r="595" spans="2:119" hidden="1" x14ac:dyDescent="0.25">
      <c r="B595" s="896">
        <f t="shared" ref="B595:C595" si="1601">B580</f>
        <v>39478</v>
      </c>
      <c r="C595" s="897">
        <f t="shared" si="1601"/>
        <v>0</v>
      </c>
      <c r="K595" s="664"/>
      <c r="N595" s="896">
        <f t="shared" ref="N595:O595" si="1602">N580</f>
        <v>39478</v>
      </c>
      <c r="O595" s="897">
        <f t="shared" si="1602"/>
        <v>0</v>
      </c>
      <c r="U595" s="663"/>
      <c r="W595" s="664"/>
      <c r="Z595" s="896">
        <f t="shared" ref="Z595:AA595" si="1603">Z580</f>
        <v>39478</v>
      </c>
      <c r="AA595" s="897">
        <f t="shared" si="1603"/>
        <v>0</v>
      </c>
      <c r="AB595" s="663"/>
      <c r="AC595" s="663"/>
      <c r="AD595" s="663"/>
      <c r="AE595" s="663"/>
      <c r="AF595" s="663"/>
      <c r="AG595" s="663"/>
      <c r="AH595" s="663"/>
      <c r="AI595" s="664"/>
      <c r="AL595" s="896">
        <f t="shared" ref="AL595:AM595" si="1604">AL580</f>
        <v>39478</v>
      </c>
      <c r="AM595" s="897">
        <f t="shared" si="1604"/>
        <v>0</v>
      </c>
      <c r="AN595" s="663"/>
      <c r="AU595" s="664"/>
      <c r="AX595" s="896">
        <f t="shared" ref="AX595:AY595" si="1605">AX580</f>
        <v>39478</v>
      </c>
      <c r="AY595" s="897">
        <f t="shared" si="1605"/>
        <v>0</v>
      </c>
      <c r="BG595" s="664"/>
      <c r="BJ595" s="896">
        <f t="shared" ref="BJ595:BK595" si="1606">BJ580</f>
        <v>39478</v>
      </c>
      <c r="BK595" s="897">
        <f t="shared" si="1606"/>
        <v>0</v>
      </c>
      <c r="BS595" s="664"/>
      <c r="BV595" s="896">
        <f t="shared" ref="BV595:BW595" si="1607">BV580</f>
        <v>39478</v>
      </c>
      <c r="BW595" s="897">
        <f t="shared" si="1607"/>
        <v>0</v>
      </c>
      <c r="CE595" s="664"/>
      <c r="CH595" s="896">
        <f t="shared" ref="CH595:CI595" si="1608">CH580</f>
        <v>39478</v>
      </c>
      <c r="CI595" s="897">
        <f t="shared" si="1608"/>
        <v>0</v>
      </c>
      <c r="CQ595" s="664"/>
      <c r="CT595" s="896">
        <f t="shared" ref="CT595:CU595" si="1609">CT580</f>
        <v>39478</v>
      </c>
      <c r="CU595" s="897">
        <f t="shared" si="1609"/>
        <v>0</v>
      </c>
      <c r="DC595" s="664"/>
      <c r="DF595" s="896">
        <f t="shared" ref="DF595:DG595" si="1610">DF580</f>
        <v>39478</v>
      </c>
      <c r="DG595" s="897">
        <f t="shared" si="1610"/>
        <v>0</v>
      </c>
      <c r="DO595" s="664"/>
    </row>
    <row r="596" spans="2:119" hidden="1" x14ac:dyDescent="0.25">
      <c r="B596" s="896">
        <f t="shared" ref="B596:C596" si="1611">B581</f>
        <v>39843</v>
      </c>
      <c r="C596" s="897">
        <f t="shared" si="1611"/>
        <v>-2500000</v>
      </c>
      <c r="K596" s="664"/>
      <c r="N596" s="896">
        <f t="shared" ref="N596:O596" si="1612">N581</f>
        <v>39843</v>
      </c>
      <c r="O596" s="897">
        <f t="shared" si="1612"/>
        <v>-2500000</v>
      </c>
      <c r="U596" s="663"/>
      <c r="W596" s="664"/>
      <c r="Z596" s="896">
        <f t="shared" ref="Z596:AA596" si="1613">Z581</f>
        <v>39843</v>
      </c>
      <c r="AA596" s="897">
        <f t="shared" si="1613"/>
        <v>-2500000</v>
      </c>
      <c r="AB596" s="663"/>
      <c r="AC596" s="663"/>
      <c r="AD596" s="663"/>
      <c r="AE596" s="663"/>
      <c r="AF596" s="663"/>
      <c r="AG596" s="663"/>
      <c r="AH596" s="663"/>
      <c r="AI596" s="664"/>
      <c r="AL596" s="896">
        <f t="shared" ref="AL596:AM596" si="1614">AL581</f>
        <v>39843</v>
      </c>
      <c r="AM596" s="897">
        <f t="shared" si="1614"/>
        <v>-2500000</v>
      </c>
      <c r="AN596" s="663"/>
      <c r="AU596" s="664"/>
      <c r="AX596" s="896">
        <f t="shared" ref="AX596:AY596" si="1615">AX581</f>
        <v>39843</v>
      </c>
      <c r="AY596" s="897">
        <f t="shared" si="1615"/>
        <v>-2500000</v>
      </c>
      <c r="BG596" s="664"/>
      <c r="BJ596" s="896">
        <f t="shared" ref="BJ596:BK596" si="1616">BJ581</f>
        <v>39843</v>
      </c>
      <c r="BK596" s="897">
        <f t="shared" si="1616"/>
        <v>-2500000</v>
      </c>
      <c r="BS596" s="664"/>
      <c r="BV596" s="896">
        <f t="shared" ref="BV596:BW596" si="1617">BV581</f>
        <v>39843</v>
      </c>
      <c r="BW596" s="897">
        <f t="shared" si="1617"/>
        <v>-2500000</v>
      </c>
      <c r="CE596" s="664"/>
      <c r="CH596" s="896">
        <f t="shared" ref="CH596:CI596" si="1618">CH581</f>
        <v>39843</v>
      </c>
      <c r="CI596" s="897">
        <f t="shared" si="1618"/>
        <v>-2500000</v>
      </c>
      <c r="CQ596" s="664"/>
      <c r="CT596" s="896">
        <f t="shared" ref="CT596:CU596" si="1619">CT581</f>
        <v>39843</v>
      </c>
      <c r="CU596" s="897">
        <f t="shared" si="1619"/>
        <v>-2500000</v>
      </c>
      <c r="DC596" s="664"/>
      <c r="DF596" s="896">
        <f t="shared" ref="DF596:DG596" si="1620">DF581</f>
        <v>39843</v>
      </c>
      <c r="DG596" s="897">
        <f t="shared" si="1620"/>
        <v>-2500000</v>
      </c>
      <c r="DO596" s="664"/>
    </row>
    <row r="597" spans="2:119" hidden="1" x14ac:dyDescent="0.25">
      <c r="B597" s="896">
        <f t="shared" ref="B597:C597" si="1621">B582</f>
        <v>39843</v>
      </c>
      <c r="C597" s="897">
        <f t="shared" si="1621"/>
        <v>-6666666.666666667</v>
      </c>
      <c r="K597" s="664"/>
      <c r="N597" s="896">
        <f t="shared" ref="N597:O597" si="1622">N582</f>
        <v>39843</v>
      </c>
      <c r="O597" s="897">
        <f t="shared" si="1622"/>
        <v>-6666666.666666667</v>
      </c>
      <c r="U597" s="663"/>
      <c r="W597" s="664"/>
      <c r="Z597" s="896">
        <f t="shared" ref="Z597:AA597" si="1623">Z582</f>
        <v>39843</v>
      </c>
      <c r="AA597" s="897">
        <f t="shared" si="1623"/>
        <v>-6666666.666666667</v>
      </c>
      <c r="AB597" s="663"/>
      <c r="AC597" s="663"/>
      <c r="AD597" s="663"/>
      <c r="AE597" s="663"/>
      <c r="AF597" s="663"/>
      <c r="AG597" s="663"/>
      <c r="AH597" s="663"/>
      <c r="AI597" s="664"/>
      <c r="AL597" s="896">
        <f t="shared" ref="AL597:AM597" si="1624">AL582</f>
        <v>39843</v>
      </c>
      <c r="AM597" s="897">
        <f t="shared" si="1624"/>
        <v>-6666666.666666667</v>
      </c>
      <c r="AN597" s="663"/>
      <c r="AU597" s="664"/>
      <c r="AX597" s="896">
        <f t="shared" ref="AX597:AY597" si="1625">AX582</f>
        <v>39843</v>
      </c>
      <c r="AY597" s="897">
        <f t="shared" si="1625"/>
        <v>-6666666.666666667</v>
      </c>
      <c r="BG597" s="664"/>
      <c r="BJ597" s="896">
        <f t="shared" ref="BJ597:BK597" si="1626">BJ582</f>
        <v>39843</v>
      </c>
      <c r="BK597" s="897">
        <f t="shared" si="1626"/>
        <v>-6666666.666666667</v>
      </c>
      <c r="BS597" s="664"/>
      <c r="BV597" s="896">
        <f t="shared" ref="BV597:BW597" si="1627">BV582</f>
        <v>39843</v>
      </c>
      <c r="BW597" s="897">
        <f t="shared" si="1627"/>
        <v>-6666666.666666667</v>
      </c>
      <c r="CE597" s="664"/>
      <c r="CH597" s="896">
        <f t="shared" ref="CH597:CI597" si="1628">CH582</f>
        <v>39843</v>
      </c>
      <c r="CI597" s="897">
        <f t="shared" si="1628"/>
        <v>-6666666.666666667</v>
      </c>
      <c r="CQ597" s="664"/>
      <c r="CT597" s="896">
        <f t="shared" ref="CT597:CU597" si="1629">CT582</f>
        <v>39843</v>
      </c>
      <c r="CU597" s="897">
        <f t="shared" si="1629"/>
        <v>-6666666.666666667</v>
      </c>
      <c r="DC597" s="664"/>
      <c r="DF597" s="896">
        <f t="shared" ref="DF597:DG597" si="1630">DF582</f>
        <v>39843</v>
      </c>
      <c r="DG597" s="897">
        <f t="shared" si="1630"/>
        <v>-6666666.666666667</v>
      </c>
      <c r="DO597" s="664"/>
    </row>
    <row r="598" spans="2:119" hidden="1" x14ac:dyDescent="0.25">
      <c r="B598" s="896">
        <f t="shared" ref="B598:C598" si="1631">B583</f>
        <v>39843</v>
      </c>
      <c r="C598" s="897">
        <f t="shared" si="1631"/>
        <v>0</v>
      </c>
      <c r="K598" s="664"/>
      <c r="N598" s="896">
        <f t="shared" ref="N598:O598" si="1632">N583</f>
        <v>39843</v>
      </c>
      <c r="O598" s="897">
        <f t="shared" si="1632"/>
        <v>0</v>
      </c>
      <c r="U598" s="663"/>
      <c r="W598" s="664"/>
      <c r="Z598" s="896">
        <f t="shared" ref="Z598:AA598" si="1633">Z583</f>
        <v>39843</v>
      </c>
      <c r="AA598" s="897">
        <f t="shared" si="1633"/>
        <v>0</v>
      </c>
      <c r="AB598" s="663"/>
      <c r="AC598" s="663"/>
      <c r="AD598" s="663"/>
      <c r="AE598" s="663"/>
      <c r="AF598" s="663"/>
      <c r="AG598" s="663"/>
      <c r="AH598" s="663"/>
      <c r="AI598" s="664"/>
      <c r="AL598" s="896">
        <f t="shared" ref="AL598:AM598" si="1634">AL583</f>
        <v>39843</v>
      </c>
      <c r="AM598" s="897">
        <f t="shared" si="1634"/>
        <v>0</v>
      </c>
      <c r="AN598" s="663"/>
      <c r="AU598" s="664"/>
      <c r="AX598" s="896">
        <f t="shared" ref="AX598:AY598" si="1635">AX583</f>
        <v>39843</v>
      </c>
      <c r="AY598" s="897">
        <f t="shared" si="1635"/>
        <v>0</v>
      </c>
      <c r="BG598" s="664"/>
      <c r="BJ598" s="896">
        <f t="shared" ref="BJ598:BK598" si="1636">BJ583</f>
        <v>39843</v>
      </c>
      <c r="BK598" s="897">
        <f t="shared" si="1636"/>
        <v>0</v>
      </c>
      <c r="BS598" s="664"/>
      <c r="BV598" s="896">
        <f t="shared" ref="BV598:BW598" si="1637">BV583</f>
        <v>39843</v>
      </c>
      <c r="BW598" s="897">
        <f t="shared" si="1637"/>
        <v>0</v>
      </c>
      <c r="CE598" s="664"/>
      <c r="CH598" s="896">
        <f t="shared" ref="CH598:CI598" si="1638">CH583</f>
        <v>39843</v>
      </c>
      <c r="CI598" s="897">
        <f t="shared" si="1638"/>
        <v>0</v>
      </c>
      <c r="CQ598" s="664"/>
      <c r="CT598" s="896">
        <f t="shared" ref="CT598:CU598" si="1639">CT583</f>
        <v>39843</v>
      </c>
      <c r="CU598" s="897">
        <f t="shared" si="1639"/>
        <v>0</v>
      </c>
      <c r="DC598" s="664"/>
      <c r="DF598" s="896">
        <f t="shared" ref="DF598:DG598" si="1640">DF583</f>
        <v>39843</v>
      </c>
      <c r="DG598" s="897">
        <f t="shared" si="1640"/>
        <v>0</v>
      </c>
      <c r="DO598" s="664"/>
    </row>
    <row r="599" spans="2:119" hidden="1" x14ac:dyDescent="0.25">
      <c r="B599" s="896">
        <f t="shared" ref="B599:C599" si="1641">B584</f>
        <v>39843</v>
      </c>
      <c r="C599" s="897">
        <f t="shared" si="1641"/>
        <v>0</v>
      </c>
      <c r="K599" s="664"/>
      <c r="N599" s="896">
        <f t="shared" ref="N599:O599" si="1642">N584</f>
        <v>39843</v>
      </c>
      <c r="O599" s="897">
        <f t="shared" si="1642"/>
        <v>0</v>
      </c>
      <c r="U599" s="663"/>
      <c r="W599" s="664"/>
      <c r="Z599" s="896">
        <f t="shared" ref="Z599:AA599" si="1643">Z584</f>
        <v>39843</v>
      </c>
      <c r="AA599" s="897">
        <f t="shared" si="1643"/>
        <v>0</v>
      </c>
      <c r="AB599" s="663"/>
      <c r="AC599" s="663"/>
      <c r="AD599" s="663"/>
      <c r="AE599" s="663"/>
      <c r="AF599" s="663"/>
      <c r="AG599" s="663"/>
      <c r="AH599" s="663"/>
      <c r="AI599" s="664"/>
      <c r="AL599" s="896">
        <f t="shared" ref="AL599:AM599" si="1644">AL584</f>
        <v>39843</v>
      </c>
      <c r="AM599" s="897">
        <f t="shared" si="1644"/>
        <v>0</v>
      </c>
      <c r="AN599" s="663"/>
      <c r="AU599" s="664"/>
      <c r="AX599" s="896">
        <f t="shared" ref="AX599:AY599" si="1645">AX584</f>
        <v>39843</v>
      </c>
      <c r="AY599" s="897">
        <f t="shared" si="1645"/>
        <v>0</v>
      </c>
      <c r="BG599" s="664"/>
      <c r="BJ599" s="896">
        <f t="shared" ref="BJ599:BK599" si="1646">BJ584</f>
        <v>39843</v>
      </c>
      <c r="BK599" s="897">
        <f t="shared" si="1646"/>
        <v>0</v>
      </c>
      <c r="BS599" s="664"/>
      <c r="BV599" s="896">
        <f t="shared" ref="BV599:BW599" si="1647">BV584</f>
        <v>39843</v>
      </c>
      <c r="BW599" s="897">
        <f t="shared" si="1647"/>
        <v>0</v>
      </c>
      <c r="CE599" s="664"/>
      <c r="CH599" s="896">
        <f t="shared" ref="CH599:CI599" si="1648">CH584</f>
        <v>39843</v>
      </c>
      <c r="CI599" s="897">
        <f t="shared" si="1648"/>
        <v>0</v>
      </c>
      <c r="CQ599" s="664"/>
      <c r="CT599" s="896">
        <f t="shared" ref="CT599:CU599" si="1649">CT584</f>
        <v>39843</v>
      </c>
      <c r="CU599" s="897">
        <f t="shared" si="1649"/>
        <v>0</v>
      </c>
      <c r="DC599" s="664"/>
      <c r="DF599" s="896">
        <f t="shared" ref="DF599:DG599" si="1650">DF584</f>
        <v>39843</v>
      </c>
      <c r="DG599" s="897">
        <f t="shared" si="1650"/>
        <v>0</v>
      </c>
      <c r="DO599" s="664"/>
    </row>
    <row r="600" spans="2:119" hidden="1" x14ac:dyDescent="0.25">
      <c r="B600" s="896">
        <f t="shared" ref="B600:C600" si="1651">B585</f>
        <v>39843</v>
      </c>
      <c r="C600" s="897">
        <f t="shared" si="1651"/>
        <v>0</v>
      </c>
      <c r="K600" s="664"/>
      <c r="N600" s="896">
        <f t="shared" ref="N600:O600" si="1652">N585</f>
        <v>39843</v>
      </c>
      <c r="O600" s="897">
        <f t="shared" si="1652"/>
        <v>0</v>
      </c>
      <c r="U600" s="663"/>
      <c r="W600" s="664"/>
      <c r="Z600" s="896">
        <f t="shared" ref="Z600:AA600" si="1653">Z585</f>
        <v>39843</v>
      </c>
      <c r="AA600" s="897">
        <f t="shared" si="1653"/>
        <v>0</v>
      </c>
      <c r="AB600" s="663"/>
      <c r="AC600" s="663"/>
      <c r="AD600" s="663"/>
      <c r="AE600" s="663"/>
      <c r="AF600" s="663"/>
      <c r="AG600" s="663"/>
      <c r="AH600" s="663"/>
      <c r="AI600" s="664"/>
      <c r="AL600" s="896">
        <f t="shared" ref="AL600:AM600" si="1654">AL585</f>
        <v>39843</v>
      </c>
      <c r="AM600" s="897">
        <f t="shared" si="1654"/>
        <v>0</v>
      </c>
      <c r="AN600" s="663"/>
      <c r="AU600" s="664"/>
      <c r="AX600" s="896">
        <f t="shared" ref="AX600:AY600" si="1655">AX585</f>
        <v>39843</v>
      </c>
      <c r="AY600" s="897">
        <f t="shared" si="1655"/>
        <v>0</v>
      </c>
      <c r="BG600" s="664"/>
      <c r="BJ600" s="896">
        <f t="shared" ref="BJ600:BK600" si="1656">BJ585</f>
        <v>39843</v>
      </c>
      <c r="BK600" s="897">
        <f t="shared" si="1656"/>
        <v>0</v>
      </c>
      <c r="BS600" s="664"/>
      <c r="BV600" s="896">
        <f t="shared" ref="BV600:BW600" si="1657">BV585</f>
        <v>39843</v>
      </c>
      <c r="BW600" s="897">
        <f t="shared" si="1657"/>
        <v>0</v>
      </c>
      <c r="CE600" s="664"/>
      <c r="CH600" s="896">
        <f t="shared" ref="CH600:CI600" si="1658">CH585</f>
        <v>39843</v>
      </c>
      <c r="CI600" s="897">
        <f t="shared" si="1658"/>
        <v>0</v>
      </c>
      <c r="CQ600" s="664"/>
      <c r="CT600" s="896">
        <f t="shared" ref="CT600:CU600" si="1659">CT585</f>
        <v>39843</v>
      </c>
      <c r="CU600" s="897">
        <f t="shared" si="1659"/>
        <v>0</v>
      </c>
      <c r="DC600" s="664"/>
      <c r="DF600" s="896">
        <f t="shared" ref="DF600:DG600" si="1660">DF585</f>
        <v>39843</v>
      </c>
      <c r="DG600" s="897">
        <f t="shared" si="1660"/>
        <v>0</v>
      </c>
      <c r="DO600" s="664"/>
    </row>
    <row r="601" spans="2:119" hidden="1" x14ac:dyDescent="0.25">
      <c r="B601" s="896">
        <f t="shared" ref="B601:C601" si="1661">B586</f>
        <v>39843</v>
      </c>
      <c r="C601" s="897">
        <f t="shared" si="1661"/>
        <v>0</v>
      </c>
      <c r="K601" s="664"/>
      <c r="N601" s="896">
        <f t="shared" ref="N601:O601" si="1662">N586</f>
        <v>39843</v>
      </c>
      <c r="O601" s="897">
        <f t="shared" si="1662"/>
        <v>0</v>
      </c>
      <c r="U601" s="663"/>
      <c r="W601" s="664"/>
      <c r="Z601" s="896">
        <f t="shared" ref="Z601:AA601" si="1663">Z586</f>
        <v>39843</v>
      </c>
      <c r="AA601" s="897">
        <f t="shared" si="1663"/>
        <v>0</v>
      </c>
      <c r="AB601" s="663"/>
      <c r="AC601" s="663"/>
      <c r="AD601" s="663"/>
      <c r="AE601" s="663"/>
      <c r="AF601" s="663"/>
      <c r="AG601" s="663"/>
      <c r="AH601" s="663"/>
      <c r="AI601" s="664"/>
      <c r="AL601" s="896">
        <f t="shared" ref="AL601:AM601" si="1664">AL586</f>
        <v>39843</v>
      </c>
      <c r="AM601" s="897">
        <f t="shared" si="1664"/>
        <v>0</v>
      </c>
      <c r="AN601" s="663"/>
      <c r="AU601" s="664"/>
      <c r="AX601" s="896">
        <f t="shared" ref="AX601:AY601" si="1665">AX586</f>
        <v>39843</v>
      </c>
      <c r="AY601" s="897">
        <f t="shared" si="1665"/>
        <v>0</v>
      </c>
      <c r="BG601" s="664"/>
      <c r="BJ601" s="896">
        <f t="shared" ref="BJ601:BK601" si="1666">BJ586</f>
        <v>39843</v>
      </c>
      <c r="BK601" s="897">
        <f t="shared" si="1666"/>
        <v>0</v>
      </c>
      <c r="BS601" s="664"/>
      <c r="BV601" s="896">
        <f t="shared" ref="BV601:BW601" si="1667">BV586</f>
        <v>39843</v>
      </c>
      <c r="BW601" s="897">
        <f t="shared" si="1667"/>
        <v>0</v>
      </c>
      <c r="CE601" s="664"/>
      <c r="CH601" s="896">
        <f t="shared" ref="CH601:CI601" si="1668">CH586</f>
        <v>39843</v>
      </c>
      <c r="CI601" s="897">
        <f t="shared" si="1668"/>
        <v>0</v>
      </c>
      <c r="CQ601" s="664"/>
      <c r="CT601" s="896">
        <f t="shared" ref="CT601:CU601" si="1669">CT586</f>
        <v>39843</v>
      </c>
      <c r="CU601" s="897">
        <f t="shared" si="1669"/>
        <v>0</v>
      </c>
      <c r="DC601" s="664"/>
      <c r="DF601" s="896">
        <f t="shared" ref="DF601:DG601" si="1670">DF586</f>
        <v>39843</v>
      </c>
      <c r="DG601" s="897">
        <f t="shared" si="1670"/>
        <v>0</v>
      </c>
      <c r="DO601" s="664"/>
    </row>
    <row r="602" spans="2:119" hidden="1" x14ac:dyDescent="0.25">
      <c r="B602" s="896">
        <f t="shared" ref="B602:C602" si="1671">B587</f>
        <v>39843</v>
      </c>
      <c r="C602" s="897">
        <f t="shared" si="1671"/>
        <v>0</v>
      </c>
      <c r="K602" s="664"/>
      <c r="N602" s="896">
        <f t="shared" ref="N602:O602" si="1672">N587</f>
        <v>39843</v>
      </c>
      <c r="O602" s="897">
        <f t="shared" si="1672"/>
        <v>0</v>
      </c>
      <c r="U602" s="663"/>
      <c r="W602" s="664"/>
      <c r="Z602" s="896">
        <f t="shared" ref="Z602:AA602" si="1673">Z587</f>
        <v>39843</v>
      </c>
      <c r="AA602" s="897">
        <f t="shared" si="1673"/>
        <v>0</v>
      </c>
      <c r="AB602" s="663"/>
      <c r="AC602" s="663"/>
      <c r="AD602" s="663"/>
      <c r="AE602" s="663"/>
      <c r="AF602" s="663"/>
      <c r="AG602" s="663"/>
      <c r="AH602" s="663"/>
      <c r="AI602" s="664"/>
      <c r="AL602" s="896">
        <f t="shared" ref="AL602:AM602" si="1674">AL587</f>
        <v>39843</v>
      </c>
      <c r="AM602" s="897">
        <f t="shared" si="1674"/>
        <v>0</v>
      </c>
      <c r="AN602" s="663"/>
      <c r="AU602" s="664"/>
      <c r="AX602" s="896">
        <f t="shared" ref="AX602:AY602" si="1675">AX587</f>
        <v>39843</v>
      </c>
      <c r="AY602" s="897">
        <f t="shared" si="1675"/>
        <v>0</v>
      </c>
      <c r="BG602" s="664"/>
      <c r="BJ602" s="896">
        <f t="shared" ref="BJ602:BK602" si="1676">BJ587</f>
        <v>39843</v>
      </c>
      <c r="BK602" s="897">
        <f t="shared" si="1676"/>
        <v>0</v>
      </c>
      <c r="BS602" s="664"/>
      <c r="BV602" s="896">
        <f t="shared" ref="BV602:BW602" si="1677">BV587</f>
        <v>39843</v>
      </c>
      <c r="BW602" s="897">
        <f t="shared" si="1677"/>
        <v>0</v>
      </c>
      <c r="CE602" s="664"/>
      <c r="CH602" s="896">
        <f t="shared" ref="CH602:CI602" si="1678">CH587</f>
        <v>39843</v>
      </c>
      <c r="CI602" s="897">
        <f t="shared" si="1678"/>
        <v>0</v>
      </c>
      <c r="CQ602" s="664"/>
      <c r="CT602" s="896">
        <f t="shared" ref="CT602:CU602" si="1679">CT587</f>
        <v>39843</v>
      </c>
      <c r="CU602" s="897">
        <f t="shared" si="1679"/>
        <v>0</v>
      </c>
      <c r="DC602" s="664"/>
      <c r="DF602" s="896">
        <f t="shared" ref="DF602:DG602" si="1680">DF587</f>
        <v>39843</v>
      </c>
      <c r="DG602" s="897">
        <f t="shared" si="1680"/>
        <v>0</v>
      </c>
      <c r="DO602" s="664"/>
    </row>
    <row r="603" spans="2:119" hidden="1" x14ac:dyDescent="0.25">
      <c r="B603" s="896">
        <f t="shared" ref="B603:C603" si="1681">B588</f>
        <v>39843</v>
      </c>
      <c r="C603" s="897">
        <f t="shared" si="1681"/>
        <v>0</v>
      </c>
      <c r="K603" s="664"/>
      <c r="N603" s="896">
        <f t="shared" ref="N603:O603" si="1682">N588</f>
        <v>39843</v>
      </c>
      <c r="O603" s="897">
        <f t="shared" si="1682"/>
        <v>0</v>
      </c>
      <c r="U603" s="663"/>
      <c r="W603" s="664"/>
      <c r="Z603" s="896">
        <f t="shared" ref="Z603:AA603" si="1683">Z588</f>
        <v>39843</v>
      </c>
      <c r="AA603" s="897">
        <f t="shared" si="1683"/>
        <v>0</v>
      </c>
      <c r="AB603" s="663"/>
      <c r="AC603" s="663"/>
      <c r="AD603" s="663"/>
      <c r="AE603" s="663"/>
      <c r="AF603" s="663"/>
      <c r="AG603" s="663"/>
      <c r="AH603" s="663"/>
      <c r="AI603" s="664"/>
      <c r="AL603" s="896">
        <f t="shared" ref="AL603:AM603" si="1684">AL588</f>
        <v>39843</v>
      </c>
      <c r="AM603" s="897">
        <f t="shared" si="1684"/>
        <v>0</v>
      </c>
      <c r="AN603" s="663"/>
      <c r="AU603" s="664"/>
      <c r="AX603" s="896">
        <f t="shared" ref="AX603:AY603" si="1685">AX588</f>
        <v>39843</v>
      </c>
      <c r="AY603" s="897">
        <f t="shared" si="1685"/>
        <v>0</v>
      </c>
      <c r="BG603" s="664"/>
      <c r="BJ603" s="896">
        <f t="shared" ref="BJ603:BK603" si="1686">BJ588</f>
        <v>39843</v>
      </c>
      <c r="BK603" s="897">
        <f t="shared" si="1686"/>
        <v>0</v>
      </c>
      <c r="BS603" s="664"/>
      <c r="BV603" s="896">
        <f t="shared" ref="BV603:BW603" si="1687">BV588</f>
        <v>39843</v>
      </c>
      <c r="BW603" s="897">
        <f t="shared" si="1687"/>
        <v>0</v>
      </c>
      <c r="CE603" s="664"/>
      <c r="CH603" s="896">
        <f t="shared" ref="CH603:CI603" si="1688">CH588</f>
        <v>39843</v>
      </c>
      <c r="CI603" s="897">
        <f t="shared" si="1688"/>
        <v>0</v>
      </c>
      <c r="CQ603" s="664"/>
      <c r="CT603" s="896">
        <f t="shared" ref="CT603:CU603" si="1689">CT588</f>
        <v>39843</v>
      </c>
      <c r="CU603" s="897">
        <f t="shared" si="1689"/>
        <v>0</v>
      </c>
      <c r="DC603" s="664"/>
      <c r="DF603" s="896">
        <f t="shared" ref="DF603:DG603" si="1690">DF588</f>
        <v>39843</v>
      </c>
      <c r="DG603" s="897">
        <f t="shared" si="1690"/>
        <v>0</v>
      </c>
      <c r="DO603" s="664"/>
    </row>
    <row r="604" spans="2:119" hidden="1" x14ac:dyDescent="0.25">
      <c r="B604" s="896">
        <f>B589+$C$56</f>
        <v>41539</v>
      </c>
      <c r="C604" s="897">
        <f ca="1">C589</f>
        <v>0</v>
      </c>
      <c r="K604" s="664"/>
      <c r="N604" s="896">
        <f>N589+$C$56</f>
        <v>41539</v>
      </c>
      <c r="O604" s="897">
        <f ca="1">O589</f>
        <v>0</v>
      </c>
      <c r="U604" s="663"/>
      <c r="W604" s="664"/>
      <c r="Z604" s="896">
        <f>Z589+$C$56</f>
        <v>41539</v>
      </c>
      <c r="AA604" s="897">
        <f ca="1">AA589</f>
        <v>0</v>
      </c>
      <c r="AB604" s="663"/>
      <c r="AC604" s="663"/>
      <c r="AD604" s="663"/>
      <c r="AE604" s="663"/>
      <c r="AF604" s="663"/>
      <c r="AG604" s="663"/>
      <c r="AH604" s="663"/>
      <c r="AI604" s="664"/>
      <c r="AL604" s="896">
        <f>AL589+$C$56</f>
        <v>41539</v>
      </c>
      <c r="AM604" s="897">
        <f ca="1">AM589</f>
        <v>0</v>
      </c>
      <c r="AN604" s="663"/>
      <c r="AU604" s="664"/>
      <c r="AX604" s="896">
        <f>AX589+$C$56</f>
        <v>41539</v>
      </c>
      <c r="AY604" s="897">
        <f ca="1">AY589</f>
        <v>0</v>
      </c>
      <c r="BG604" s="664"/>
      <c r="BJ604" s="896">
        <f>BJ589+$C$56</f>
        <v>41539</v>
      </c>
      <c r="BK604" s="897">
        <f ca="1">BK589</f>
        <v>0</v>
      </c>
      <c r="BS604" s="664"/>
      <c r="BV604" s="896">
        <f>BV589+$C$56</f>
        <v>41539</v>
      </c>
      <c r="BW604" s="897">
        <f ca="1">BW589</f>
        <v>0</v>
      </c>
      <c r="CE604" s="664"/>
      <c r="CH604" s="896">
        <f>CH589+$C$56</f>
        <v>41539</v>
      </c>
      <c r="CI604" s="897">
        <f ca="1">CI589</f>
        <v>0</v>
      </c>
      <c r="CQ604" s="664"/>
      <c r="CT604" s="896">
        <f>CT589+$C$56</f>
        <v>41539</v>
      </c>
      <c r="CU604" s="897">
        <f ca="1">CU589</f>
        <v>0</v>
      </c>
      <c r="DC604" s="664"/>
      <c r="DF604" s="896">
        <f>DF589+$C$56</f>
        <v>41539</v>
      </c>
      <c r="DG604" s="897">
        <f ca="1">DG589</f>
        <v>0</v>
      </c>
      <c r="DO604" s="664"/>
    </row>
    <row r="605" spans="2:119" hidden="1" x14ac:dyDescent="0.25">
      <c r="B605" s="898">
        <f>IF(C594&lt;&gt;0,ROW(C594),IF(C595&lt;&gt;0,ROW(C595),IF(C596&lt;&gt;0,ROW(C596),IF(C597&lt;&gt;0,ROW(C597),IF(C598&lt;&gt;0,ROW(C598),IF(C599&lt;&gt;0,ROW(C599),IF(C600&lt;&gt;0,ROW(C600),IF(C601&lt;&gt;0,ROW(C601),IF(C602&lt;&gt;0,ROW(C602),IF(C603&lt;&gt;0,ROW(C603)))))))))))</f>
        <v>596</v>
      </c>
      <c r="C605" s="882" t="e">
        <f ca="1">IF(ISERROR(XIRR(INDIRECT(B607):C604,INDIRECT(B606):B604,-20%)),XIRR(INDIRECT(B607):C604,INDIRECT(B606):B604,20%),"N/A")</f>
        <v>#NUM!</v>
      </c>
      <c r="K605" s="664"/>
      <c r="N605" s="898">
        <f>IF(O594&lt;&gt;0,ROW(O594),IF(O595&lt;&gt;0,ROW(O595),IF(O596&lt;&gt;0,ROW(O596),IF(O597&lt;&gt;0,ROW(O597),IF(O598&lt;&gt;0,ROW(O598),IF(O599&lt;&gt;0,ROW(O599),IF(O600&lt;&gt;0,ROW(O600),IF(O601&lt;&gt;0,ROW(O601),IF(O602&lt;&gt;0,ROW(O602),IF(O603&lt;&gt;0,ROW(O603)))))))))))</f>
        <v>596</v>
      </c>
      <c r="O605" s="882" t="e">
        <f ca="1">IF(ISERROR(XIRR(INDIRECT(N607):O604,INDIRECT(N606):N604,-20%)),XIRR(INDIRECT(N607):O604,INDIRECT(N606):N604,20%),"N/A")</f>
        <v>#NUM!</v>
      </c>
      <c r="U605" s="663"/>
      <c r="W605" s="664"/>
      <c r="Z605" s="898">
        <f>IF(AA594&lt;&gt;0,ROW(AA594),IF(AA595&lt;&gt;0,ROW(AA595),IF(AA596&lt;&gt;0,ROW(AA596),IF(AA597&lt;&gt;0,ROW(AA597),IF(AA598&lt;&gt;0,ROW(AA598),IF(AA599&lt;&gt;0,ROW(AA599),IF(AA600&lt;&gt;0,ROW(AA600),IF(AA601&lt;&gt;0,ROW(AA601),IF(AA602&lt;&gt;0,ROW(AA602),IF(AA603&lt;&gt;0,ROW(AA603)))))))))))</f>
        <v>596</v>
      </c>
      <c r="AA605" s="882" t="e">
        <f ca="1">IF(ISERROR(XIRR(INDIRECT(Z607):AA604,INDIRECT(Z606):Z604,-20%)),XIRR(INDIRECT(Z607):AA604,INDIRECT(Z606):Z604,20%),"N/A")</f>
        <v>#NUM!</v>
      </c>
      <c r="AB605" s="663"/>
      <c r="AC605" s="663"/>
      <c r="AD605" s="663"/>
      <c r="AE605" s="663"/>
      <c r="AF605" s="663"/>
      <c r="AG605" s="663"/>
      <c r="AH605" s="663"/>
      <c r="AI605" s="664"/>
      <c r="AL605" s="898">
        <f>IF(AM594&lt;&gt;0,ROW(AM594),IF(AM595&lt;&gt;0,ROW(AM595),IF(AM596&lt;&gt;0,ROW(AM596),IF(AM597&lt;&gt;0,ROW(AM597),IF(AM598&lt;&gt;0,ROW(AM598),IF(AM599&lt;&gt;0,ROW(AM599),IF(AM600&lt;&gt;0,ROW(AM600),IF(AM601&lt;&gt;0,ROW(AM601),IF(AM602&lt;&gt;0,ROW(AM602),IF(AM603&lt;&gt;0,ROW(AM603)))))))))))</f>
        <v>596</v>
      </c>
      <c r="AM605" s="882" t="e">
        <f ca="1">IF(ISERROR(XIRR(INDIRECT(AL607):AM604,INDIRECT(AL606):AL604,-20%)),XIRR(INDIRECT(AL607):AM604,INDIRECT(AL606):AL604,20%),"N/A")</f>
        <v>#NUM!</v>
      </c>
      <c r="AN605" s="663"/>
      <c r="AU605" s="664"/>
      <c r="AX605" s="898">
        <f>IF(AY594&lt;&gt;0,ROW(AY594),IF(AY595&lt;&gt;0,ROW(AY595),IF(AY596&lt;&gt;0,ROW(AY596),IF(AY597&lt;&gt;0,ROW(AY597),IF(AY598&lt;&gt;0,ROW(AY598),IF(AY599&lt;&gt;0,ROW(AY599),IF(AY600&lt;&gt;0,ROW(AY600),IF(AY601&lt;&gt;0,ROW(AY601),IF(AY602&lt;&gt;0,ROW(AY602),IF(AY603&lt;&gt;0,ROW(AY603)))))))))))</f>
        <v>596</v>
      </c>
      <c r="AY605" s="882" t="e">
        <f ca="1">IF(ISERROR(XIRR(INDIRECT(AX607):AY604,INDIRECT(AX606):AX604,-20%)),XIRR(INDIRECT(AX607):AY604,INDIRECT(AX606):AX604,20%),"N/A")</f>
        <v>#NUM!</v>
      </c>
      <c r="BG605" s="664"/>
      <c r="BJ605" s="898">
        <f>IF(BK594&lt;&gt;0,ROW(BK594),IF(BK595&lt;&gt;0,ROW(BK595),IF(BK596&lt;&gt;0,ROW(BK596),IF(BK597&lt;&gt;0,ROW(BK597),IF(BK598&lt;&gt;0,ROW(BK598),IF(BK599&lt;&gt;0,ROW(BK599),IF(BK600&lt;&gt;0,ROW(BK600),IF(BK601&lt;&gt;0,ROW(BK601),IF(BK602&lt;&gt;0,ROW(BK602),IF(BK603&lt;&gt;0,ROW(BK603)))))))))))</f>
        <v>596</v>
      </c>
      <c r="BK605" s="882" t="e">
        <f ca="1">IF(ISERROR(XIRR(INDIRECT(BJ607):BK604,INDIRECT(BJ606):BJ604,-20%)),XIRR(INDIRECT(BJ607):BK604,INDIRECT(BJ606):BJ604,20%),"N/A")</f>
        <v>#NUM!</v>
      </c>
      <c r="BS605" s="664"/>
      <c r="BV605" s="898">
        <f>IF(BW594&lt;&gt;0,ROW(BW594),IF(BW595&lt;&gt;0,ROW(BW595),IF(BW596&lt;&gt;0,ROW(BW596),IF(BW597&lt;&gt;0,ROW(BW597),IF(BW598&lt;&gt;0,ROW(BW598),IF(BW599&lt;&gt;0,ROW(BW599),IF(BW600&lt;&gt;0,ROW(BW600),IF(BW601&lt;&gt;0,ROW(BW601),IF(BW602&lt;&gt;0,ROW(BW602),IF(BW603&lt;&gt;0,ROW(BW603)))))))))))</f>
        <v>596</v>
      </c>
      <c r="BW605" s="882" t="e">
        <f ca="1">IF(ISERROR(XIRR(INDIRECT(BV607):BW604,INDIRECT(BV606):BV604,-20%)),XIRR(INDIRECT(BV607):BW604,INDIRECT(BV606):BV604,20%),"N/A")</f>
        <v>#NUM!</v>
      </c>
      <c r="CE605" s="664"/>
      <c r="CH605" s="898">
        <f>IF(CI594&lt;&gt;0,ROW(CI594),IF(CI595&lt;&gt;0,ROW(CI595),IF(CI596&lt;&gt;0,ROW(CI596),IF(CI597&lt;&gt;0,ROW(CI597),IF(CI598&lt;&gt;0,ROW(CI598),IF(CI599&lt;&gt;0,ROW(CI599),IF(CI600&lt;&gt;0,ROW(CI600),IF(CI601&lt;&gt;0,ROW(CI601),IF(CI602&lt;&gt;0,ROW(CI602),IF(CI603&lt;&gt;0,ROW(CI603)))))))))))</f>
        <v>596</v>
      </c>
      <c r="CI605" s="882" t="e">
        <f ca="1">IF(ISERROR(XIRR(INDIRECT(CH607):CI604,INDIRECT(CH606):CH604,-20%)),XIRR(INDIRECT(CH607):CI604,INDIRECT(CH606):CH604,20%),"N/A")</f>
        <v>#NUM!</v>
      </c>
      <c r="CQ605" s="664"/>
      <c r="CT605" s="898">
        <f>IF(CU594&lt;&gt;0,ROW(CU594),IF(CU595&lt;&gt;0,ROW(CU595),IF(CU596&lt;&gt;0,ROW(CU596),IF(CU597&lt;&gt;0,ROW(CU597),IF(CU598&lt;&gt;0,ROW(CU598),IF(CU599&lt;&gt;0,ROW(CU599),IF(CU600&lt;&gt;0,ROW(CU600),IF(CU601&lt;&gt;0,ROW(CU601),IF(CU602&lt;&gt;0,ROW(CU602),IF(CU603&lt;&gt;0,ROW(CU603)))))))))))</f>
        <v>596</v>
      </c>
      <c r="CU605" s="882" t="e">
        <f ca="1">IF(ISERROR(XIRR(INDIRECT(CT607):CU604,INDIRECT(CT606):CT604,-20%)),XIRR(INDIRECT(CT607):CU604,INDIRECT(CT606):CT604,20%),"N/A")</f>
        <v>#NUM!</v>
      </c>
      <c r="DC605" s="664"/>
      <c r="DF605" s="898">
        <f>IF(DG594&lt;&gt;0,ROW(DG594),IF(DG595&lt;&gt;0,ROW(DG595),IF(DG596&lt;&gt;0,ROW(DG596),IF(DG597&lt;&gt;0,ROW(DG597),IF(DG598&lt;&gt;0,ROW(DG598),IF(DG599&lt;&gt;0,ROW(DG599),IF(DG600&lt;&gt;0,ROW(DG600),IF(DG601&lt;&gt;0,ROW(DG601),IF(DG602&lt;&gt;0,ROW(DG602),IF(DG603&lt;&gt;0,ROW(DG603)))))))))))</f>
        <v>596</v>
      </c>
      <c r="DG605" s="882" t="e">
        <f ca="1">IF(ISERROR(XIRR(INDIRECT(DF607):DG604,INDIRECT(DF606):DF604,-20%)),XIRR(INDIRECT(DF607):DG604,INDIRECT(DF606):DF604,20%),"N/A")</f>
        <v>#NUM!</v>
      </c>
      <c r="DO605" s="664"/>
    </row>
    <row r="606" spans="2:119" hidden="1" x14ac:dyDescent="0.25">
      <c r="B606" s="899" t="str">
        <f>CONCATENATE(CHAR(64+COLUMN(B605)),B605)</f>
        <v>B596</v>
      </c>
      <c r="C606" s="897"/>
      <c r="K606" s="664"/>
      <c r="N606" s="899" t="str">
        <f>CONCATENATE(CHAR(64+COLUMN(N605)),N605)</f>
        <v>N596</v>
      </c>
      <c r="O606" s="897"/>
      <c r="U606" s="663"/>
      <c r="W606" s="664"/>
      <c r="Z606" s="899" t="str">
        <f>CONCATENATE(IF(COLUMN(Z605)&lt;=26,CHAR(96+COLUMN(Z605)),(CHAR(96+(ROUNDDOWN((COLUMN(Z605)-1)/26,0)))&amp;CHAR(96+IF(MOD(COLUMN(Z605),26)=0,26,MOD(COLUMN(Z605),26))))),Z605)</f>
        <v>z596</v>
      </c>
      <c r="AA606" s="897"/>
      <c r="AB606" s="663"/>
      <c r="AC606" s="663"/>
      <c r="AD606" s="663"/>
      <c r="AE606" s="663"/>
      <c r="AF606" s="663"/>
      <c r="AG606" s="663"/>
      <c r="AH606" s="663"/>
      <c r="AI606" s="664"/>
      <c r="AL606" s="899" t="str">
        <f>CONCATENATE(IF(COLUMN(AL605)&lt;=26,CHAR(96+COLUMN(AL605)),(CHAR(96+(ROUNDDOWN((COLUMN(AL605)-1)/26,0)))&amp;CHAR(96+IF(MOD(COLUMN(AL605),26)=0,26,MOD(COLUMN(AL605),26))))),AL605)</f>
        <v>al596</v>
      </c>
      <c r="AM606" s="897"/>
      <c r="AN606" s="663"/>
      <c r="AU606" s="664"/>
      <c r="AX606" s="899" t="str">
        <f>CONCATENATE(IF(COLUMN(AX605)&lt;=26,CHAR(96+COLUMN(AX605)),(CHAR(96+(ROUNDDOWN((COLUMN(AX605)-1)/26,0)))&amp;CHAR(96+IF(MOD(COLUMN(AX605),26)=0,26,MOD(COLUMN(AX605),26))))),AX605)</f>
        <v>ax596</v>
      </c>
      <c r="AY606" s="897"/>
      <c r="BG606" s="664"/>
      <c r="BJ606" s="899" t="str">
        <f>CONCATENATE(IF(COLUMN(BJ605)&lt;=26,CHAR(96+COLUMN(BJ605)),(CHAR(96+(ROUNDDOWN((COLUMN(BJ605)-1)/26,0)))&amp;CHAR(96+IF(MOD(COLUMN(BJ605),26)=0,26,MOD(COLUMN(BJ605),26))))),BJ605)</f>
        <v>bj596</v>
      </c>
      <c r="BK606" s="897"/>
      <c r="BS606" s="664"/>
      <c r="BV606" s="899" t="str">
        <f>CONCATENATE(IF(COLUMN(BV605)&lt;=26,CHAR(96+COLUMN(BV605)),(CHAR(96+(ROUNDDOWN((COLUMN(BV605)-1)/26,0)))&amp;CHAR(96+IF(MOD(COLUMN(BV605),26)=0,26,MOD(COLUMN(BV605),26))))),BV605)</f>
        <v>bv596</v>
      </c>
      <c r="BW606" s="897"/>
      <c r="CE606" s="664"/>
      <c r="CH606" s="899" t="str">
        <f>CONCATENATE(IF(COLUMN(CH605)&lt;=26,CHAR(96+COLUMN(CH605)),(CHAR(96+(ROUNDDOWN((COLUMN(CH605)-1)/26,0)))&amp;CHAR(96+IF(MOD(COLUMN(CH605),26)=0,26,MOD(COLUMN(CH605),26))))),CH605)</f>
        <v>ch596</v>
      </c>
      <c r="CI606" s="897"/>
      <c r="CQ606" s="664"/>
      <c r="CT606" s="899" t="str">
        <f>CONCATENATE(IF(COLUMN(CT605)&lt;=26,CHAR(96+COLUMN(CT605)),(CHAR(96+(ROUNDDOWN((COLUMN(CT605)-1)/26,0)))&amp;CHAR(96+IF(MOD(COLUMN(CT605),26)=0,26,MOD(COLUMN(CT605),26))))),CT605)</f>
        <v>ct596</v>
      </c>
      <c r="CU606" s="897"/>
      <c r="DC606" s="664"/>
      <c r="DF606" s="899" t="str">
        <f>CONCATENATE(IF(COLUMN(DF605)&lt;=26,CHAR(96+COLUMN(DF605)),(CHAR(96+(ROUNDDOWN((COLUMN(DF605)-1)/26,0)))&amp;CHAR(96+IF(MOD(COLUMN(DF605),26)=0,26,MOD(COLUMN(DF605),26))))),DF605)</f>
        <v>df596</v>
      </c>
      <c r="DG606" s="897"/>
      <c r="DO606" s="664"/>
    </row>
    <row r="607" spans="2:119" hidden="1" x14ac:dyDescent="0.25">
      <c r="B607" s="899" t="str">
        <f>CONCATENATE(CHAR(64+COLUMN(C605)),B605)</f>
        <v>C596</v>
      </c>
      <c r="C607" s="897"/>
      <c r="K607" s="664"/>
      <c r="N607" s="899" t="str">
        <f>CONCATENATE(CHAR(64+COLUMN(O605)),N605)</f>
        <v>O596</v>
      </c>
      <c r="O607" s="897"/>
      <c r="U607" s="663"/>
      <c r="W607" s="664"/>
      <c r="Z607" s="899" t="str">
        <f>CONCATENATE(IF(COLUMN(AA605)&lt;=26,CHAR(96+COLUMN(AA605)),(CHAR(96+(ROUNDDOWN((COLUMN(AA605)-1)/26,0)))&amp;CHAR(96+IF(MOD(COLUMN(AA605),26)=0,26,MOD(COLUMN(AA605),26))))),Z605)</f>
        <v>aa596</v>
      </c>
      <c r="AA607" s="897"/>
      <c r="AB607" s="663"/>
      <c r="AC607" s="663"/>
      <c r="AD607" s="663"/>
      <c r="AE607" s="663"/>
      <c r="AF607" s="663"/>
      <c r="AG607" s="663"/>
      <c r="AH607" s="663"/>
      <c r="AI607" s="664"/>
      <c r="AL607" s="899" t="str">
        <f>CONCATENATE(IF(COLUMN(AM605)&lt;=26,CHAR(96+COLUMN(AM605)),(CHAR(96+(ROUNDDOWN((COLUMN(AM605)-1)/26,0)))&amp;CHAR(96+IF(MOD(COLUMN(AM605),26)=0,26,MOD(COLUMN(AM605),26))))),AL605)</f>
        <v>am596</v>
      </c>
      <c r="AM607" s="897"/>
      <c r="AN607" s="663"/>
      <c r="AU607" s="664"/>
      <c r="AX607" s="899" t="str">
        <f>CONCATENATE(IF(COLUMN(AY605)&lt;=26,CHAR(96+COLUMN(AY605)),(CHAR(96+(ROUNDDOWN((COLUMN(AY605)-1)/26,0)))&amp;CHAR(96+IF(MOD(COLUMN(AY605),26)=0,26,MOD(COLUMN(AY605),26))))),AX605)</f>
        <v>ay596</v>
      </c>
      <c r="AY607" s="897"/>
      <c r="BG607" s="664"/>
      <c r="BJ607" s="899" t="str">
        <f>CONCATENATE(IF(COLUMN(BK605)&lt;=26,CHAR(96+COLUMN(BK605)),(CHAR(96+(ROUNDDOWN((COLUMN(BK605)-1)/26,0)))&amp;CHAR(96+IF(MOD(COLUMN(BK605),26)=0,26,MOD(COLUMN(BK605),26))))),BJ605)</f>
        <v>bk596</v>
      </c>
      <c r="BK607" s="897"/>
      <c r="BS607" s="664"/>
      <c r="BV607" s="899" t="str">
        <f>CONCATENATE(IF(COLUMN(BW605)&lt;=26,CHAR(96+COLUMN(BW605)),(CHAR(96+(ROUNDDOWN((COLUMN(BW605)-1)/26,0)))&amp;CHAR(96+IF(MOD(COLUMN(BW605),26)=0,26,MOD(COLUMN(BW605),26))))),BV605)</f>
        <v>bw596</v>
      </c>
      <c r="BW607" s="897"/>
      <c r="CE607" s="664"/>
      <c r="CH607" s="899" t="str">
        <f>CONCATENATE(IF(COLUMN(CI605)&lt;=26,CHAR(96+COLUMN(CI605)),(CHAR(96+(ROUNDDOWN((COLUMN(CI605)-1)/26,0)))&amp;CHAR(96+IF(MOD(COLUMN(CI605),26)=0,26,MOD(COLUMN(CI605),26))))),CH605)</f>
        <v>ci596</v>
      </c>
      <c r="CI607" s="897"/>
      <c r="CQ607" s="664"/>
      <c r="CT607" s="899" t="str">
        <f>CONCATENATE(IF(COLUMN(CU605)&lt;=26,CHAR(96+COLUMN(CU605)),(CHAR(96+(ROUNDDOWN((COLUMN(CU605)-1)/26,0)))&amp;CHAR(96+IF(MOD(COLUMN(CU605),26)=0,26,MOD(COLUMN(CU605),26))))),CT605)</f>
        <v>cu596</v>
      </c>
      <c r="CU607" s="897"/>
      <c r="DC607" s="664"/>
      <c r="DF607" s="899" t="str">
        <f>CONCATENATE(IF(COLUMN(DG605)&lt;=26,CHAR(96+COLUMN(DG605)),(CHAR(96+(ROUNDDOWN((COLUMN(DG605)-1)/26,0)))&amp;CHAR(96+IF(MOD(COLUMN(DG605),26)=0,26,MOD(COLUMN(DG605),26))))),DF605)</f>
        <v>dg596</v>
      </c>
      <c r="DG607" s="897"/>
      <c r="DO607" s="664"/>
    </row>
    <row r="608" spans="2:119" hidden="1" x14ac:dyDescent="0.25">
      <c r="B608" s="668"/>
      <c r="C608" s="895"/>
      <c r="K608" s="664"/>
      <c r="N608" s="668"/>
      <c r="O608" s="895"/>
      <c r="U608" s="663"/>
      <c r="W608" s="664"/>
      <c r="Z608" s="668"/>
      <c r="AA608" s="895"/>
      <c r="AB608" s="663"/>
      <c r="AC608" s="663"/>
      <c r="AD608" s="663"/>
      <c r="AE608" s="663"/>
      <c r="AF608" s="663"/>
      <c r="AG608" s="663"/>
      <c r="AH608" s="663"/>
      <c r="AI608" s="664"/>
      <c r="AL608" s="668"/>
      <c r="AM608" s="895"/>
      <c r="AN608" s="663"/>
      <c r="AU608" s="664"/>
      <c r="AX608" s="668"/>
      <c r="AY608" s="895"/>
      <c r="BG608" s="664"/>
      <c r="BJ608" s="668"/>
      <c r="BK608" s="895"/>
      <c r="BS608" s="664"/>
      <c r="BV608" s="668"/>
      <c r="BW608" s="895"/>
      <c r="CE608" s="664"/>
      <c r="CH608" s="668"/>
      <c r="CI608" s="895"/>
      <c r="CQ608" s="664"/>
      <c r="CT608" s="668"/>
      <c r="CU608" s="895"/>
      <c r="DC608" s="664"/>
      <c r="DF608" s="668"/>
      <c r="DG608" s="895"/>
      <c r="DO608" s="664"/>
    </row>
    <row r="609" spans="2:119" hidden="1" x14ac:dyDescent="0.25">
      <c r="B609" s="668"/>
      <c r="C609" s="895"/>
      <c r="K609" s="664"/>
      <c r="N609" s="668"/>
      <c r="O609" s="895"/>
      <c r="U609" s="663"/>
      <c r="W609" s="664"/>
      <c r="Z609" s="668"/>
      <c r="AA609" s="895"/>
      <c r="AB609" s="663"/>
      <c r="AC609" s="663"/>
      <c r="AD609" s="663"/>
      <c r="AE609" s="663"/>
      <c r="AF609" s="663"/>
      <c r="AG609" s="663"/>
      <c r="AH609" s="663"/>
      <c r="AI609" s="664"/>
      <c r="AL609" s="668"/>
      <c r="AM609" s="895"/>
      <c r="AN609" s="663"/>
      <c r="AU609" s="664"/>
      <c r="AX609" s="668"/>
      <c r="AY609" s="895"/>
      <c r="BG609" s="664"/>
      <c r="BJ609" s="668"/>
      <c r="BK609" s="895"/>
      <c r="BS609" s="664"/>
      <c r="BV609" s="668"/>
      <c r="BW609" s="895"/>
      <c r="CE609" s="664"/>
      <c r="CH609" s="668"/>
      <c r="CI609" s="895"/>
      <c r="CQ609" s="664"/>
      <c r="CT609" s="668"/>
      <c r="CU609" s="895"/>
      <c r="DC609" s="664"/>
      <c r="DF609" s="668"/>
      <c r="DG609" s="895"/>
      <c r="DO609" s="664"/>
    </row>
    <row r="610" spans="2:119" hidden="1" x14ac:dyDescent="0.25">
      <c r="B610" s="894" t="str">
        <f>CONCATENATE(B208," Gross Return Analysis")</f>
        <v>Inv G Gross Return Analysis</v>
      </c>
      <c r="C610" s="666"/>
      <c r="K610" s="664"/>
      <c r="N610" s="894" t="str">
        <f>CONCATENATE(N208," Gross Return Analysis")</f>
        <v>Inv G Gross Return Analysis</v>
      </c>
      <c r="O610" s="666"/>
      <c r="U610" s="663"/>
      <c r="W610" s="664"/>
      <c r="Z610" s="894" t="str">
        <f>CONCATENATE(Z208," Gross Return Analysis")</f>
        <v>Inv G Gross Return Analysis</v>
      </c>
      <c r="AA610" s="666"/>
      <c r="AB610" s="663"/>
      <c r="AC610" s="663"/>
      <c r="AD610" s="663"/>
      <c r="AE610" s="663"/>
      <c r="AF610" s="663"/>
      <c r="AG610" s="663"/>
      <c r="AH610" s="663"/>
      <c r="AI610" s="664"/>
      <c r="AL610" s="894" t="str">
        <f>CONCATENATE(AL208," Gross Return Analysis")</f>
        <v>Inv G Gross Return Analysis</v>
      </c>
      <c r="AM610" s="666"/>
      <c r="AN610" s="663"/>
      <c r="AU610" s="664"/>
      <c r="AX610" s="894" t="str">
        <f>CONCATENATE(AX208," Gross Return Analysis")</f>
        <v>Inv G Gross Return Analysis</v>
      </c>
      <c r="AY610" s="666"/>
      <c r="BG610" s="664"/>
      <c r="BJ610" s="894" t="str">
        <f>CONCATENATE(BJ208," Gross Return Analysis")</f>
        <v>Inv G Gross Return Analysis</v>
      </c>
      <c r="BK610" s="666"/>
      <c r="BS610" s="664"/>
      <c r="BV610" s="894" t="str">
        <f>CONCATENATE(BV208," Gross Return Analysis")</f>
        <v>Inv G Gross Return Analysis</v>
      </c>
      <c r="BW610" s="666"/>
      <c r="CE610" s="664"/>
      <c r="CH610" s="894" t="str">
        <f>CONCATENATE(CH208," Gross Return Analysis")</f>
        <v>Inv G Gross Return Analysis</v>
      </c>
      <c r="CI610" s="666"/>
      <c r="CQ610" s="664"/>
      <c r="CT610" s="894" t="str">
        <f>CONCATENATE(CT208," Gross Return Analysis")</f>
        <v>Inv G Gross Return Analysis</v>
      </c>
      <c r="CU610" s="666"/>
      <c r="DC610" s="664"/>
      <c r="DF610" s="894" t="str">
        <f>CONCATENATE(DF208," Gross Return Analysis")</f>
        <v>Inv G Gross Return Analysis</v>
      </c>
      <c r="DG610" s="666"/>
      <c r="DO610" s="664"/>
    </row>
    <row r="611" spans="2:119" hidden="1" x14ac:dyDescent="0.25">
      <c r="B611" s="668" t="s">
        <v>114</v>
      </c>
      <c r="C611" s="666">
        <f ca="1">C208</f>
        <v>0</v>
      </c>
      <c r="K611" s="664"/>
      <c r="N611" s="668" t="s">
        <v>114</v>
      </c>
      <c r="O611" s="666">
        <f ca="1">O208</f>
        <v>0</v>
      </c>
      <c r="U611" s="663"/>
      <c r="W611" s="664"/>
      <c r="Z611" s="668" t="s">
        <v>114</v>
      </c>
      <c r="AA611" s="666">
        <f ca="1">AA208</f>
        <v>0</v>
      </c>
      <c r="AB611" s="663"/>
      <c r="AC611" s="663"/>
      <c r="AD611" s="663"/>
      <c r="AE611" s="663"/>
      <c r="AF611" s="663"/>
      <c r="AG611" s="663"/>
      <c r="AH611" s="663"/>
      <c r="AI611" s="664"/>
      <c r="AL611" s="668" t="s">
        <v>114</v>
      </c>
      <c r="AM611" s="666">
        <f ca="1">AM208</f>
        <v>0</v>
      </c>
      <c r="AN611" s="663"/>
      <c r="AU611" s="664"/>
      <c r="AX611" s="668" t="s">
        <v>114</v>
      </c>
      <c r="AY611" s="666">
        <f ca="1">AY208</f>
        <v>0</v>
      </c>
      <c r="BG611" s="664"/>
      <c r="BJ611" s="668" t="s">
        <v>114</v>
      </c>
      <c r="BK611" s="666">
        <f ca="1">BK208</f>
        <v>0</v>
      </c>
      <c r="BS611" s="664"/>
      <c r="BV611" s="668" t="s">
        <v>114</v>
      </c>
      <c r="BW611" s="666">
        <f ca="1">BW208</f>
        <v>0</v>
      </c>
      <c r="CE611" s="664"/>
      <c r="CH611" s="668" t="s">
        <v>114</v>
      </c>
      <c r="CI611" s="666">
        <f ca="1">CI208</f>
        <v>0</v>
      </c>
      <c r="CQ611" s="664"/>
      <c r="CT611" s="668" t="s">
        <v>114</v>
      </c>
      <c r="CU611" s="666">
        <f ca="1">CU208</f>
        <v>0</v>
      </c>
      <c r="DC611" s="664"/>
      <c r="DF611" s="668" t="s">
        <v>114</v>
      </c>
      <c r="DG611" s="666">
        <f ca="1">DG208</f>
        <v>0</v>
      </c>
      <c r="DO611" s="664"/>
    </row>
    <row r="612" spans="2:119" hidden="1" x14ac:dyDescent="0.25">
      <c r="B612" s="668" t="s">
        <v>115</v>
      </c>
      <c r="C612" s="895">
        <f ca="1">IF($P$35=0,0,C208/$P$35)</f>
        <v>0</v>
      </c>
      <c r="K612" s="664"/>
      <c r="N612" s="668" t="s">
        <v>115</v>
      </c>
      <c r="O612" s="895">
        <f ca="1">IF($P$35=0,0,O208/$P$35)</f>
        <v>0</v>
      </c>
      <c r="U612" s="663"/>
      <c r="W612" s="664"/>
      <c r="Z612" s="668" t="s">
        <v>115</v>
      </c>
      <c r="AA612" s="895">
        <f ca="1">IF($P$35=0,0,AA208/$P$35)</f>
        <v>0</v>
      </c>
      <c r="AB612" s="663"/>
      <c r="AC612" s="663"/>
      <c r="AD612" s="663"/>
      <c r="AE612" s="663"/>
      <c r="AF612" s="663"/>
      <c r="AG612" s="663"/>
      <c r="AH612" s="663"/>
      <c r="AI612" s="664"/>
      <c r="AL612" s="668" t="s">
        <v>115</v>
      </c>
      <c r="AM612" s="895">
        <f ca="1">IF($P$35=0,0,AM208/$P$35)</f>
        <v>0</v>
      </c>
      <c r="AN612" s="663"/>
      <c r="AU612" s="664"/>
      <c r="AX612" s="668" t="s">
        <v>115</v>
      </c>
      <c r="AY612" s="895">
        <f ca="1">IF($P$35=0,0,AY208/$P$35)</f>
        <v>0</v>
      </c>
      <c r="BG612" s="664"/>
      <c r="BJ612" s="668" t="s">
        <v>115</v>
      </c>
      <c r="BK612" s="895">
        <f ca="1">IF($P$35=0,0,BK208/$P$35)</f>
        <v>0</v>
      </c>
      <c r="BS612" s="664"/>
      <c r="BV612" s="668" t="s">
        <v>115</v>
      </c>
      <c r="BW612" s="895">
        <f ca="1">IF($P$35=0,0,BW208/$P$35)</f>
        <v>0</v>
      </c>
      <c r="CE612" s="664"/>
      <c r="CH612" s="668" t="s">
        <v>115</v>
      </c>
      <c r="CI612" s="895">
        <f ca="1">IF($P$35=0,0,CI208/$P$35)</f>
        <v>0</v>
      </c>
      <c r="CQ612" s="664"/>
      <c r="CT612" s="668" t="s">
        <v>115</v>
      </c>
      <c r="CU612" s="895">
        <f ca="1">IF($P$35=0,0,CU208/$P$35)</f>
        <v>0</v>
      </c>
      <c r="DC612" s="664"/>
      <c r="DF612" s="668" t="s">
        <v>115</v>
      </c>
      <c r="DG612" s="895">
        <f ca="1">IF($P$35=0,0,DG208/$P$35)</f>
        <v>0</v>
      </c>
      <c r="DO612" s="664"/>
    </row>
    <row r="613" spans="2:119" hidden="1" x14ac:dyDescent="0.25">
      <c r="B613" s="896">
        <f>$F$5</f>
        <v>39113</v>
      </c>
      <c r="C613" s="897">
        <f>-$F$35</f>
        <v>0</v>
      </c>
      <c r="K613" s="664"/>
      <c r="N613" s="896">
        <f>$F$5</f>
        <v>39113</v>
      </c>
      <c r="O613" s="897">
        <f>-$F$35</f>
        <v>0</v>
      </c>
      <c r="U613" s="663"/>
      <c r="W613" s="664"/>
      <c r="Z613" s="896">
        <f>$F$5</f>
        <v>39113</v>
      </c>
      <c r="AA613" s="897">
        <f>-$F$35</f>
        <v>0</v>
      </c>
      <c r="AB613" s="663"/>
      <c r="AC613" s="663"/>
      <c r="AD613" s="663"/>
      <c r="AE613" s="663"/>
      <c r="AF613" s="663"/>
      <c r="AG613" s="663"/>
      <c r="AH613" s="663"/>
      <c r="AI613" s="664"/>
      <c r="AL613" s="896">
        <f>$F$5</f>
        <v>39113</v>
      </c>
      <c r="AM613" s="897">
        <f>-$F$35</f>
        <v>0</v>
      </c>
      <c r="AN613" s="663"/>
      <c r="AU613" s="664"/>
      <c r="AX613" s="896">
        <f>$F$5</f>
        <v>39113</v>
      </c>
      <c r="AY613" s="897">
        <f>-$F$35</f>
        <v>0</v>
      </c>
      <c r="BG613" s="664"/>
      <c r="BJ613" s="896">
        <f>$F$5</f>
        <v>39113</v>
      </c>
      <c r="BK613" s="897">
        <f>-$F$35</f>
        <v>0</v>
      </c>
      <c r="BS613" s="664"/>
      <c r="BV613" s="896">
        <f>$F$5</f>
        <v>39113</v>
      </c>
      <c r="BW613" s="897">
        <f>-$F$35</f>
        <v>0</v>
      </c>
      <c r="CE613" s="664"/>
      <c r="CH613" s="896">
        <f>$F$5</f>
        <v>39113</v>
      </c>
      <c r="CI613" s="897">
        <f>-$F$35</f>
        <v>0</v>
      </c>
      <c r="CQ613" s="664"/>
      <c r="CT613" s="896">
        <f>$F$5</f>
        <v>39113</v>
      </c>
      <c r="CU613" s="897">
        <f>-$F$35</f>
        <v>0</v>
      </c>
      <c r="DC613" s="664"/>
      <c r="DF613" s="896">
        <f>$F$5</f>
        <v>39113</v>
      </c>
      <c r="DG613" s="897">
        <f>-$F$35</f>
        <v>0</v>
      </c>
      <c r="DO613" s="664"/>
    </row>
    <row r="614" spans="2:119" hidden="1" x14ac:dyDescent="0.25">
      <c r="B614" s="896">
        <f>$G$5</f>
        <v>39478</v>
      </c>
      <c r="C614" s="897">
        <f>-$G$35</f>
        <v>0</v>
      </c>
      <c r="K614" s="664"/>
      <c r="N614" s="896">
        <f>$G$5</f>
        <v>39478</v>
      </c>
      <c r="O614" s="897">
        <f>-$G$35</f>
        <v>0</v>
      </c>
      <c r="U614" s="663"/>
      <c r="W614" s="664"/>
      <c r="Z614" s="896">
        <f>$G$5</f>
        <v>39478</v>
      </c>
      <c r="AA614" s="897">
        <f>-$G$35</f>
        <v>0</v>
      </c>
      <c r="AB614" s="663"/>
      <c r="AC614" s="663"/>
      <c r="AD614" s="663"/>
      <c r="AE614" s="663"/>
      <c r="AF614" s="663"/>
      <c r="AG614" s="663"/>
      <c r="AH614" s="663"/>
      <c r="AI614" s="664"/>
      <c r="AL614" s="896">
        <f>$G$5</f>
        <v>39478</v>
      </c>
      <c r="AM614" s="897">
        <f>-$G$35</f>
        <v>0</v>
      </c>
      <c r="AN614" s="663"/>
      <c r="AU614" s="664"/>
      <c r="AX614" s="896">
        <f>$G$5</f>
        <v>39478</v>
      </c>
      <c r="AY614" s="897">
        <f>-$G$35</f>
        <v>0</v>
      </c>
      <c r="BG614" s="664"/>
      <c r="BJ614" s="896">
        <f>$G$5</f>
        <v>39478</v>
      </c>
      <c r="BK614" s="897">
        <f>-$G$35</f>
        <v>0</v>
      </c>
      <c r="BS614" s="664"/>
      <c r="BV614" s="896">
        <f>$G$5</f>
        <v>39478</v>
      </c>
      <c r="BW614" s="897">
        <f>-$G$35</f>
        <v>0</v>
      </c>
      <c r="CE614" s="664"/>
      <c r="CH614" s="896">
        <f>$G$5</f>
        <v>39478</v>
      </c>
      <c r="CI614" s="897">
        <f>-$G$35</f>
        <v>0</v>
      </c>
      <c r="CQ614" s="664"/>
      <c r="CT614" s="896">
        <f>$G$5</f>
        <v>39478</v>
      </c>
      <c r="CU614" s="897">
        <f>-$G$35</f>
        <v>0</v>
      </c>
      <c r="DC614" s="664"/>
      <c r="DF614" s="896">
        <f>$G$5</f>
        <v>39478</v>
      </c>
      <c r="DG614" s="897">
        <f>-$G$35</f>
        <v>0</v>
      </c>
      <c r="DO614" s="664"/>
    </row>
    <row r="615" spans="2:119" hidden="1" x14ac:dyDescent="0.25">
      <c r="B615" s="896">
        <f>$H$5</f>
        <v>39843</v>
      </c>
      <c r="C615" s="897">
        <f>-$H$35</f>
        <v>-2500000</v>
      </c>
      <c r="K615" s="664"/>
      <c r="N615" s="896">
        <f>$H$5</f>
        <v>39843</v>
      </c>
      <c r="O615" s="897">
        <f>-$H$35</f>
        <v>-2500000</v>
      </c>
      <c r="U615" s="663"/>
      <c r="W615" s="664"/>
      <c r="Z615" s="896">
        <f>$H$5</f>
        <v>39843</v>
      </c>
      <c r="AA615" s="897">
        <f>-$H$35</f>
        <v>-2500000</v>
      </c>
      <c r="AB615" s="663"/>
      <c r="AC615" s="663"/>
      <c r="AD615" s="663"/>
      <c r="AE615" s="663"/>
      <c r="AF615" s="663"/>
      <c r="AG615" s="663"/>
      <c r="AH615" s="663"/>
      <c r="AI615" s="664"/>
      <c r="AL615" s="896">
        <f>$H$5</f>
        <v>39843</v>
      </c>
      <c r="AM615" s="897">
        <f>-$H$35</f>
        <v>-2500000</v>
      </c>
      <c r="AN615" s="663"/>
      <c r="AU615" s="664"/>
      <c r="AX615" s="896">
        <f>$H$5</f>
        <v>39843</v>
      </c>
      <c r="AY615" s="897">
        <f>-$H$35</f>
        <v>-2500000</v>
      </c>
      <c r="BG615" s="664"/>
      <c r="BJ615" s="896">
        <f>$H$5</f>
        <v>39843</v>
      </c>
      <c r="BK615" s="897">
        <f>-$H$35</f>
        <v>-2500000</v>
      </c>
      <c r="BS615" s="664"/>
      <c r="BV615" s="896">
        <f>$H$5</f>
        <v>39843</v>
      </c>
      <c r="BW615" s="897">
        <f>-$H$35</f>
        <v>-2500000</v>
      </c>
      <c r="CE615" s="664"/>
      <c r="CH615" s="896">
        <f>$H$5</f>
        <v>39843</v>
      </c>
      <c r="CI615" s="897">
        <f>-$H$35</f>
        <v>-2500000</v>
      </c>
      <c r="CQ615" s="664"/>
      <c r="CT615" s="896">
        <f>$H$5</f>
        <v>39843</v>
      </c>
      <c r="CU615" s="897">
        <f>-$H$35</f>
        <v>-2500000</v>
      </c>
      <c r="DC615" s="664"/>
      <c r="DF615" s="896">
        <f>$H$5</f>
        <v>39843</v>
      </c>
      <c r="DG615" s="897">
        <f>-$H$35</f>
        <v>-2500000</v>
      </c>
      <c r="DO615" s="664"/>
    </row>
    <row r="616" spans="2:119" hidden="1" x14ac:dyDescent="0.25">
      <c r="B616" s="896">
        <f>$I$5</f>
        <v>39843</v>
      </c>
      <c r="C616" s="897">
        <f>-$I$35</f>
        <v>-6666666.666666667</v>
      </c>
      <c r="K616" s="664"/>
      <c r="N616" s="896">
        <f>$I$5</f>
        <v>39843</v>
      </c>
      <c r="O616" s="897">
        <f>-$I$35</f>
        <v>-6666666.666666667</v>
      </c>
      <c r="U616" s="663"/>
      <c r="W616" s="664"/>
      <c r="Z616" s="896">
        <f>$I$5</f>
        <v>39843</v>
      </c>
      <c r="AA616" s="897">
        <f>-$I$35</f>
        <v>-6666666.666666667</v>
      </c>
      <c r="AB616" s="663"/>
      <c r="AC616" s="663"/>
      <c r="AD616" s="663"/>
      <c r="AE616" s="663"/>
      <c r="AF616" s="663"/>
      <c r="AG616" s="663"/>
      <c r="AH616" s="663"/>
      <c r="AI616" s="664"/>
      <c r="AL616" s="896">
        <f>$I$5</f>
        <v>39843</v>
      </c>
      <c r="AM616" s="897">
        <f>-$I$35</f>
        <v>-6666666.666666667</v>
      </c>
      <c r="AN616" s="663"/>
      <c r="AU616" s="664"/>
      <c r="AX616" s="896">
        <f>$I$5</f>
        <v>39843</v>
      </c>
      <c r="AY616" s="897">
        <f>-$I$35</f>
        <v>-6666666.666666667</v>
      </c>
      <c r="BG616" s="664"/>
      <c r="BJ616" s="896">
        <f>$I$5</f>
        <v>39843</v>
      </c>
      <c r="BK616" s="897">
        <f>-$I$35</f>
        <v>-6666666.666666667</v>
      </c>
      <c r="BS616" s="664"/>
      <c r="BV616" s="896">
        <f>$I$5</f>
        <v>39843</v>
      </c>
      <c r="BW616" s="897">
        <f>-$I$35</f>
        <v>-6666666.666666667</v>
      </c>
      <c r="CE616" s="664"/>
      <c r="CH616" s="896">
        <f>$I$5</f>
        <v>39843</v>
      </c>
      <c r="CI616" s="897">
        <f>-$I$35</f>
        <v>-6666666.666666667</v>
      </c>
      <c r="CQ616" s="664"/>
      <c r="CT616" s="896">
        <f>$I$5</f>
        <v>39843</v>
      </c>
      <c r="CU616" s="897">
        <f>-$I$35</f>
        <v>-6666666.666666667</v>
      </c>
      <c r="DC616" s="664"/>
      <c r="DF616" s="896">
        <f>$I$5</f>
        <v>39843</v>
      </c>
      <c r="DG616" s="897">
        <f>-$I$35</f>
        <v>-6666666.666666667</v>
      </c>
      <c r="DO616" s="664"/>
    </row>
    <row r="617" spans="2:119" hidden="1" x14ac:dyDescent="0.25">
      <c r="B617" s="896">
        <f>$J$5</f>
        <v>39843</v>
      </c>
      <c r="C617" s="897">
        <f>-$J$35</f>
        <v>0</v>
      </c>
      <c r="K617" s="664"/>
      <c r="N617" s="896">
        <f>$J$5</f>
        <v>39843</v>
      </c>
      <c r="O617" s="897">
        <f>-$J$35</f>
        <v>0</v>
      </c>
      <c r="U617" s="663"/>
      <c r="W617" s="664"/>
      <c r="Z617" s="896">
        <f>$J$5</f>
        <v>39843</v>
      </c>
      <c r="AA617" s="897">
        <f>-$J$35</f>
        <v>0</v>
      </c>
      <c r="AB617" s="663"/>
      <c r="AC617" s="663"/>
      <c r="AD617" s="663"/>
      <c r="AE617" s="663"/>
      <c r="AF617" s="663"/>
      <c r="AG617" s="663"/>
      <c r="AH617" s="663"/>
      <c r="AI617" s="664"/>
      <c r="AL617" s="896">
        <f>$J$5</f>
        <v>39843</v>
      </c>
      <c r="AM617" s="897">
        <f>-$J$35</f>
        <v>0</v>
      </c>
      <c r="AN617" s="663"/>
      <c r="AU617" s="664"/>
      <c r="AX617" s="896">
        <f>$J$5</f>
        <v>39843</v>
      </c>
      <c r="AY617" s="897">
        <f>-$J$35</f>
        <v>0</v>
      </c>
      <c r="BG617" s="664"/>
      <c r="BJ617" s="896">
        <f>$J$5</f>
        <v>39843</v>
      </c>
      <c r="BK617" s="897">
        <f>-$J$35</f>
        <v>0</v>
      </c>
      <c r="BS617" s="664"/>
      <c r="BV617" s="896">
        <f>$J$5</f>
        <v>39843</v>
      </c>
      <c r="BW617" s="897">
        <f>-$J$35</f>
        <v>0</v>
      </c>
      <c r="CE617" s="664"/>
      <c r="CH617" s="896">
        <f>$J$5</f>
        <v>39843</v>
      </c>
      <c r="CI617" s="897">
        <f>-$J$35</f>
        <v>0</v>
      </c>
      <c r="CQ617" s="664"/>
      <c r="CT617" s="896">
        <f>$J$5</f>
        <v>39843</v>
      </c>
      <c r="CU617" s="897">
        <f>-$J$35</f>
        <v>0</v>
      </c>
      <c r="DC617" s="664"/>
      <c r="DF617" s="896">
        <f>$J$5</f>
        <v>39843</v>
      </c>
      <c r="DG617" s="897">
        <f>-$J$35</f>
        <v>0</v>
      </c>
      <c r="DO617" s="664"/>
    </row>
    <row r="618" spans="2:119" hidden="1" x14ac:dyDescent="0.25">
      <c r="B618" s="896">
        <f>$K$5</f>
        <v>39843</v>
      </c>
      <c r="C618" s="897">
        <f>-$K$35</f>
        <v>0</v>
      </c>
      <c r="K618" s="664"/>
      <c r="N618" s="896">
        <f>$K$5</f>
        <v>39843</v>
      </c>
      <c r="O618" s="897">
        <f>-$K$35</f>
        <v>0</v>
      </c>
      <c r="U618" s="663"/>
      <c r="W618" s="664"/>
      <c r="Z618" s="896">
        <f>$K$5</f>
        <v>39843</v>
      </c>
      <c r="AA618" s="897">
        <f>-$K$35</f>
        <v>0</v>
      </c>
      <c r="AB618" s="663"/>
      <c r="AC618" s="663"/>
      <c r="AD618" s="663"/>
      <c r="AE618" s="663"/>
      <c r="AF618" s="663"/>
      <c r="AG618" s="663"/>
      <c r="AH618" s="663"/>
      <c r="AI618" s="664"/>
      <c r="AL618" s="896">
        <f>$K$5</f>
        <v>39843</v>
      </c>
      <c r="AM618" s="897">
        <f>-$K$35</f>
        <v>0</v>
      </c>
      <c r="AN618" s="663"/>
      <c r="AU618" s="664"/>
      <c r="AX618" s="896">
        <f>$K$5</f>
        <v>39843</v>
      </c>
      <c r="AY618" s="897">
        <f>-$K$35</f>
        <v>0</v>
      </c>
      <c r="BG618" s="664"/>
      <c r="BJ618" s="896">
        <f>$K$5</f>
        <v>39843</v>
      </c>
      <c r="BK618" s="897">
        <f>-$K$35</f>
        <v>0</v>
      </c>
      <c r="BS618" s="664"/>
      <c r="BV618" s="896">
        <f>$K$5</f>
        <v>39843</v>
      </c>
      <c r="BW618" s="897">
        <f>-$K$35</f>
        <v>0</v>
      </c>
      <c r="CE618" s="664"/>
      <c r="CH618" s="896">
        <f>$K$5</f>
        <v>39843</v>
      </c>
      <c r="CI618" s="897">
        <f>-$K$35</f>
        <v>0</v>
      </c>
      <c r="CQ618" s="664"/>
      <c r="CT618" s="896">
        <f>$K$5</f>
        <v>39843</v>
      </c>
      <c r="CU618" s="897">
        <f>-$K$35</f>
        <v>0</v>
      </c>
      <c r="DC618" s="664"/>
      <c r="DF618" s="896">
        <f>$K$5</f>
        <v>39843</v>
      </c>
      <c r="DG618" s="897">
        <f>-$K$35</f>
        <v>0</v>
      </c>
      <c r="DO618" s="664"/>
    </row>
    <row r="619" spans="2:119" hidden="1" x14ac:dyDescent="0.25">
      <c r="B619" s="896">
        <f>$L$5</f>
        <v>39843</v>
      </c>
      <c r="C619" s="897">
        <f>-$L$35</f>
        <v>0</v>
      </c>
      <c r="K619" s="664"/>
      <c r="N619" s="896">
        <f>$L$5</f>
        <v>39843</v>
      </c>
      <c r="O619" s="897">
        <f>-$L$35</f>
        <v>0</v>
      </c>
      <c r="U619" s="663"/>
      <c r="W619" s="664"/>
      <c r="Z619" s="896">
        <f>$L$5</f>
        <v>39843</v>
      </c>
      <c r="AA619" s="897">
        <f>-$L$35</f>
        <v>0</v>
      </c>
      <c r="AB619" s="663"/>
      <c r="AC619" s="663"/>
      <c r="AD619" s="663"/>
      <c r="AE619" s="663"/>
      <c r="AF619" s="663"/>
      <c r="AG619" s="663"/>
      <c r="AH619" s="663"/>
      <c r="AI619" s="664"/>
      <c r="AL619" s="896">
        <f>$L$5</f>
        <v>39843</v>
      </c>
      <c r="AM619" s="897">
        <f>-$L$35</f>
        <v>0</v>
      </c>
      <c r="AN619" s="663"/>
      <c r="AU619" s="664"/>
      <c r="AX619" s="896">
        <f>$L$5</f>
        <v>39843</v>
      </c>
      <c r="AY619" s="897">
        <f>-$L$35</f>
        <v>0</v>
      </c>
      <c r="BG619" s="664"/>
      <c r="BJ619" s="896">
        <f>$L$5</f>
        <v>39843</v>
      </c>
      <c r="BK619" s="897">
        <f>-$L$35</f>
        <v>0</v>
      </c>
      <c r="BS619" s="664"/>
      <c r="BV619" s="896">
        <f>$L$5</f>
        <v>39843</v>
      </c>
      <c r="BW619" s="897">
        <f>-$L$35</f>
        <v>0</v>
      </c>
      <c r="CE619" s="664"/>
      <c r="CH619" s="896">
        <f>$L$5</f>
        <v>39843</v>
      </c>
      <c r="CI619" s="897">
        <f>-$L$35</f>
        <v>0</v>
      </c>
      <c r="CQ619" s="664"/>
      <c r="CT619" s="896">
        <f>$L$5</f>
        <v>39843</v>
      </c>
      <c r="CU619" s="897">
        <f>-$L$35</f>
        <v>0</v>
      </c>
      <c r="DC619" s="664"/>
      <c r="DF619" s="896">
        <f>$L$5</f>
        <v>39843</v>
      </c>
      <c r="DG619" s="897">
        <f>-$L$35</f>
        <v>0</v>
      </c>
      <c r="DO619" s="664"/>
    </row>
    <row r="620" spans="2:119" hidden="1" x14ac:dyDescent="0.25">
      <c r="B620" s="896">
        <f>$M$5</f>
        <v>39843</v>
      </c>
      <c r="C620" s="897">
        <f>-$M$35</f>
        <v>0</v>
      </c>
      <c r="K620" s="664"/>
      <c r="N620" s="896">
        <f>$M$5</f>
        <v>39843</v>
      </c>
      <c r="O620" s="897">
        <f>-$M$35</f>
        <v>0</v>
      </c>
      <c r="U620" s="663"/>
      <c r="W620" s="664"/>
      <c r="Z620" s="896">
        <f>$M$5</f>
        <v>39843</v>
      </c>
      <c r="AA620" s="897">
        <f>-$M$35</f>
        <v>0</v>
      </c>
      <c r="AB620" s="663"/>
      <c r="AC620" s="663"/>
      <c r="AD620" s="663"/>
      <c r="AE620" s="663"/>
      <c r="AF620" s="663"/>
      <c r="AG620" s="663"/>
      <c r="AH620" s="663"/>
      <c r="AI620" s="664"/>
      <c r="AL620" s="896">
        <f>$M$5</f>
        <v>39843</v>
      </c>
      <c r="AM620" s="897">
        <f>-$M$35</f>
        <v>0</v>
      </c>
      <c r="AN620" s="663"/>
      <c r="AU620" s="664"/>
      <c r="AX620" s="896">
        <f>$M$5</f>
        <v>39843</v>
      </c>
      <c r="AY620" s="897">
        <f>-$M$35</f>
        <v>0</v>
      </c>
      <c r="BG620" s="664"/>
      <c r="BJ620" s="896">
        <f>$M$5</f>
        <v>39843</v>
      </c>
      <c r="BK620" s="897">
        <f>-$M$35</f>
        <v>0</v>
      </c>
      <c r="BS620" s="664"/>
      <c r="BV620" s="896">
        <f>$M$5</f>
        <v>39843</v>
      </c>
      <c r="BW620" s="897">
        <f>-$M$35</f>
        <v>0</v>
      </c>
      <c r="CE620" s="664"/>
      <c r="CH620" s="896">
        <f>$M$5</f>
        <v>39843</v>
      </c>
      <c r="CI620" s="897">
        <f>-$M$35</f>
        <v>0</v>
      </c>
      <c r="CQ620" s="664"/>
      <c r="CT620" s="896">
        <f>$M$5</f>
        <v>39843</v>
      </c>
      <c r="CU620" s="897">
        <f>-$M$35</f>
        <v>0</v>
      </c>
      <c r="DC620" s="664"/>
      <c r="DF620" s="896">
        <f>$M$5</f>
        <v>39843</v>
      </c>
      <c r="DG620" s="897">
        <f>-$M$35</f>
        <v>0</v>
      </c>
      <c r="DO620" s="664"/>
    </row>
    <row r="621" spans="2:119" hidden="1" x14ac:dyDescent="0.25">
      <c r="B621" s="896">
        <f>$N$5</f>
        <v>39843</v>
      </c>
      <c r="C621" s="897">
        <f>-$N$35</f>
        <v>0</v>
      </c>
      <c r="K621" s="664"/>
      <c r="N621" s="896">
        <f>$N$5</f>
        <v>39843</v>
      </c>
      <c r="O621" s="897">
        <f>-$N$35</f>
        <v>0</v>
      </c>
      <c r="U621" s="663"/>
      <c r="W621" s="664"/>
      <c r="Z621" s="896">
        <f>$N$5</f>
        <v>39843</v>
      </c>
      <c r="AA621" s="897">
        <f>-$N$35</f>
        <v>0</v>
      </c>
      <c r="AB621" s="663"/>
      <c r="AC621" s="663"/>
      <c r="AD621" s="663"/>
      <c r="AE621" s="663"/>
      <c r="AF621" s="663"/>
      <c r="AG621" s="663"/>
      <c r="AH621" s="663"/>
      <c r="AI621" s="664"/>
      <c r="AL621" s="896">
        <f>$N$5</f>
        <v>39843</v>
      </c>
      <c r="AM621" s="897">
        <f>-$N$35</f>
        <v>0</v>
      </c>
      <c r="AN621" s="663"/>
      <c r="AU621" s="664"/>
      <c r="AX621" s="896">
        <f>$N$5</f>
        <v>39843</v>
      </c>
      <c r="AY621" s="897">
        <f>-$N$35</f>
        <v>0</v>
      </c>
      <c r="BG621" s="664"/>
      <c r="BJ621" s="896">
        <f>$N$5</f>
        <v>39843</v>
      </c>
      <c r="BK621" s="897">
        <f>-$N$35</f>
        <v>0</v>
      </c>
      <c r="BS621" s="664"/>
      <c r="BV621" s="896">
        <f>$N$5</f>
        <v>39843</v>
      </c>
      <c r="BW621" s="897">
        <f>-$N$35</f>
        <v>0</v>
      </c>
      <c r="CE621" s="664"/>
      <c r="CH621" s="896">
        <f>$N$5</f>
        <v>39843</v>
      </c>
      <c r="CI621" s="897">
        <f>-$N$35</f>
        <v>0</v>
      </c>
      <c r="CQ621" s="664"/>
      <c r="CT621" s="896">
        <f>$N$5</f>
        <v>39843</v>
      </c>
      <c r="CU621" s="897">
        <f>-$N$35</f>
        <v>0</v>
      </c>
      <c r="DC621" s="664"/>
      <c r="DF621" s="896">
        <f>$N$5</f>
        <v>39843</v>
      </c>
      <c r="DG621" s="897">
        <f>-$N$35</f>
        <v>0</v>
      </c>
      <c r="DO621" s="664"/>
    </row>
    <row r="622" spans="2:119" hidden="1" x14ac:dyDescent="0.25">
      <c r="B622" s="896">
        <f>$O$5</f>
        <v>39843</v>
      </c>
      <c r="C622" s="897">
        <f>-$O$35</f>
        <v>0</v>
      </c>
      <c r="K622" s="664"/>
      <c r="N622" s="896">
        <f>$O$5</f>
        <v>39843</v>
      </c>
      <c r="O622" s="897">
        <f>-$O$35</f>
        <v>0</v>
      </c>
      <c r="U622" s="663"/>
      <c r="W622" s="664"/>
      <c r="Z622" s="896">
        <f>$O$5</f>
        <v>39843</v>
      </c>
      <c r="AA622" s="897">
        <f>-$O$35</f>
        <v>0</v>
      </c>
      <c r="AB622" s="663"/>
      <c r="AC622" s="663"/>
      <c r="AD622" s="663"/>
      <c r="AE622" s="663"/>
      <c r="AF622" s="663"/>
      <c r="AG622" s="663"/>
      <c r="AH622" s="663"/>
      <c r="AI622" s="664"/>
      <c r="AL622" s="896">
        <f>$O$5</f>
        <v>39843</v>
      </c>
      <c r="AM622" s="897">
        <f>-$O$35</f>
        <v>0</v>
      </c>
      <c r="AN622" s="663"/>
      <c r="AU622" s="664"/>
      <c r="AX622" s="896">
        <f>$O$5</f>
        <v>39843</v>
      </c>
      <c r="AY622" s="897">
        <f>-$O$35</f>
        <v>0</v>
      </c>
      <c r="BG622" s="664"/>
      <c r="BJ622" s="896">
        <f>$O$5</f>
        <v>39843</v>
      </c>
      <c r="BK622" s="897">
        <f>-$O$35</f>
        <v>0</v>
      </c>
      <c r="BS622" s="664"/>
      <c r="BV622" s="896">
        <f>$O$5</f>
        <v>39843</v>
      </c>
      <c r="BW622" s="897">
        <f>-$O$35</f>
        <v>0</v>
      </c>
      <c r="CE622" s="664"/>
      <c r="CH622" s="896">
        <f>$O$5</f>
        <v>39843</v>
      </c>
      <c r="CI622" s="897">
        <f>-$O$35</f>
        <v>0</v>
      </c>
      <c r="CQ622" s="664"/>
      <c r="CT622" s="896">
        <f>$O$5</f>
        <v>39843</v>
      </c>
      <c r="CU622" s="897">
        <f>-$O$35</f>
        <v>0</v>
      </c>
      <c r="DC622" s="664"/>
      <c r="DF622" s="896">
        <f>$O$5</f>
        <v>39843</v>
      </c>
      <c r="DG622" s="897">
        <f>-$O$35</f>
        <v>0</v>
      </c>
      <c r="DO622" s="664"/>
    </row>
    <row r="623" spans="2:119" hidden="1" x14ac:dyDescent="0.25">
      <c r="B623" s="896">
        <f>$C$55</f>
        <v>40999</v>
      </c>
      <c r="C623" s="897">
        <f ca="1">C611</f>
        <v>0</v>
      </c>
      <c r="K623" s="664"/>
      <c r="N623" s="896">
        <f>$C$55</f>
        <v>40999</v>
      </c>
      <c r="O623" s="897">
        <f ca="1">O611</f>
        <v>0</v>
      </c>
      <c r="U623" s="663"/>
      <c r="W623" s="664"/>
      <c r="Z623" s="896">
        <f>$C$55</f>
        <v>40999</v>
      </c>
      <c r="AA623" s="897">
        <f ca="1">AA611</f>
        <v>0</v>
      </c>
      <c r="AB623" s="663"/>
      <c r="AC623" s="663"/>
      <c r="AD623" s="663"/>
      <c r="AE623" s="663"/>
      <c r="AF623" s="663"/>
      <c r="AG623" s="663"/>
      <c r="AH623" s="663"/>
      <c r="AI623" s="664"/>
      <c r="AL623" s="896">
        <f>$C$55</f>
        <v>40999</v>
      </c>
      <c r="AM623" s="897">
        <f ca="1">AM611</f>
        <v>0</v>
      </c>
      <c r="AN623" s="663"/>
      <c r="AU623" s="664"/>
      <c r="AX623" s="896">
        <f>$C$55</f>
        <v>40999</v>
      </c>
      <c r="AY623" s="897">
        <f ca="1">AY611</f>
        <v>0</v>
      </c>
      <c r="BG623" s="664"/>
      <c r="BJ623" s="896">
        <f>$C$55</f>
        <v>40999</v>
      </c>
      <c r="BK623" s="897">
        <f ca="1">BK611</f>
        <v>0</v>
      </c>
      <c r="BS623" s="664"/>
      <c r="BV623" s="896">
        <f>$C$55</f>
        <v>40999</v>
      </c>
      <c r="BW623" s="897">
        <f ca="1">BW611</f>
        <v>0</v>
      </c>
      <c r="CE623" s="664"/>
      <c r="CH623" s="896">
        <f>$C$55</f>
        <v>40999</v>
      </c>
      <c r="CI623" s="897">
        <f ca="1">CI611</f>
        <v>0</v>
      </c>
      <c r="CQ623" s="664"/>
      <c r="CT623" s="896">
        <f>$C$55</f>
        <v>40999</v>
      </c>
      <c r="CU623" s="897">
        <f ca="1">CU611</f>
        <v>0</v>
      </c>
      <c r="DC623" s="664"/>
      <c r="DF623" s="896">
        <f>$C$55</f>
        <v>40999</v>
      </c>
      <c r="DG623" s="897">
        <f ca="1">DG611</f>
        <v>0</v>
      </c>
      <c r="DO623" s="664"/>
    </row>
    <row r="624" spans="2:119" hidden="1" x14ac:dyDescent="0.25">
      <c r="B624" s="898">
        <f>IF(C613&lt;&gt;0,ROW(C613),IF(C614&lt;&gt;0,ROW(C614),IF(C615&lt;&gt;0,ROW(C615),IF(C616&lt;&gt;0,ROW(C616),IF(C617&lt;&gt;0,ROW(C617),IF(C618&lt;&gt;0,ROW(C618),IF(C619&lt;&gt;0,ROW(C619),IF(C620&lt;&gt;0,ROW(C620),IF(C621&lt;&gt;0,ROW(C621),IF(C622&lt;&gt;0,ROW(C622),0))))))))))</f>
        <v>615</v>
      </c>
      <c r="C624" s="882" t="e">
        <f ca="1">IF(ISERROR(XIRR(INDIRECT(B626):C623,INDIRECT(B625):B623,-20%)),XIRR(INDIRECT(B626):C623,INDIRECT(B625):B623,20%),"N/A")</f>
        <v>#NUM!</v>
      </c>
      <c r="K624" s="664"/>
      <c r="N624" s="898">
        <f>IF(O613&lt;&gt;0,ROW(O613),IF(O614&lt;&gt;0,ROW(O614),IF(O615&lt;&gt;0,ROW(O615),IF(O616&lt;&gt;0,ROW(O616),IF(O617&lt;&gt;0,ROW(O617),IF(O618&lt;&gt;0,ROW(O618),IF(O619&lt;&gt;0,ROW(O619),IF(O620&lt;&gt;0,ROW(O620),IF(O621&lt;&gt;0,ROW(O621),IF(O622&lt;&gt;0,ROW(O622),0))))))))))</f>
        <v>615</v>
      </c>
      <c r="O624" s="882" t="e">
        <f ca="1">IF(ISERROR(XIRR(INDIRECT(N626):O623,INDIRECT(N625):N623,-20%)),XIRR(INDIRECT(N626):O623,INDIRECT(N625):N623,20%),"N/A")</f>
        <v>#NUM!</v>
      </c>
      <c r="U624" s="663"/>
      <c r="W624" s="664"/>
      <c r="Z624" s="898">
        <f>IF(AA613&lt;&gt;0,ROW(AA613),IF(AA614&lt;&gt;0,ROW(AA614),IF(AA615&lt;&gt;0,ROW(AA615),IF(AA616&lt;&gt;0,ROW(AA616),IF(AA617&lt;&gt;0,ROW(AA617),IF(AA618&lt;&gt;0,ROW(AA618),IF(AA619&lt;&gt;0,ROW(AA619),IF(AA620&lt;&gt;0,ROW(AA620),IF(AA621&lt;&gt;0,ROW(AA621),IF(AA622&lt;&gt;0,ROW(AA622),0))))))))))</f>
        <v>615</v>
      </c>
      <c r="AA624" s="882" t="e">
        <f ca="1">IF(ISERROR(XIRR(INDIRECT(Z626):AA623,INDIRECT(Z625):Z623,-20%)),XIRR(INDIRECT(Z626):AA623,INDIRECT(Z625):Z623,20%),"N/A")</f>
        <v>#NUM!</v>
      </c>
      <c r="AB624" s="663"/>
      <c r="AC624" s="663"/>
      <c r="AD624" s="663"/>
      <c r="AE624" s="663"/>
      <c r="AF624" s="663"/>
      <c r="AG624" s="663"/>
      <c r="AH624" s="663"/>
      <c r="AI624" s="664"/>
      <c r="AL624" s="898">
        <f>IF(AM613&lt;&gt;0,ROW(AM613),IF(AM614&lt;&gt;0,ROW(AM614),IF(AM615&lt;&gt;0,ROW(AM615),IF(AM616&lt;&gt;0,ROW(AM616),IF(AM617&lt;&gt;0,ROW(AM617),IF(AM618&lt;&gt;0,ROW(AM618),IF(AM619&lt;&gt;0,ROW(AM619),IF(AM620&lt;&gt;0,ROW(AM620),IF(AM621&lt;&gt;0,ROW(AM621),IF(AM622&lt;&gt;0,ROW(AM622),0))))))))))</f>
        <v>615</v>
      </c>
      <c r="AM624" s="882" t="e">
        <f ca="1">IF(ISERROR(XIRR(INDIRECT(AL626):AM623,INDIRECT(AL625):AL623,-20%)),XIRR(INDIRECT(AL626):AM623,INDIRECT(AL625):AL623,20%),"N/A")</f>
        <v>#NUM!</v>
      </c>
      <c r="AN624" s="663"/>
      <c r="AU624" s="664"/>
      <c r="AX624" s="898">
        <f>IF(AY613&lt;&gt;0,ROW(AY613),IF(AY614&lt;&gt;0,ROW(AY614),IF(AY615&lt;&gt;0,ROW(AY615),IF(AY616&lt;&gt;0,ROW(AY616),IF(AY617&lt;&gt;0,ROW(AY617),IF(AY618&lt;&gt;0,ROW(AY618),IF(AY619&lt;&gt;0,ROW(AY619),IF(AY620&lt;&gt;0,ROW(AY620),IF(AY621&lt;&gt;0,ROW(AY621),IF(AY622&lt;&gt;0,ROW(AY622),0))))))))))</f>
        <v>615</v>
      </c>
      <c r="AY624" s="882" t="e">
        <f ca="1">IF(ISERROR(XIRR(INDIRECT(AX626):AY623,INDIRECT(AX625):AX623,-20%)),XIRR(INDIRECT(AX626):AY623,INDIRECT(AX625):AX623,20%),"N/A")</f>
        <v>#NUM!</v>
      </c>
      <c r="BG624" s="664"/>
      <c r="BJ624" s="898">
        <f>IF(BK613&lt;&gt;0,ROW(BK613),IF(BK614&lt;&gt;0,ROW(BK614),IF(BK615&lt;&gt;0,ROW(BK615),IF(BK616&lt;&gt;0,ROW(BK616),IF(BK617&lt;&gt;0,ROW(BK617),IF(BK618&lt;&gt;0,ROW(BK618),IF(BK619&lt;&gt;0,ROW(BK619),IF(BK620&lt;&gt;0,ROW(BK620),IF(BK621&lt;&gt;0,ROW(BK621),IF(BK622&lt;&gt;0,ROW(BK622),0))))))))))</f>
        <v>615</v>
      </c>
      <c r="BK624" s="882" t="e">
        <f ca="1">IF(ISERROR(XIRR(INDIRECT(BJ626):BK623,INDIRECT(BJ625):BJ623,-20%)),XIRR(INDIRECT(BJ626):BK623,INDIRECT(BJ625):BJ623,20%),"N/A")</f>
        <v>#NUM!</v>
      </c>
      <c r="BS624" s="664"/>
      <c r="BV624" s="898">
        <f>IF(BW613&lt;&gt;0,ROW(BW613),IF(BW614&lt;&gt;0,ROW(BW614),IF(BW615&lt;&gt;0,ROW(BW615),IF(BW616&lt;&gt;0,ROW(BW616),IF(BW617&lt;&gt;0,ROW(BW617),IF(BW618&lt;&gt;0,ROW(BW618),IF(BW619&lt;&gt;0,ROW(BW619),IF(BW620&lt;&gt;0,ROW(BW620),IF(BW621&lt;&gt;0,ROW(BW621),IF(BW622&lt;&gt;0,ROW(BW622),0))))))))))</f>
        <v>615</v>
      </c>
      <c r="BW624" s="882" t="e">
        <f ca="1">IF(ISERROR(XIRR(INDIRECT(BV626):BW623,INDIRECT(BV625):BV623,-20%)),XIRR(INDIRECT(BV626):BW623,INDIRECT(BV625):BV623,20%),"N/A")</f>
        <v>#NUM!</v>
      </c>
      <c r="CE624" s="664"/>
      <c r="CH624" s="898">
        <f>IF(CI613&lt;&gt;0,ROW(CI613),IF(CI614&lt;&gt;0,ROW(CI614),IF(CI615&lt;&gt;0,ROW(CI615),IF(CI616&lt;&gt;0,ROW(CI616),IF(CI617&lt;&gt;0,ROW(CI617),IF(CI618&lt;&gt;0,ROW(CI618),IF(CI619&lt;&gt;0,ROW(CI619),IF(CI620&lt;&gt;0,ROW(CI620),IF(CI621&lt;&gt;0,ROW(CI621),IF(CI622&lt;&gt;0,ROW(CI622),0))))))))))</f>
        <v>615</v>
      </c>
      <c r="CI624" s="882" t="e">
        <f ca="1">IF(ISERROR(XIRR(INDIRECT(CH626):CI623,INDIRECT(CH625):CH623,-20%)),XIRR(INDIRECT(CH626):CI623,INDIRECT(CH625):CH623,20%),"N/A")</f>
        <v>#NUM!</v>
      </c>
      <c r="CQ624" s="664"/>
      <c r="CT624" s="898">
        <f>IF(CU613&lt;&gt;0,ROW(CU613),IF(CU614&lt;&gt;0,ROW(CU614),IF(CU615&lt;&gt;0,ROW(CU615),IF(CU616&lt;&gt;0,ROW(CU616),IF(CU617&lt;&gt;0,ROW(CU617),IF(CU618&lt;&gt;0,ROW(CU618),IF(CU619&lt;&gt;0,ROW(CU619),IF(CU620&lt;&gt;0,ROW(CU620),IF(CU621&lt;&gt;0,ROW(CU621),IF(CU622&lt;&gt;0,ROW(CU622),0))))))))))</f>
        <v>615</v>
      </c>
      <c r="CU624" s="882" t="e">
        <f ca="1">IF(ISERROR(XIRR(INDIRECT(CT626):CU623,INDIRECT(CT625):CT623,-20%)),XIRR(INDIRECT(CT626):CU623,INDIRECT(CT625):CT623,20%),"N/A")</f>
        <v>#NUM!</v>
      </c>
      <c r="DC624" s="664"/>
      <c r="DF624" s="898">
        <f>IF(DG613&lt;&gt;0,ROW(DG613),IF(DG614&lt;&gt;0,ROW(DG614),IF(DG615&lt;&gt;0,ROW(DG615),IF(DG616&lt;&gt;0,ROW(DG616),IF(DG617&lt;&gt;0,ROW(DG617),IF(DG618&lt;&gt;0,ROW(DG618),IF(DG619&lt;&gt;0,ROW(DG619),IF(DG620&lt;&gt;0,ROW(DG620),IF(DG621&lt;&gt;0,ROW(DG621),IF(DG622&lt;&gt;0,ROW(DG622),0))))))))))</f>
        <v>615</v>
      </c>
      <c r="DG624" s="882" t="e">
        <f ca="1">IF(ISERROR(XIRR(INDIRECT(DF626):DG623,INDIRECT(DF625):DF623,-20%)),XIRR(INDIRECT(DF626):DG623,INDIRECT(DF625):DF623,20%),"N/A")</f>
        <v>#NUM!</v>
      </c>
      <c r="DO624" s="664"/>
    </row>
    <row r="625" spans="2:119" hidden="1" x14ac:dyDescent="0.25">
      <c r="B625" s="899" t="str">
        <f>CONCATENATE(CHAR(64+COLUMN(B624)),B624)</f>
        <v>B615</v>
      </c>
      <c r="C625" s="897"/>
      <c r="K625" s="664"/>
      <c r="N625" s="899" t="str">
        <f>CONCATENATE(CHAR(64+COLUMN(N624)),N624)</f>
        <v>N615</v>
      </c>
      <c r="O625" s="897"/>
      <c r="U625" s="663"/>
      <c r="W625" s="664"/>
      <c r="Z625" s="899" t="str">
        <f>CONCATENATE(IF(COLUMN(Z624)&lt;=26,CHAR(96+COLUMN(Z624)),(CHAR(96+(ROUNDDOWN((COLUMN(Z624)-1)/26,0)))&amp;CHAR(96+IF(MOD(COLUMN(Z624),26)=0,26,MOD(COLUMN(Z624),26))))),Z624)</f>
        <v>z615</v>
      </c>
      <c r="AA625" s="897"/>
      <c r="AB625" s="663"/>
      <c r="AC625" s="663"/>
      <c r="AD625" s="663"/>
      <c r="AE625" s="663"/>
      <c r="AF625" s="663"/>
      <c r="AG625" s="663"/>
      <c r="AH625" s="663"/>
      <c r="AI625" s="664"/>
      <c r="AL625" s="899" t="str">
        <f>CONCATENATE(IF(COLUMN(AL624)&lt;=26,CHAR(96+COLUMN(AL624)),(CHAR(96+(ROUNDDOWN((COLUMN(AL624)-1)/26,0)))&amp;CHAR(96+IF(MOD(COLUMN(AL624),26)=0,26,MOD(COLUMN(AL624),26))))),AL624)</f>
        <v>al615</v>
      </c>
      <c r="AM625" s="897"/>
      <c r="AN625" s="663"/>
      <c r="AU625" s="664"/>
      <c r="AX625" s="899" t="str">
        <f>CONCATENATE(IF(COLUMN(AX624)&lt;=26,CHAR(96+COLUMN(AX624)),(CHAR(96+(ROUNDDOWN((COLUMN(AX624)-1)/26,0)))&amp;CHAR(96+IF(MOD(COLUMN(AX624),26)=0,26,MOD(COLUMN(AX624),26))))),AX624)</f>
        <v>ax615</v>
      </c>
      <c r="AY625" s="897"/>
      <c r="BG625" s="664"/>
      <c r="BJ625" s="899" t="str">
        <f>CONCATENATE(IF(COLUMN(BJ624)&lt;=26,CHAR(96+COLUMN(BJ624)),(CHAR(96+(ROUNDDOWN((COLUMN(BJ624)-1)/26,0)))&amp;CHAR(96+IF(MOD(COLUMN(BJ624),26)=0,26,MOD(COLUMN(BJ624),26))))),BJ624)</f>
        <v>bj615</v>
      </c>
      <c r="BK625" s="897"/>
      <c r="BS625" s="664"/>
      <c r="BV625" s="899" t="str">
        <f>CONCATENATE(IF(COLUMN(BV624)&lt;=26,CHAR(96+COLUMN(BV624)),(CHAR(96+(ROUNDDOWN((COLUMN(BV624)-1)/26,0)))&amp;CHAR(96+IF(MOD(COLUMN(BV624),26)=0,26,MOD(COLUMN(BV624),26))))),BV624)</f>
        <v>bv615</v>
      </c>
      <c r="BW625" s="897"/>
      <c r="CE625" s="664"/>
      <c r="CH625" s="899" t="str">
        <f>CONCATENATE(IF(COLUMN(CH624)&lt;=26,CHAR(96+COLUMN(CH624)),(CHAR(96+(ROUNDDOWN((COLUMN(CH624)-1)/26,0)))&amp;CHAR(96+IF(MOD(COLUMN(CH624),26)=0,26,MOD(COLUMN(CH624),26))))),CH624)</f>
        <v>ch615</v>
      </c>
      <c r="CI625" s="897"/>
      <c r="CQ625" s="664"/>
      <c r="CT625" s="899" t="str">
        <f>CONCATENATE(IF(COLUMN(CT624)&lt;=26,CHAR(96+COLUMN(CT624)),(CHAR(96+(ROUNDDOWN((COLUMN(CT624)-1)/26,0)))&amp;CHAR(96+IF(MOD(COLUMN(CT624),26)=0,26,MOD(COLUMN(CT624),26))))),CT624)</f>
        <v>ct615</v>
      </c>
      <c r="CU625" s="897"/>
      <c r="DC625" s="664"/>
      <c r="DF625" s="899" t="str">
        <f>CONCATENATE(IF(COLUMN(DF624)&lt;=26,CHAR(96+COLUMN(DF624)),(CHAR(96+(ROUNDDOWN((COLUMN(DF624)-1)/26,0)))&amp;CHAR(96+IF(MOD(COLUMN(DF624),26)=0,26,MOD(COLUMN(DF624),26))))),DF624)</f>
        <v>df615</v>
      </c>
      <c r="DG625" s="897"/>
      <c r="DO625" s="664"/>
    </row>
    <row r="626" spans="2:119" hidden="1" x14ac:dyDescent="0.25">
      <c r="B626" s="899" t="str">
        <f>CONCATENATE(CHAR(64+COLUMN(C624)),B624)</f>
        <v>C615</v>
      </c>
      <c r="C626" s="897"/>
      <c r="K626" s="664"/>
      <c r="N626" s="899" t="str">
        <f>CONCATENATE(CHAR(64+COLUMN(O624)),N624)</f>
        <v>O615</v>
      </c>
      <c r="O626" s="897"/>
      <c r="U626" s="663"/>
      <c r="W626" s="664"/>
      <c r="Z626" s="899" t="str">
        <f>CONCATENATE(IF(COLUMN(AA624)&lt;=26,CHAR(96+COLUMN(AA624)),(CHAR(96+(ROUNDDOWN((COLUMN(AA624)-1)/26,0)))&amp;CHAR(96+IF(MOD(COLUMN(AA624),26)=0,26,MOD(COLUMN(AA624),26))))),Z624)</f>
        <v>aa615</v>
      </c>
      <c r="AA626" s="897"/>
      <c r="AB626" s="663"/>
      <c r="AC626" s="663"/>
      <c r="AD626" s="663"/>
      <c r="AE626" s="663"/>
      <c r="AF626" s="663"/>
      <c r="AG626" s="663"/>
      <c r="AH626" s="663"/>
      <c r="AI626" s="664"/>
      <c r="AL626" s="899" t="str">
        <f>CONCATENATE(IF(COLUMN(AM624)&lt;=26,CHAR(96+COLUMN(AM624)),(CHAR(96+(ROUNDDOWN((COLUMN(AM624)-1)/26,0)))&amp;CHAR(96+IF(MOD(COLUMN(AM624),26)=0,26,MOD(COLUMN(AM624),26))))),AL624)</f>
        <v>am615</v>
      </c>
      <c r="AM626" s="897"/>
      <c r="AN626" s="663"/>
      <c r="AU626" s="664"/>
      <c r="AX626" s="899" t="str">
        <f>CONCATENATE(IF(COLUMN(AY624)&lt;=26,CHAR(96+COLUMN(AY624)),(CHAR(96+(ROUNDDOWN((COLUMN(AY624)-1)/26,0)))&amp;CHAR(96+IF(MOD(COLUMN(AY624),26)=0,26,MOD(COLUMN(AY624),26))))),AX624)</f>
        <v>ay615</v>
      </c>
      <c r="AY626" s="897"/>
      <c r="BG626" s="664"/>
      <c r="BJ626" s="899" t="str">
        <f>CONCATENATE(IF(COLUMN(BK624)&lt;=26,CHAR(96+COLUMN(BK624)),(CHAR(96+(ROUNDDOWN((COLUMN(BK624)-1)/26,0)))&amp;CHAR(96+IF(MOD(COLUMN(BK624),26)=0,26,MOD(COLUMN(BK624),26))))),BJ624)</f>
        <v>bk615</v>
      </c>
      <c r="BK626" s="897"/>
      <c r="BS626" s="664"/>
      <c r="BV626" s="899" t="str">
        <f>CONCATENATE(IF(COLUMN(BW624)&lt;=26,CHAR(96+COLUMN(BW624)),(CHAR(96+(ROUNDDOWN((COLUMN(BW624)-1)/26,0)))&amp;CHAR(96+IF(MOD(COLUMN(BW624),26)=0,26,MOD(COLUMN(BW624),26))))),BV624)</f>
        <v>bw615</v>
      </c>
      <c r="BW626" s="897"/>
      <c r="CE626" s="664"/>
      <c r="CH626" s="899" t="str">
        <f>CONCATENATE(IF(COLUMN(CI624)&lt;=26,CHAR(96+COLUMN(CI624)),(CHAR(96+(ROUNDDOWN((COLUMN(CI624)-1)/26,0)))&amp;CHAR(96+IF(MOD(COLUMN(CI624),26)=0,26,MOD(COLUMN(CI624),26))))),CH624)</f>
        <v>ci615</v>
      </c>
      <c r="CI626" s="897"/>
      <c r="CQ626" s="664"/>
      <c r="CT626" s="899" t="str">
        <f>CONCATENATE(IF(COLUMN(CU624)&lt;=26,CHAR(96+COLUMN(CU624)),(CHAR(96+(ROUNDDOWN((COLUMN(CU624)-1)/26,0)))&amp;CHAR(96+IF(MOD(COLUMN(CU624),26)=0,26,MOD(COLUMN(CU624),26))))),CT624)</f>
        <v>cu615</v>
      </c>
      <c r="CU626" s="897"/>
      <c r="DC626" s="664"/>
      <c r="DF626" s="899" t="str">
        <f>CONCATENATE(IF(COLUMN(DG624)&lt;=26,CHAR(96+COLUMN(DG624)),(CHAR(96+(ROUNDDOWN((COLUMN(DG624)-1)/26,0)))&amp;CHAR(96+IF(MOD(COLUMN(DG624),26)=0,26,MOD(COLUMN(DG624),26))))),DF624)</f>
        <v>dg615</v>
      </c>
      <c r="DG626" s="897"/>
      <c r="DO626" s="664"/>
    </row>
    <row r="627" spans="2:119" hidden="1" x14ac:dyDescent="0.25">
      <c r="B627" s="668"/>
      <c r="C627" s="895"/>
      <c r="K627" s="664"/>
      <c r="N627" s="668"/>
      <c r="O627" s="895"/>
      <c r="U627" s="663"/>
      <c r="W627" s="664"/>
      <c r="Z627" s="668"/>
      <c r="AA627" s="895"/>
      <c r="AB627" s="663"/>
      <c r="AC627" s="663"/>
      <c r="AD627" s="663"/>
      <c r="AE627" s="663"/>
      <c r="AF627" s="663"/>
      <c r="AG627" s="663"/>
      <c r="AH627" s="663"/>
      <c r="AI627" s="664"/>
      <c r="AL627" s="668"/>
      <c r="AM627" s="895"/>
      <c r="AN627" s="663"/>
      <c r="AU627" s="664"/>
      <c r="AX627" s="668"/>
      <c r="AY627" s="895"/>
      <c r="BG627" s="664"/>
      <c r="BJ627" s="668"/>
      <c r="BK627" s="895"/>
      <c r="BS627" s="664"/>
      <c r="BV627" s="668"/>
      <c r="BW627" s="895"/>
      <c r="CE627" s="664"/>
      <c r="CH627" s="668"/>
      <c r="CI627" s="895"/>
      <c r="CQ627" s="664"/>
      <c r="CT627" s="668"/>
      <c r="CU627" s="895"/>
      <c r="DC627" s="664"/>
      <c r="DF627" s="668"/>
      <c r="DG627" s="895"/>
      <c r="DO627" s="664"/>
    </row>
    <row r="628" spans="2:119" hidden="1" x14ac:dyDescent="0.25">
      <c r="B628" s="896">
        <f>B613</f>
        <v>39113</v>
      </c>
      <c r="C628" s="897">
        <f>C613</f>
        <v>0</v>
      </c>
      <c r="K628" s="664"/>
      <c r="N628" s="896">
        <f>N613</f>
        <v>39113</v>
      </c>
      <c r="O628" s="897">
        <f>O613</f>
        <v>0</v>
      </c>
      <c r="U628" s="663"/>
      <c r="W628" s="664"/>
      <c r="Z628" s="896">
        <f>Z613</f>
        <v>39113</v>
      </c>
      <c r="AA628" s="897">
        <f>AA613</f>
        <v>0</v>
      </c>
      <c r="AB628" s="663"/>
      <c r="AC628" s="663"/>
      <c r="AD628" s="663"/>
      <c r="AE628" s="663"/>
      <c r="AF628" s="663"/>
      <c r="AG628" s="663"/>
      <c r="AH628" s="663"/>
      <c r="AI628" s="664"/>
      <c r="AL628" s="896">
        <f>AL613</f>
        <v>39113</v>
      </c>
      <c r="AM628" s="897">
        <f>AM613</f>
        <v>0</v>
      </c>
      <c r="AN628" s="663"/>
      <c r="AU628" s="664"/>
      <c r="AX628" s="896">
        <f>AX613</f>
        <v>39113</v>
      </c>
      <c r="AY628" s="897">
        <f>AY613</f>
        <v>0</v>
      </c>
      <c r="BG628" s="664"/>
      <c r="BJ628" s="896">
        <f>BJ613</f>
        <v>39113</v>
      </c>
      <c r="BK628" s="897">
        <f>BK613</f>
        <v>0</v>
      </c>
      <c r="BS628" s="664"/>
      <c r="BV628" s="896">
        <f>BV613</f>
        <v>39113</v>
      </c>
      <c r="BW628" s="897">
        <f>BW613</f>
        <v>0</v>
      </c>
      <c r="CE628" s="664"/>
      <c r="CH628" s="896">
        <f>CH613</f>
        <v>39113</v>
      </c>
      <c r="CI628" s="897">
        <f>CI613</f>
        <v>0</v>
      </c>
      <c r="CQ628" s="664"/>
      <c r="CT628" s="896">
        <f>CT613</f>
        <v>39113</v>
      </c>
      <c r="CU628" s="897">
        <f>CU613</f>
        <v>0</v>
      </c>
      <c r="DC628" s="664"/>
      <c r="DF628" s="896">
        <f>DF613</f>
        <v>39113</v>
      </c>
      <c r="DG628" s="897">
        <f>DG613</f>
        <v>0</v>
      </c>
      <c r="DO628" s="664"/>
    </row>
    <row r="629" spans="2:119" hidden="1" x14ac:dyDescent="0.25">
      <c r="B629" s="896">
        <f t="shared" ref="B629:C629" si="1691">B614</f>
        <v>39478</v>
      </c>
      <c r="C629" s="897">
        <f t="shared" si="1691"/>
        <v>0</v>
      </c>
      <c r="K629" s="664"/>
      <c r="N629" s="896">
        <f t="shared" ref="N629:O629" si="1692">N614</f>
        <v>39478</v>
      </c>
      <c r="O629" s="897">
        <f t="shared" si="1692"/>
        <v>0</v>
      </c>
      <c r="U629" s="663"/>
      <c r="W629" s="664"/>
      <c r="Z629" s="896">
        <f t="shared" ref="Z629:AA629" si="1693">Z614</f>
        <v>39478</v>
      </c>
      <c r="AA629" s="897">
        <f t="shared" si="1693"/>
        <v>0</v>
      </c>
      <c r="AB629" s="663"/>
      <c r="AC629" s="663"/>
      <c r="AD629" s="663"/>
      <c r="AE629" s="663"/>
      <c r="AF629" s="663"/>
      <c r="AG629" s="663"/>
      <c r="AH629" s="663"/>
      <c r="AI629" s="664"/>
      <c r="AL629" s="896">
        <f t="shared" ref="AL629:AM629" si="1694">AL614</f>
        <v>39478</v>
      </c>
      <c r="AM629" s="897">
        <f t="shared" si="1694"/>
        <v>0</v>
      </c>
      <c r="AN629" s="663"/>
      <c r="AU629" s="664"/>
      <c r="AX629" s="896">
        <f t="shared" ref="AX629:AY629" si="1695">AX614</f>
        <v>39478</v>
      </c>
      <c r="AY629" s="897">
        <f t="shared" si="1695"/>
        <v>0</v>
      </c>
      <c r="BG629" s="664"/>
      <c r="BJ629" s="896">
        <f t="shared" ref="BJ629:BK629" si="1696">BJ614</f>
        <v>39478</v>
      </c>
      <c r="BK629" s="897">
        <f t="shared" si="1696"/>
        <v>0</v>
      </c>
      <c r="BS629" s="664"/>
      <c r="BV629" s="896">
        <f t="shared" ref="BV629:BW629" si="1697">BV614</f>
        <v>39478</v>
      </c>
      <c r="BW629" s="897">
        <f t="shared" si="1697"/>
        <v>0</v>
      </c>
      <c r="CE629" s="664"/>
      <c r="CH629" s="896">
        <f t="shared" ref="CH629:CI629" si="1698">CH614</f>
        <v>39478</v>
      </c>
      <c r="CI629" s="897">
        <f t="shared" si="1698"/>
        <v>0</v>
      </c>
      <c r="CQ629" s="664"/>
      <c r="CT629" s="896">
        <f t="shared" ref="CT629:CU629" si="1699">CT614</f>
        <v>39478</v>
      </c>
      <c r="CU629" s="897">
        <f t="shared" si="1699"/>
        <v>0</v>
      </c>
      <c r="DC629" s="664"/>
      <c r="DF629" s="896">
        <f t="shared" ref="DF629:DG629" si="1700">DF614</f>
        <v>39478</v>
      </c>
      <c r="DG629" s="897">
        <f t="shared" si="1700"/>
        <v>0</v>
      </c>
      <c r="DO629" s="664"/>
    </row>
    <row r="630" spans="2:119" hidden="1" x14ac:dyDescent="0.25">
      <c r="B630" s="896">
        <f t="shared" ref="B630:C630" si="1701">B615</f>
        <v>39843</v>
      </c>
      <c r="C630" s="897">
        <f t="shared" si="1701"/>
        <v>-2500000</v>
      </c>
      <c r="K630" s="664"/>
      <c r="N630" s="896">
        <f t="shared" ref="N630:O630" si="1702">N615</f>
        <v>39843</v>
      </c>
      <c r="O630" s="897">
        <f t="shared" si="1702"/>
        <v>-2500000</v>
      </c>
      <c r="U630" s="663"/>
      <c r="W630" s="664"/>
      <c r="Z630" s="896">
        <f t="shared" ref="Z630:AA630" si="1703">Z615</f>
        <v>39843</v>
      </c>
      <c r="AA630" s="897">
        <f t="shared" si="1703"/>
        <v>-2500000</v>
      </c>
      <c r="AB630" s="663"/>
      <c r="AC630" s="663"/>
      <c r="AD630" s="663"/>
      <c r="AE630" s="663"/>
      <c r="AF630" s="663"/>
      <c r="AG630" s="663"/>
      <c r="AH630" s="663"/>
      <c r="AI630" s="664"/>
      <c r="AL630" s="896">
        <f t="shared" ref="AL630:AM630" si="1704">AL615</f>
        <v>39843</v>
      </c>
      <c r="AM630" s="897">
        <f t="shared" si="1704"/>
        <v>-2500000</v>
      </c>
      <c r="AN630" s="663"/>
      <c r="AU630" s="664"/>
      <c r="AX630" s="896">
        <f t="shared" ref="AX630:AY630" si="1705">AX615</f>
        <v>39843</v>
      </c>
      <c r="AY630" s="897">
        <f t="shared" si="1705"/>
        <v>-2500000</v>
      </c>
      <c r="BG630" s="664"/>
      <c r="BJ630" s="896">
        <f t="shared" ref="BJ630:BK630" si="1706">BJ615</f>
        <v>39843</v>
      </c>
      <c r="BK630" s="897">
        <f t="shared" si="1706"/>
        <v>-2500000</v>
      </c>
      <c r="BS630" s="664"/>
      <c r="BV630" s="896">
        <f t="shared" ref="BV630:BW630" si="1707">BV615</f>
        <v>39843</v>
      </c>
      <c r="BW630" s="897">
        <f t="shared" si="1707"/>
        <v>-2500000</v>
      </c>
      <c r="CE630" s="664"/>
      <c r="CH630" s="896">
        <f t="shared" ref="CH630:CI630" si="1708">CH615</f>
        <v>39843</v>
      </c>
      <c r="CI630" s="897">
        <f t="shared" si="1708"/>
        <v>-2500000</v>
      </c>
      <c r="CQ630" s="664"/>
      <c r="CT630" s="896">
        <f t="shared" ref="CT630:CU630" si="1709">CT615</f>
        <v>39843</v>
      </c>
      <c r="CU630" s="897">
        <f t="shared" si="1709"/>
        <v>-2500000</v>
      </c>
      <c r="DC630" s="664"/>
      <c r="DF630" s="896">
        <f t="shared" ref="DF630:DG630" si="1710">DF615</f>
        <v>39843</v>
      </c>
      <c r="DG630" s="897">
        <f t="shared" si="1710"/>
        <v>-2500000</v>
      </c>
      <c r="DO630" s="664"/>
    </row>
    <row r="631" spans="2:119" hidden="1" x14ac:dyDescent="0.25">
      <c r="B631" s="896">
        <f t="shared" ref="B631:C631" si="1711">B616</f>
        <v>39843</v>
      </c>
      <c r="C631" s="897">
        <f t="shared" si="1711"/>
        <v>-6666666.666666667</v>
      </c>
      <c r="K631" s="664"/>
      <c r="N631" s="896">
        <f t="shared" ref="N631:O631" si="1712">N616</f>
        <v>39843</v>
      </c>
      <c r="O631" s="897">
        <f t="shared" si="1712"/>
        <v>-6666666.666666667</v>
      </c>
      <c r="U631" s="663"/>
      <c r="W631" s="664"/>
      <c r="Z631" s="896">
        <f t="shared" ref="Z631:AA631" si="1713">Z616</f>
        <v>39843</v>
      </c>
      <c r="AA631" s="897">
        <f t="shared" si="1713"/>
        <v>-6666666.666666667</v>
      </c>
      <c r="AB631" s="663"/>
      <c r="AC631" s="663"/>
      <c r="AD631" s="663"/>
      <c r="AE631" s="663"/>
      <c r="AF631" s="663"/>
      <c r="AG631" s="663"/>
      <c r="AH631" s="663"/>
      <c r="AI631" s="664"/>
      <c r="AL631" s="896">
        <f t="shared" ref="AL631:AM631" si="1714">AL616</f>
        <v>39843</v>
      </c>
      <c r="AM631" s="897">
        <f t="shared" si="1714"/>
        <v>-6666666.666666667</v>
      </c>
      <c r="AN631" s="663"/>
      <c r="AU631" s="664"/>
      <c r="AX631" s="896">
        <f t="shared" ref="AX631:AY631" si="1715">AX616</f>
        <v>39843</v>
      </c>
      <c r="AY631" s="897">
        <f t="shared" si="1715"/>
        <v>-6666666.666666667</v>
      </c>
      <c r="BG631" s="664"/>
      <c r="BJ631" s="896">
        <f t="shared" ref="BJ631:BK631" si="1716">BJ616</f>
        <v>39843</v>
      </c>
      <c r="BK631" s="897">
        <f t="shared" si="1716"/>
        <v>-6666666.666666667</v>
      </c>
      <c r="BS631" s="664"/>
      <c r="BV631" s="896">
        <f t="shared" ref="BV631:BW631" si="1717">BV616</f>
        <v>39843</v>
      </c>
      <c r="BW631" s="897">
        <f t="shared" si="1717"/>
        <v>-6666666.666666667</v>
      </c>
      <c r="CE631" s="664"/>
      <c r="CH631" s="896">
        <f t="shared" ref="CH631:CI631" si="1718">CH616</f>
        <v>39843</v>
      </c>
      <c r="CI631" s="897">
        <f t="shared" si="1718"/>
        <v>-6666666.666666667</v>
      </c>
      <c r="CQ631" s="664"/>
      <c r="CT631" s="896">
        <f t="shared" ref="CT631:CU631" si="1719">CT616</f>
        <v>39843</v>
      </c>
      <c r="CU631" s="897">
        <f t="shared" si="1719"/>
        <v>-6666666.666666667</v>
      </c>
      <c r="DC631" s="664"/>
      <c r="DF631" s="896">
        <f t="shared" ref="DF631:DG631" si="1720">DF616</f>
        <v>39843</v>
      </c>
      <c r="DG631" s="897">
        <f t="shared" si="1720"/>
        <v>-6666666.666666667</v>
      </c>
      <c r="DO631" s="664"/>
    </row>
    <row r="632" spans="2:119" hidden="1" x14ac:dyDescent="0.25">
      <c r="B632" s="896">
        <f t="shared" ref="B632:C632" si="1721">B617</f>
        <v>39843</v>
      </c>
      <c r="C632" s="897">
        <f t="shared" si="1721"/>
        <v>0</v>
      </c>
      <c r="K632" s="664"/>
      <c r="N632" s="896">
        <f t="shared" ref="N632:O632" si="1722">N617</f>
        <v>39843</v>
      </c>
      <c r="O632" s="897">
        <f t="shared" si="1722"/>
        <v>0</v>
      </c>
      <c r="U632" s="663"/>
      <c r="W632" s="664"/>
      <c r="Z632" s="896">
        <f t="shared" ref="Z632:AA632" si="1723">Z617</f>
        <v>39843</v>
      </c>
      <c r="AA632" s="897">
        <f t="shared" si="1723"/>
        <v>0</v>
      </c>
      <c r="AB632" s="663"/>
      <c r="AC632" s="663"/>
      <c r="AD632" s="663"/>
      <c r="AE632" s="663"/>
      <c r="AF632" s="663"/>
      <c r="AG632" s="663"/>
      <c r="AH632" s="663"/>
      <c r="AI632" s="664"/>
      <c r="AL632" s="896">
        <f t="shared" ref="AL632:AM632" si="1724">AL617</f>
        <v>39843</v>
      </c>
      <c r="AM632" s="897">
        <f t="shared" si="1724"/>
        <v>0</v>
      </c>
      <c r="AN632" s="663"/>
      <c r="AU632" s="664"/>
      <c r="AX632" s="896">
        <f t="shared" ref="AX632:AY632" si="1725">AX617</f>
        <v>39843</v>
      </c>
      <c r="AY632" s="897">
        <f t="shared" si="1725"/>
        <v>0</v>
      </c>
      <c r="BG632" s="664"/>
      <c r="BJ632" s="896">
        <f t="shared" ref="BJ632:BK632" si="1726">BJ617</f>
        <v>39843</v>
      </c>
      <c r="BK632" s="897">
        <f t="shared" si="1726"/>
        <v>0</v>
      </c>
      <c r="BS632" s="664"/>
      <c r="BV632" s="896">
        <f t="shared" ref="BV632:BW632" si="1727">BV617</f>
        <v>39843</v>
      </c>
      <c r="BW632" s="897">
        <f t="shared" si="1727"/>
        <v>0</v>
      </c>
      <c r="CE632" s="664"/>
      <c r="CH632" s="896">
        <f t="shared" ref="CH632:CI632" si="1728">CH617</f>
        <v>39843</v>
      </c>
      <c r="CI632" s="897">
        <f t="shared" si="1728"/>
        <v>0</v>
      </c>
      <c r="CQ632" s="664"/>
      <c r="CT632" s="896">
        <f t="shared" ref="CT632:CU632" si="1729">CT617</f>
        <v>39843</v>
      </c>
      <c r="CU632" s="897">
        <f t="shared" si="1729"/>
        <v>0</v>
      </c>
      <c r="DC632" s="664"/>
      <c r="DF632" s="896">
        <f t="shared" ref="DF632:DG632" si="1730">DF617</f>
        <v>39843</v>
      </c>
      <c r="DG632" s="897">
        <f t="shared" si="1730"/>
        <v>0</v>
      </c>
      <c r="DO632" s="664"/>
    </row>
    <row r="633" spans="2:119" hidden="1" x14ac:dyDescent="0.25">
      <c r="B633" s="896">
        <f t="shared" ref="B633:C633" si="1731">B618</f>
        <v>39843</v>
      </c>
      <c r="C633" s="897">
        <f t="shared" si="1731"/>
        <v>0</v>
      </c>
      <c r="K633" s="664"/>
      <c r="N633" s="896">
        <f t="shared" ref="N633:O633" si="1732">N618</f>
        <v>39843</v>
      </c>
      <c r="O633" s="897">
        <f t="shared" si="1732"/>
        <v>0</v>
      </c>
      <c r="U633" s="663"/>
      <c r="W633" s="664"/>
      <c r="Z633" s="896">
        <f t="shared" ref="Z633:AA633" si="1733">Z618</f>
        <v>39843</v>
      </c>
      <c r="AA633" s="897">
        <f t="shared" si="1733"/>
        <v>0</v>
      </c>
      <c r="AB633" s="663"/>
      <c r="AC633" s="663"/>
      <c r="AD633" s="663"/>
      <c r="AE633" s="663"/>
      <c r="AF633" s="663"/>
      <c r="AG633" s="663"/>
      <c r="AH633" s="663"/>
      <c r="AI633" s="664"/>
      <c r="AL633" s="896">
        <f t="shared" ref="AL633:AM633" si="1734">AL618</f>
        <v>39843</v>
      </c>
      <c r="AM633" s="897">
        <f t="shared" si="1734"/>
        <v>0</v>
      </c>
      <c r="AN633" s="663"/>
      <c r="AU633" s="664"/>
      <c r="AX633" s="896">
        <f t="shared" ref="AX633:AY633" si="1735">AX618</f>
        <v>39843</v>
      </c>
      <c r="AY633" s="897">
        <f t="shared" si="1735"/>
        <v>0</v>
      </c>
      <c r="BG633" s="664"/>
      <c r="BJ633" s="896">
        <f t="shared" ref="BJ633:BK633" si="1736">BJ618</f>
        <v>39843</v>
      </c>
      <c r="BK633" s="897">
        <f t="shared" si="1736"/>
        <v>0</v>
      </c>
      <c r="BS633" s="664"/>
      <c r="BV633" s="896">
        <f t="shared" ref="BV633:BW633" si="1737">BV618</f>
        <v>39843</v>
      </c>
      <c r="BW633" s="897">
        <f t="shared" si="1737"/>
        <v>0</v>
      </c>
      <c r="CE633" s="664"/>
      <c r="CH633" s="896">
        <f t="shared" ref="CH633:CI633" si="1738">CH618</f>
        <v>39843</v>
      </c>
      <c r="CI633" s="897">
        <f t="shared" si="1738"/>
        <v>0</v>
      </c>
      <c r="CQ633" s="664"/>
      <c r="CT633" s="896">
        <f t="shared" ref="CT633:CU633" si="1739">CT618</f>
        <v>39843</v>
      </c>
      <c r="CU633" s="897">
        <f t="shared" si="1739"/>
        <v>0</v>
      </c>
      <c r="DC633" s="664"/>
      <c r="DF633" s="896">
        <f t="shared" ref="DF633:DG633" si="1740">DF618</f>
        <v>39843</v>
      </c>
      <c r="DG633" s="897">
        <f t="shared" si="1740"/>
        <v>0</v>
      </c>
      <c r="DO633" s="664"/>
    </row>
    <row r="634" spans="2:119" hidden="1" x14ac:dyDescent="0.25">
      <c r="B634" s="896">
        <f t="shared" ref="B634:C634" si="1741">B619</f>
        <v>39843</v>
      </c>
      <c r="C634" s="897">
        <f t="shared" si="1741"/>
        <v>0</v>
      </c>
      <c r="K634" s="664"/>
      <c r="N634" s="896">
        <f t="shared" ref="N634:O634" si="1742">N619</f>
        <v>39843</v>
      </c>
      <c r="O634" s="897">
        <f t="shared" si="1742"/>
        <v>0</v>
      </c>
      <c r="U634" s="663"/>
      <c r="W634" s="664"/>
      <c r="Z634" s="896">
        <f t="shared" ref="Z634:AA634" si="1743">Z619</f>
        <v>39843</v>
      </c>
      <c r="AA634" s="897">
        <f t="shared" si="1743"/>
        <v>0</v>
      </c>
      <c r="AB634" s="663"/>
      <c r="AC634" s="663"/>
      <c r="AD634" s="663"/>
      <c r="AE634" s="663"/>
      <c r="AF634" s="663"/>
      <c r="AG634" s="663"/>
      <c r="AH634" s="663"/>
      <c r="AI634" s="664"/>
      <c r="AL634" s="896">
        <f t="shared" ref="AL634:AM634" si="1744">AL619</f>
        <v>39843</v>
      </c>
      <c r="AM634" s="897">
        <f t="shared" si="1744"/>
        <v>0</v>
      </c>
      <c r="AN634" s="663"/>
      <c r="AU634" s="664"/>
      <c r="AX634" s="896">
        <f t="shared" ref="AX634:AY634" si="1745">AX619</f>
        <v>39843</v>
      </c>
      <c r="AY634" s="897">
        <f t="shared" si="1745"/>
        <v>0</v>
      </c>
      <c r="BG634" s="664"/>
      <c r="BJ634" s="896">
        <f t="shared" ref="BJ634:BK634" si="1746">BJ619</f>
        <v>39843</v>
      </c>
      <c r="BK634" s="897">
        <f t="shared" si="1746"/>
        <v>0</v>
      </c>
      <c r="BS634" s="664"/>
      <c r="BV634" s="896">
        <f t="shared" ref="BV634:BW634" si="1747">BV619</f>
        <v>39843</v>
      </c>
      <c r="BW634" s="897">
        <f t="shared" si="1747"/>
        <v>0</v>
      </c>
      <c r="CE634" s="664"/>
      <c r="CH634" s="896">
        <f t="shared" ref="CH634:CI634" si="1748">CH619</f>
        <v>39843</v>
      </c>
      <c r="CI634" s="897">
        <f t="shared" si="1748"/>
        <v>0</v>
      </c>
      <c r="CQ634" s="664"/>
      <c r="CT634" s="896">
        <f t="shared" ref="CT634:CU634" si="1749">CT619</f>
        <v>39843</v>
      </c>
      <c r="CU634" s="897">
        <f t="shared" si="1749"/>
        <v>0</v>
      </c>
      <c r="DC634" s="664"/>
      <c r="DF634" s="896">
        <f t="shared" ref="DF634:DG634" si="1750">DF619</f>
        <v>39843</v>
      </c>
      <c r="DG634" s="897">
        <f t="shared" si="1750"/>
        <v>0</v>
      </c>
      <c r="DO634" s="664"/>
    </row>
    <row r="635" spans="2:119" hidden="1" x14ac:dyDescent="0.25">
      <c r="B635" s="896">
        <f t="shared" ref="B635:C635" si="1751">B620</f>
        <v>39843</v>
      </c>
      <c r="C635" s="897">
        <f t="shared" si="1751"/>
        <v>0</v>
      </c>
      <c r="K635" s="664"/>
      <c r="N635" s="896">
        <f t="shared" ref="N635:O635" si="1752">N620</f>
        <v>39843</v>
      </c>
      <c r="O635" s="897">
        <f t="shared" si="1752"/>
        <v>0</v>
      </c>
      <c r="U635" s="663"/>
      <c r="W635" s="664"/>
      <c r="Z635" s="896">
        <f t="shared" ref="Z635:AA635" si="1753">Z620</f>
        <v>39843</v>
      </c>
      <c r="AA635" s="897">
        <f t="shared" si="1753"/>
        <v>0</v>
      </c>
      <c r="AB635" s="663"/>
      <c r="AC635" s="663"/>
      <c r="AD635" s="663"/>
      <c r="AE635" s="663"/>
      <c r="AF635" s="663"/>
      <c r="AG635" s="663"/>
      <c r="AH635" s="663"/>
      <c r="AI635" s="664"/>
      <c r="AL635" s="896">
        <f t="shared" ref="AL635:AM635" si="1754">AL620</f>
        <v>39843</v>
      </c>
      <c r="AM635" s="897">
        <f t="shared" si="1754"/>
        <v>0</v>
      </c>
      <c r="AN635" s="663"/>
      <c r="AU635" s="664"/>
      <c r="AX635" s="896">
        <f t="shared" ref="AX635:AY635" si="1755">AX620</f>
        <v>39843</v>
      </c>
      <c r="AY635" s="897">
        <f t="shared" si="1755"/>
        <v>0</v>
      </c>
      <c r="BG635" s="664"/>
      <c r="BJ635" s="896">
        <f t="shared" ref="BJ635:BK635" si="1756">BJ620</f>
        <v>39843</v>
      </c>
      <c r="BK635" s="897">
        <f t="shared" si="1756"/>
        <v>0</v>
      </c>
      <c r="BS635" s="664"/>
      <c r="BV635" s="896">
        <f t="shared" ref="BV635:BW635" si="1757">BV620</f>
        <v>39843</v>
      </c>
      <c r="BW635" s="897">
        <f t="shared" si="1757"/>
        <v>0</v>
      </c>
      <c r="CE635" s="664"/>
      <c r="CH635" s="896">
        <f t="shared" ref="CH635:CI635" si="1758">CH620</f>
        <v>39843</v>
      </c>
      <c r="CI635" s="897">
        <f t="shared" si="1758"/>
        <v>0</v>
      </c>
      <c r="CQ635" s="664"/>
      <c r="CT635" s="896">
        <f t="shared" ref="CT635:CU635" si="1759">CT620</f>
        <v>39843</v>
      </c>
      <c r="CU635" s="897">
        <f t="shared" si="1759"/>
        <v>0</v>
      </c>
      <c r="DC635" s="664"/>
      <c r="DF635" s="896">
        <f t="shared" ref="DF635:DG635" si="1760">DF620</f>
        <v>39843</v>
      </c>
      <c r="DG635" s="897">
        <f t="shared" si="1760"/>
        <v>0</v>
      </c>
      <c r="DO635" s="664"/>
    </row>
    <row r="636" spans="2:119" hidden="1" x14ac:dyDescent="0.25">
      <c r="B636" s="896">
        <f t="shared" ref="B636" si="1761">B621</f>
        <v>39843</v>
      </c>
      <c r="C636" s="897">
        <f>C621</f>
        <v>0</v>
      </c>
      <c r="K636" s="664"/>
      <c r="N636" s="896">
        <f t="shared" ref="N636" si="1762">N621</f>
        <v>39843</v>
      </c>
      <c r="O636" s="897">
        <f>O621</f>
        <v>0</v>
      </c>
      <c r="U636" s="663"/>
      <c r="W636" s="664"/>
      <c r="Z636" s="896">
        <f t="shared" ref="Z636" si="1763">Z621</f>
        <v>39843</v>
      </c>
      <c r="AA636" s="897">
        <f>AA621</f>
        <v>0</v>
      </c>
      <c r="AB636" s="663"/>
      <c r="AC636" s="663"/>
      <c r="AD636" s="663"/>
      <c r="AE636" s="663"/>
      <c r="AF636" s="663"/>
      <c r="AG636" s="663"/>
      <c r="AH636" s="663"/>
      <c r="AI636" s="664"/>
      <c r="AL636" s="896">
        <f t="shared" ref="AL636" si="1764">AL621</f>
        <v>39843</v>
      </c>
      <c r="AM636" s="897">
        <f>AM621</f>
        <v>0</v>
      </c>
      <c r="AN636" s="663"/>
      <c r="AU636" s="664"/>
      <c r="AX636" s="896">
        <f t="shared" ref="AX636" si="1765">AX621</f>
        <v>39843</v>
      </c>
      <c r="AY636" s="897">
        <f>AY621</f>
        <v>0</v>
      </c>
      <c r="BG636" s="664"/>
      <c r="BJ636" s="896">
        <f t="shared" ref="BJ636" si="1766">BJ621</f>
        <v>39843</v>
      </c>
      <c r="BK636" s="897">
        <f>BK621</f>
        <v>0</v>
      </c>
      <c r="BS636" s="664"/>
      <c r="BV636" s="896">
        <f t="shared" ref="BV636" si="1767">BV621</f>
        <v>39843</v>
      </c>
      <c r="BW636" s="897">
        <f>BW621</f>
        <v>0</v>
      </c>
      <c r="CE636" s="664"/>
      <c r="CH636" s="896">
        <f t="shared" ref="CH636" si="1768">CH621</f>
        <v>39843</v>
      </c>
      <c r="CI636" s="897">
        <f>CI621</f>
        <v>0</v>
      </c>
      <c r="CQ636" s="664"/>
      <c r="CT636" s="896">
        <f t="shared" ref="CT636" si="1769">CT621</f>
        <v>39843</v>
      </c>
      <c r="CU636" s="897">
        <f>CU621</f>
        <v>0</v>
      </c>
      <c r="DC636" s="664"/>
      <c r="DF636" s="896">
        <f t="shared" ref="DF636" si="1770">DF621</f>
        <v>39843</v>
      </c>
      <c r="DG636" s="897">
        <f>DG621</f>
        <v>0</v>
      </c>
      <c r="DO636" s="664"/>
    </row>
    <row r="637" spans="2:119" hidden="1" x14ac:dyDescent="0.25">
      <c r="B637" s="896">
        <f t="shared" ref="B637:C637" si="1771">B622</f>
        <v>39843</v>
      </c>
      <c r="C637" s="897">
        <f t="shared" si="1771"/>
        <v>0</v>
      </c>
      <c r="K637" s="664"/>
      <c r="N637" s="896">
        <f t="shared" ref="N637:O637" si="1772">N622</f>
        <v>39843</v>
      </c>
      <c r="O637" s="897">
        <f t="shared" si="1772"/>
        <v>0</v>
      </c>
      <c r="U637" s="663"/>
      <c r="W637" s="664"/>
      <c r="Z637" s="896">
        <f t="shared" ref="Z637:AA637" si="1773">Z622</f>
        <v>39843</v>
      </c>
      <c r="AA637" s="897">
        <f t="shared" si="1773"/>
        <v>0</v>
      </c>
      <c r="AB637" s="663"/>
      <c r="AC637" s="663"/>
      <c r="AD637" s="663"/>
      <c r="AE637" s="663"/>
      <c r="AF637" s="663"/>
      <c r="AG637" s="663"/>
      <c r="AH637" s="663"/>
      <c r="AI637" s="664"/>
      <c r="AL637" s="896">
        <f t="shared" ref="AL637:AM637" si="1774">AL622</f>
        <v>39843</v>
      </c>
      <c r="AM637" s="897">
        <f t="shared" si="1774"/>
        <v>0</v>
      </c>
      <c r="AN637" s="663"/>
      <c r="AU637" s="664"/>
      <c r="AX637" s="896">
        <f t="shared" ref="AX637:AY637" si="1775">AX622</f>
        <v>39843</v>
      </c>
      <c r="AY637" s="897">
        <f t="shared" si="1775"/>
        <v>0</v>
      </c>
      <c r="BG637" s="664"/>
      <c r="BJ637" s="896">
        <f t="shared" ref="BJ637:BK637" si="1776">BJ622</f>
        <v>39843</v>
      </c>
      <c r="BK637" s="897">
        <f t="shared" si="1776"/>
        <v>0</v>
      </c>
      <c r="BS637" s="664"/>
      <c r="BV637" s="896">
        <f t="shared" ref="BV637:BW637" si="1777">BV622</f>
        <v>39843</v>
      </c>
      <c r="BW637" s="897">
        <f t="shared" si="1777"/>
        <v>0</v>
      </c>
      <c r="CE637" s="664"/>
      <c r="CH637" s="896">
        <f t="shared" ref="CH637:CI637" si="1778">CH622</f>
        <v>39843</v>
      </c>
      <c r="CI637" s="897">
        <f t="shared" si="1778"/>
        <v>0</v>
      </c>
      <c r="CQ637" s="664"/>
      <c r="CT637" s="896">
        <f t="shared" ref="CT637:CU637" si="1779">CT622</f>
        <v>39843</v>
      </c>
      <c r="CU637" s="897">
        <f t="shared" si="1779"/>
        <v>0</v>
      </c>
      <c r="DC637" s="664"/>
      <c r="DF637" s="896">
        <f t="shared" ref="DF637:DG637" si="1780">DF622</f>
        <v>39843</v>
      </c>
      <c r="DG637" s="897">
        <f t="shared" si="1780"/>
        <v>0</v>
      </c>
      <c r="DO637" s="664"/>
    </row>
    <row r="638" spans="2:119" hidden="1" x14ac:dyDescent="0.25">
      <c r="B638" s="896">
        <f>B623+$C$56</f>
        <v>41179</v>
      </c>
      <c r="C638" s="897">
        <f ca="1">C623</f>
        <v>0</v>
      </c>
      <c r="K638" s="664"/>
      <c r="N638" s="896">
        <f>N623+$C$56</f>
        <v>41179</v>
      </c>
      <c r="O638" s="897">
        <f ca="1">O623</f>
        <v>0</v>
      </c>
      <c r="U638" s="663"/>
      <c r="W638" s="664"/>
      <c r="Z638" s="896">
        <f>Z623+$C$56</f>
        <v>41179</v>
      </c>
      <c r="AA638" s="897">
        <f ca="1">AA623</f>
        <v>0</v>
      </c>
      <c r="AB638" s="663"/>
      <c r="AC638" s="663"/>
      <c r="AD638" s="663"/>
      <c r="AE638" s="663"/>
      <c r="AF638" s="663"/>
      <c r="AG638" s="663"/>
      <c r="AH638" s="663"/>
      <c r="AI638" s="664"/>
      <c r="AL638" s="896">
        <f>AL623+$C$56</f>
        <v>41179</v>
      </c>
      <c r="AM638" s="897">
        <f ca="1">AM623</f>
        <v>0</v>
      </c>
      <c r="AN638" s="663"/>
      <c r="AU638" s="664"/>
      <c r="AX638" s="896">
        <f>AX623+$C$56</f>
        <v>41179</v>
      </c>
      <c r="AY638" s="897">
        <f ca="1">AY623</f>
        <v>0</v>
      </c>
      <c r="BG638" s="664"/>
      <c r="BJ638" s="896">
        <f>BJ623+$C$56</f>
        <v>41179</v>
      </c>
      <c r="BK638" s="897">
        <f ca="1">BK623</f>
        <v>0</v>
      </c>
      <c r="BS638" s="664"/>
      <c r="BV638" s="896">
        <f>BV623+$C$56</f>
        <v>41179</v>
      </c>
      <c r="BW638" s="897">
        <f ca="1">BW623</f>
        <v>0</v>
      </c>
      <c r="CE638" s="664"/>
      <c r="CH638" s="896">
        <f>CH623+$C$56</f>
        <v>41179</v>
      </c>
      <c r="CI638" s="897">
        <f ca="1">CI623</f>
        <v>0</v>
      </c>
      <c r="CQ638" s="664"/>
      <c r="CT638" s="896">
        <f>CT623+$C$56</f>
        <v>41179</v>
      </c>
      <c r="CU638" s="897">
        <f ca="1">CU623</f>
        <v>0</v>
      </c>
      <c r="DC638" s="664"/>
      <c r="DF638" s="896">
        <f>DF623+$C$56</f>
        <v>41179</v>
      </c>
      <c r="DG638" s="897">
        <f ca="1">DG623</f>
        <v>0</v>
      </c>
      <c r="DO638" s="664"/>
    </row>
    <row r="639" spans="2:119" hidden="1" x14ac:dyDescent="0.25">
      <c r="B639" s="898">
        <f>IF(C628&lt;&gt;0,ROW(C628),IF(C629&lt;&gt;0,ROW(C629),IF(C630&lt;&gt;0,ROW(C630),IF(C631&lt;&gt;0,ROW(C631),IF(C632&lt;&gt;0,ROW(C632),IF(C633&lt;&gt;0,ROW(C633),IF(C634&lt;&gt;0,ROW(C634),IF(C635&lt;&gt;0,ROW(C635),IF(C636&lt;&gt;0,ROW(C636),IF(C637&lt;&gt;0,ROW(C637)))))))))))</f>
        <v>630</v>
      </c>
      <c r="C639" s="882" t="e">
        <f ca="1">IF(ISERROR(XIRR(INDIRECT(B641):C638,INDIRECT(B640):B638,-20%)),XIRR(INDIRECT(B641):C638,INDIRECT(B640):B638,20%),"N/A")</f>
        <v>#NUM!</v>
      </c>
      <c r="K639" s="664"/>
      <c r="N639" s="898">
        <f>IF(O628&lt;&gt;0,ROW(O628),IF(O629&lt;&gt;0,ROW(O629),IF(O630&lt;&gt;0,ROW(O630),IF(O631&lt;&gt;0,ROW(O631),IF(O632&lt;&gt;0,ROW(O632),IF(O633&lt;&gt;0,ROW(O633),IF(O634&lt;&gt;0,ROW(O634),IF(O635&lt;&gt;0,ROW(O635),IF(O636&lt;&gt;0,ROW(O636),IF(O637&lt;&gt;0,ROW(O637)))))))))))</f>
        <v>630</v>
      </c>
      <c r="O639" s="882" t="e">
        <f ca="1">IF(ISERROR(XIRR(INDIRECT(N641):O638,INDIRECT(N640):N638,-20%)),XIRR(INDIRECT(N641):O638,INDIRECT(N640):N638,20%),"N/A")</f>
        <v>#NUM!</v>
      </c>
      <c r="U639" s="663"/>
      <c r="W639" s="664"/>
      <c r="Z639" s="898">
        <f>IF(AA628&lt;&gt;0,ROW(AA628),IF(AA629&lt;&gt;0,ROW(AA629),IF(AA630&lt;&gt;0,ROW(AA630),IF(AA631&lt;&gt;0,ROW(AA631),IF(AA632&lt;&gt;0,ROW(AA632),IF(AA633&lt;&gt;0,ROW(AA633),IF(AA634&lt;&gt;0,ROW(AA634),IF(AA635&lt;&gt;0,ROW(AA635),IF(AA636&lt;&gt;0,ROW(AA636),IF(AA637&lt;&gt;0,ROW(AA637)))))))))))</f>
        <v>630</v>
      </c>
      <c r="AA639" s="882" t="e">
        <f ca="1">IF(ISERROR(XIRR(INDIRECT(Z641):AA638,INDIRECT(Z640):Z638,-20%)),XIRR(INDIRECT(Z641):AA638,INDIRECT(Z640):Z638,20%),"N/A")</f>
        <v>#NUM!</v>
      </c>
      <c r="AB639" s="663"/>
      <c r="AC639" s="663"/>
      <c r="AD639" s="663"/>
      <c r="AE639" s="663"/>
      <c r="AF639" s="663"/>
      <c r="AG639" s="663"/>
      <c r="AH639" s="663"/>
      <c r="AI639" s="664"/>
      <c r="AL639" s="898">
        <f>IF(AM628&lt;&gt;0,ROW(AM628),IF(AM629&lt;&gt;0,ROW(AM629),IF(AM630&lt;&gt;0,ROW(AM630),IF(AM631&lt;&gt;0,ROW(AM631),IF(AM632&lt;&gt;0,ROW(AM632),IF(AM633&lt;&gt;0,ROW(AM633),IF(AM634&lt;&gt;0,ROW(AM634),IF(AM635&lt;&gt;0,ROW(AM635),IF(AM636&lt;&gt;0,ROW(AM636),IF(AM637&lt;&gt;0,ROW(AM637)))))))))))</f>
        <v>630</v>
      </c>
      <c r="AM639" s="882" t="e">
        <f ca="1">IF(ISERROR(XIRR(INDIRECT(AL641):AM638,INDIRECT(AL640):AL638,-20%)),XIRR(INDIRECT(AL641):AM638,INDIRECT(AL640):AL638,20%),"N/A")</f>
        <v>#NUM!</v>
      </c>
      <c r="AN639" s="663"/>
      <c r="AU639" s="664"/>
      <c r="AX639" s="898">
        <f>IF(AY628&lt;&gt;0,ROW(AY628),IF(AY629&lt;&gt;0,ROW(AY629),IF(AY630&lt;&gt;0,ROW(AY630),IF(AY631&lt;&gt;0,ROW(AY631),IF(AY632&lt;&gt;0,ROW(AY632),IF(AY633&lt;&gt;0,ROW(AY633),IF(AY634&lt;&gt;0,ROW(AY634),IF(AY635&lt;&gt;0,ROW(AY635),IF(AY636&lt;&gt;0,ROW(AY636),IF(AY637&lt;&gt;0,ROW(AY637)))))))))))</f>
        <v>630</v>
      </c>
      <c r="AY639" s="882" t="e">
        <f ca="1">IF(ISERROR(XIRR(INDIRECT(AX641):AY638,INDIRECT(AX640):AX638,-20%)),XIRR(INDIRECT(AX641):AY638,INDIRECT(AX640):AX638,20%),"N/A")</f>
        <v>#NUM!</v>
      </c>
      <c r="BG639" s="664"/>
      <c r="BJ639" s="898">
        <f>IF(BK628&lt;&gt;0,ROW(BK628),IF(BK629&lt;&gt;0,ROW(BK629),IF(BK630&lt;&gt;0,ROW(BK630),IF(BK631&lt;&gt;0,ROW(BK631),IF(BK632&lt;&gt;0,ROW(BK632),IF(BK633&lt;&gt;0,ROW(BK633),IF(BK634&lt;&gt;0,ROW(BK634),IF(BK635&lt;&gt;0,ROW(BK635),IF(BK636&lt;&gt;0,ROW(BK636),IF(BK637&lt;&gt;0,ROW(BK637)))))))))))</f>
        <v>630</v>
      </c>
      <c r="BK639" s="882" t="e">
        <f ca="1">IF(ISERROR(XIRR(INDIRECT(BJ641):BK638,INDIRECT(BJ640):BJ638,-20%)),XIRR(INDIRECT(BJ641):BK638,INDIRECT(BJ640):BJ638,20%),"N/A")</f>
        <v>#NUM!</v>
      </c>
      <c r="BS639" s="664"/>
      <c r="BV639" s="898">
        <f>IF(BW628&lt;&gt;0,ROW(BW628),IF(BW629&lt;&gt;0,ROW(BW629),IF(BW630&lt;&gt;0,ROW(BW630),IF(BW631&lt;&gt;0,ROW(BW631),IF(BW632&lt;&gt;0,ROW(BW632),IF(BW633&lt;&gt;0,ROW(BW633),IF(BW634&lt;&gt;0,ROW(BW634),IF(BW635&lt;&gt;0,ROW(BW635),IF(BW636&lt;&gt;0,ROW(BW636),IF(BW637&lt;&gt;0,ROW(BW637)))))))))))</f>
        <v>630</v>
      </c>
      <c r="BW639" s="882" t="e">
        <f ca="1">IF(ISERROR(XIRR(INDIRECT(BV641):BW638,INDIRECT(BV640):BV638,-20%)),XIRR(INDIRECT(BV641):BW638,INDIRECT(BV640):BV638,20%),"N/A")</f>
        <v>#NUM!</v>
      </c>
      <c r="CE639" s="664"/>
      <c r="CH639" s="898">
        <f>IF(CI628&lt;&gt;0,ROW(CI628),IF(CI629&lt;&gt;0,ROW(CI629),IF(CI630&lt;&gt;0,ROW(CI630),IF(CI631&lt;&gt;0,ROW(CI631),IF(CI632&lt;&gt;0,ROW(CI632),IF(CI633&lt;&gt;0,ROW(CI633),IF(CI634&lt;&gt;0,ROW(CI634),IF(CI635&lt;&gt;0,ROW(CI635),IF(CI636&lt;&gt;0,ROW(CI636),IF(CI637&lt;&gt;0,ROW(CI637)))))))))))</f>
        <v>630</v>
      </c>
      <c r="CI639" s="882" t="e">
        <f ca="1">IF(ISERROR(XIRR(INDIRECT(CH641):CI638,INDIRECT(CH640):CH638,-20%)),XIRR(INDIRECT(CH641):CI638,INDIRECT(CH640):CH638,20%),"N/A")</f>
        <v>#NUM!</v>
      </c>
      <c r="CQ639" s="664"/>
      <c r="CT639" s="898">
        <f>IF(CU628&lt;&gt;0,ROW(CU628),IF(CU629&lt;&gt;0,ROW(CU629),IF(CU630&lt;&gt;0,ROW(CU630),IF(CU631&lt;&gt;0,ROW(CU631),IF(CU632&lt;&gt;0,ROW(CU632),IF(CU633&lt;&gt;0,ROW(CU633),IF(CU634&lt;&gt;0,ROW(CU634),IF(CU635&lt;&gt;0,ROW(CU635),IF(CU636&lt;&gt;0,ROW(CU636),IF(CU637&lt;&gt;0,ROW(CU637)))))))))))</f>
        <v>630</v>
      </c>
      <c r="CU639" s="882" t="e">
        <f ca="1">IF(ISERROR(XIRR(INDIRECT(CT641):CU638,INDIRECT(CT640):CT638,-20%)),XIRR(INDIRECT(CT641):CU638,INDIRECT(CT640):CT638,20%),"N/A")</f>
        <v>#NUM!</v>
      </c>
      <c r="DC639" s="664"/>
      <c r="DF639" s="898">
        <f>IF(DG628&lt;&gt;0,ROW(DG628),IF(DG629&lt;&gt;0,ROW(DG629),IF(DG630&lt;&gt;0,ROW(DG630),IF(DG631&lt;&gt;0,ROW(DG631),IF(DG632&lt;&gt;0,ROW(DG632),IF(DG633&lt;&gt;0,ROW(DG633),IF(DG634&lt;&gt;0,ROW(DG634),IF(DG635&lt;&gt;0,ROW(DG635),IF(DG636&lt;&gt;0,ROW(DG636),IF(DG637&lt;&gt;0,ROW(DG637)))))))))))</f>
        <v>630</v>
      </c>
      <c r="DG639" s="882" t="e">
        <f ca="1">IF(ISERROR(XIRR(INDIRECT(DF641):DG638,INDIRECT(DF640):DF638,-20%)),XIRR(INDIRECT(DF641):DG638,INDIRECT(DF640):DF638,20%),"N/A")</f>
        <v>#NUM!</v>
      </c>
      <c r="DO639" s="664"/>
    </row>
    <row r="640" spans="2:119" hidden="1" x14ac:dyDescent="0.25">
      <c r="B640" s="899" t="str">
        <f>CONCATENATE(CHAR(64+COLUMN(B639)),B639)</f>
        <v>B630</v>
      </c>
      <c r="C640" s="897"/>
      <c r="K640" s="664"/>
      <c r="N640" s="899" t="str">
        <f>CONCATENATE(CHAR(64+COLUMN(N639)),N639)</f>
        <v>N630</v>
      </c>
      <c r="O640" s="897"/>
      <c r="U640" s="663"/>
      <c r="W640" s="664"/>
      <c r="Z640" s="899" t="str">
        <f>CONCATENATE(IF(COLUMN(Z639)&lt;=26,CHAR(96+COLUMN(Z639)),(CHAR(96+(ROUNDDOWN((COLUMN(Z639)-1)/26,0)))&amp;CHAR(96+IF(MOD(COLUMN(Z639),26)=0,26,MOD(COLUMN(Z639),26))))),Z639)</f>
        <v>z630</v>
      </c>
      <c r="AA640" s="897"/>
      <c r="AB640" s="663"/>
      <c r="AC640" s="663"/>
      <c r="AD640" s="663"/>
      <c r="AE640" s="663"/>
      <c r="AF640" s="663"/>
      <c r="AG640" s="663"/>
      <c r="AH640" s="663"/>
      <c r="AI640" s="664"/>
      <c r="AL640" s="899" t="str">
        <f>CONCATENATE(IF(COLUMN(AL639)&lt;=26,CHAR(96+COLUMN(AL639)),(CHAR(96+(ROUNDDOWN((COLUMN(AL639)-1)/26,0)))&amp;CHAR(96+IF(MOD(COLUMN(AL639),26)=0,26,MOD(COLUMN(AL639),26))))),AL639)</f>
        <v>al630</v>
      </c>
      <c r="AM640" s="897"/>
      <c r="AN640" s="663"/>
      <c r="AU640" s="664"/>
      <c r="AX640" s="899" t="str">
        <f>CONCATENATE(IF(COLUMN(AX639)&lt;=26,CHAR(96+COLUMN(AX639)),(CHAR(96+(ROUNDDOWN((COLUMN(AX639)-1)/26,0)))&amp;CHAR(96+IF(MOD(COLUMN(AX639),26)=0,26,MOD(COLUMN(AX639),26))))),AX639)</f>
        <v>ax630</v>
      </c>
      <c r="AY640" s="897"/>
      <c r="BG640" s="664"/>
      <c r="BJ640" s="899" t="str">
        <f>CONCATENATE(IF(COLUMN(BJ639)&lt;=26,CHAR(96+COLUMN(BJ639)),(CHAR(96+(ROUNDDOWN((COLUMN(BJ639)-1)/26,0)))&amp;CHAR(96+IF(MOD(COLUMN(BJ639),26)=0,26,MOD(COLUMN(BJ639),26))))),BJ639)</f>
        <v>bj630</v>
      </c>
      <c r="BK640" s="897"/>
      <c r="BS640" s="664"/>
      <c r="BV640" s="899" t="str">
        <f>CONCATENATE(IF(COLUMN(BV639)&lt;=26,CHAR(96+COLUMN(BV639)),(CHAR(96+(ROUNDDOWN((COLUMN(BV639)-1)/26,0)))&amp;CHAR(96+IF(MOD(COLUMN(BV639),26)=0,26,MOD(COLUMN(BV639),26))))),BV639)</f>
        <v>bv630</v>
      </c>
      <c r="BW640" s="897"/>
      <c r="CE640" s="664"/>
      <c r="CH640" s="899" t="str">
        <f>CONCATENATE(IF(COLUMN(CH639)&lt;=26,CHAR(96+COLUMN(CH639)),(CHAR(96+(ROUNDDOWN((COLUMN(CH639)-1)/26,0)))&amp;CHAR(96+IF(MOD(COLUMN(CH639),26)=0,26,MOD(COLUMN(CH639),26))))),CH639)</f>
        <v>ch630</v>
      </c>
      <c r="CI640" s="897"/>
      <c r="CQ640" s="664"/>
      <c r="CT640" s="899" t="str">
        <f>CONCATENATE(IF(COLUMN(CT639)&lt;=26,CHAR(96+COLUMN(CT639)),(CHAR(96+(ROUNDDOWN((COLUMN(CT639)-1)/26,0)))&amp;CHAR(96+IF(MOD(COLUMN(CT639),26)=0,26,MOD(COLUMN(CT639),26))))),CT639)</f>
        <v>ct630</v>
      </c>
      <c r="CU640" s="897"/>
      <c r="DC640" s="664"/>
      <c r="DF640" s="899" t="str">
        <f>CONCATENATE(IF(COLUMN(DF639)&lt;=26,CHAR(96+COLUMN(DF639)),(CHAR(96+(ROUNDDOWN((COLUMN(DF639)-1)/26,0)))&amp;CHAR(96+IF(MOD(COLUMN(DF639),26)=0,26,MOD(COLUMN(DF639),26))))),DF639)</f>
        <v>df630</v>
      </c>
      <c r="DG640" s="897"/>
      <c r="DO640" s="664"/>
    </row>
    <row r="641" spans="2:119" hidden="1" x14ac:dyDescent="0.25">
      <c r="B641" s="899" t="str">
        <f>CONCATENATE(CHAR(64+COLUMN(C639)),B639)</f>
        <v>C630</v>
      </c>
      <c r="C641" s="897"/>
      <c r="K641" s="664"/>
      <c r="N641" s="899" t="str">
        <f>CONCATENATE(CHAR(64+COLUMN(O639)),N639)</f>
        <v>O630</v>
      </c>
      <c r="O641" s="897"/>
      <c r="U641" s="663"/>
      <c r="W641" s="664"/>
      <c r="Z641" s="899" t="str">
        <f>CONCATENATE(IF(COLUMN(AA639)&lt;=26,CHAR(96+COLUMN(AA639)),(CHAR(96+(ROUNDDOWN((COLUMN(AA639)-1)/26,0)))&amp;CHAR(96+IF(MOD(COLUMN(AA639),26)=0,26,MOD(COLUMN(AA639),26))))),Z639)</f>
        <v>aa630</v>
      </c>
      <c r="AA641" s="897"/>
      <c r="AB641" s="663"/>
      <c r="AC641" s="663"/>
      <c r="AD641" s="663"/>
      <c r="AE641" s="663"/>
      <c r="AF641" s="663"/>
      <c r="AG641" s="663"/>
      <c r="AH641" s="663"/>
      <c r="AI641" s="664"/>
      <c r="AL641" s="899" t="str">
        <f>CONCATENATE(IF(COLUMN(AM639)&lt;=26,CHAR(96+COLUMN(AM639)),(CHAR(96+(ROUNDDOWN((COLUMN(AM639)-1)/26,0)))&amp;CHAR(96+IF(MOD(COLUMN(AM639),26)=0,26,MOD(COLUMN(AM639),26))))),AL639)</f>
        <v>am630</v>
      </c>
      <c r="AM641" s="897"/>
      <c r="AN641" s="663"/>
      <c r="AU641" s="664"/>
      <c r="AX641" s="899" t="str">
        <f>CONCATENATE(IF(COLUMN(AY639)&lt;=26,CHAR(96+COLUMN(AY639)),(CHAR(96+(ROUNDDOWN((COLUMN(AY639)-1)/26,0)))&amp;CHAR(96+IF(MOD(COLUMN(AY639),26)=0,26,MOD(COLUMN(AY639),26))))),AX639)</f>
        <v>ay630</v>
      </c>
      <c r="AY641" s="897"/>
      <c r="BG641" s="664"/>
      <c r="BJ641" s="899" t="str">
        <f>CONCATENATE(IF(COLUMN(BK639)&lt;=26,CHAR(96+COLUMN(BK639)),(CHAR(96+(ROUNDDOWN((COLUMN(BK639)-1)/26,0)))&amp;CHAR(96+IF(MOD(COLUMN(BK639),26)=0,26,MOD(COLUMN(BK639),26))))),BJ639)</f>
        <v>bk630</v>
      </c>
      <c r="BK641" s="897"/>
      <c r="BS641" s="664"/>
      <c r="BV641" s="899" t="str">
        <f>CONCATENATE(IF(COLUMN(BW639)&lt;=26,CHAR(96+COLUMN(BW639)),(CHAR(96+(ROUNDDOWN((COLUMN(BW639)-1)/26,0)))&amp;CHAR(96+IF(MOD(COLUMN(BW639),26)=0,26,MOD(COLUMN(BW639),26))))),BV639)</f>
        <v>bw630</v>
      </c>
      <c r="BW641" s="897"/>
      <c r="CE641" s="664"/>
      <c r="CH641" s="899" t="str">
        <f>CONCATENATE(IF(COLUMN(CI639)&lt;=26,CHAR(96+COLUMN(CI639)),(CHAR(96+(ROUNDDOWN((COLUMN(CI639)-1)/26,0)))&amp;CHAR(96+IF(MOD(COLUMN(CI639),26)=0,26,MOD(COLUMN(CI639),26))))),CH639)</f>
        <v>ci630</v>
      </c>
      <c r="CI641" s="897"/>
      <c r="CQ641" s="664"/>
      <c r="CT641" s="899" t="str">
        <f>CONCATENATE(IF(COLUMN(CU639)&lt;=26,CHAR(96+COLUMN(CU639)),(CHAR(96+(ROUNDDOWN((COLUMN(CU639)-1)/26,0)))&amp;CHAR(96+IF(MOD(COLUMN(CU639),26)=0,26,MOD(COLUMN(CU639),26))))),CT639)</f>
        <v>cu630</v>
      </c>
      <c r="CU641" s="897"/>
      <c r="DC641" s="664"/>
      <c r="DF641" s="899" t="str">
        <f>CONCATENATE(IF(COLUMN(DG639)&lt;=26,CHAR(96+COLUMN(DG639)),(CHAR(96+(ROUNDDOWN((COLUMN(DG639)-1)/26,0)))&amp;CHAR(96+IF(MOD(COLUMN(DG639),26)=0,26,MOD(COLUMN(DG639),26))))),DF639)</f>
        <v>dg630</v>
      </c>
      <c r="DG641" s="897"/>
      <c r="DO641" s="664"/>
    </row>
    <row r="642" spans="2:119" hidden="1" x14ac:dyDescent="0.25">
      <c r="B642" s="899"/>
      <c r="C642" s="897"/>
      <c r="K642" s="664"/>
      <c r="N642" s="899"/>
      <c r="O642" s="897"/>
      <c r="U642" s="663"/>
      <c r="W642" s="664"/>
      <c r="Z642" s="899"/>
      <c r="AA642" s="897"/>
      <c r="AB642" s="663"/>
      <c r="AC642" s="663"/>
      <c r="AD642" s="663"/>
      <c r="AE642" s="663"/>
      <c r="AF642" s="663"/>
      <c r="AG642" s="663"/>
      <c r="AH642" s="663"/>
      <c r="AI642" s="664"/>
      <c r="AL642" s="899"/>
      <c r="AM642" s="897"/>
      <c r="AN642" s="663"/>
      <c r="AU642" s="664"/>
      <c r="AX642" s="899"/>
      <c r="AY642" s="897"/>
      <c r="BG642" s="664"/>
      <c r="BJ642" s="899"/>
      <c r="BK642" s="897"/>
      <c r="BS642" s="664"/>
      <c r="BV642" s="899"/>
      <c r="BW642" s="897"/>
      <c r="CE642" s="664"/>
      <c r="CH642" s="899"/>
      <c r="CI642" s="897"/>
      <c r="CQ642" s="664"/>
      <c r="CT642" s="899"/>
      <c r="CU642" s="897"/>
      <c r="DC642" s="664"/>
      <c r="DF642" s="899"/>
      <c r="DG642" s="897"/>
      <c r="DO642" s="664"/>
    </row>
    <row r="643" spans="2:119" hidden="1" x14ac:dyDescent="0.25">
      <c r="B643" s="900">
        <f>B628</f>
        <v>39113</v>
      </c>
      <c r="C643" s="897">
        <f>C628</f>
        <v>0</v>
      </c>
      <c r="K643" s="664"/>
      <c r="N643" s="900">
        <f>N628</f>
        <v>39113</v>
      </c>
      <c r="O643" s="897">
        <f>O628</f>
        <v>0</v>
      </c>
      <c r="U643" s="663"/>
      <c r="W643" s="664"/>
      <c r="Z643" s="900">
        <f>Z628</f>
        <v>39113</v>
      </c>
      <c r="AA643" s="897">
        <f>AA628</f>
        <v>0</v>
      </c>
      <c r="AB643" s="663"/>
      <c r="AC643" s="663"/>
      <c r="AD643" s="663"/>
      <c r="AE643" s="663"/>
      <c r="AF643" s="663"/>
      <c r="AG643" s="663"/>
      <c r="AH643" s="663"/>
      <c r="AI643" s="664"/>
      <c r="AL643" s="900">
        <f>AL628</f>
        <v>39113</v>
      </c>
      <c r="AM643" s="897">
        <f>AM628</f>
        <v>0</v>
      </c>
      <c r="AN643" s="663"/>
      <c r="AU643" s="664"/>
      <c r="AX643" s="900">
        <f>AX628</f>
        <v>39113</v>
      </c>
      <c r="AY643" s="897">
        <f>AY628</f>
        <v>0</v>
      </c>
      <c r="BG643" s="664"/>
      <c r="BJ643" s="900">
        <f>BJ628</f>
        <v>39113</v>
      </c>
      <c r="BK643" s="897">
        <f>BK628</f>
        <v>0</v>
      </c>
      <c r="BS643" s="664"/>
      <c r="BV643" s="900">
        <f>BV628</f>
        <v>39113</v>
      </c>
      <c r="BW643" s="897">
        <f>BW628</f>
        <v>0</v>
      </c>
      <c r="CE643" s="664"/>
      <c r="CH643" s="900">
        <f>CH628</f>
        <v>39113</v>
      </c>
      <c r="CI643" s="897">
        <f>CI628</f>
        <v>0</v>
      </c>
      <c r="CQ643" s="664"/>
      <c r="CT643" s="900">
        <f>CT628</f>
        <v>39113</v>
      </c>
      <c r="CU643" s="897">
        <f>CU628</f>
        <v>0</v>
      </c>
      <c r="DC643" s="664"/>
      <c r="DF643" s="900">
        <f>DF628</f>
        <v>39113</v>
      </c>
      <c r="DG643" s="897">
        <f>DG628</f>
        <v>0</v>
      </c>
      <c r="DO643" s="664"/>
    </row>
    <row r="644" spans="2:119" hidden="1" x14ac:dyDescent="0.25">
      <c r="B644" s="900">
        <f t="shared" ref="B644:C644" si="1781">B629</f>
        <v>39478</v>
      </c>
      <c r="C644" s="897">
        <f t="shared" si="1781"/>
        <v>0</v>
      </c>
      <c r="K644" s="664"/>
      <c r="N644" s="900">
        <f t="shared" ref="N644:O644" si="1782">N629</f>
        <v>39478</v>
      </c>
      <c r="O644" s="897">
        <f t="shared" si="1782"/>
        <v>0</v>
      </c>
      <c r="U644" s="663"/>
      <c r="W644" s="664"/>
      <c r="Z644" s="900">
        <f t="shared" ref="Z644:AA644" si="1783">Z629</f>
        <v>39478</v>
      </c>
      <c r="AA644" s="897">
        <f t="shared" si="1783"/>
        <v>0</v>
      </c>
      <c r="AB644" s="663"/>
      <c r="AC644" s="663"/>
      <c r="AD644" s="663"/>
      <c r="AE644" s="663"/>
      <c r="AF644" s="663"/>
      <c r="AG644" s="663"/>
      <c r="AH644" s="663"/>
      <c r="AI644" s="664"/>
      <c r="AL644" s="900">
        <f t="shared" ref="AL644:AM644" si="1784">AL629</f>
        <v>39478</v>
      </c>
      <c r="AM644" s="897">
        <f t="shared" si="1784"/>
        <v>0</v>
      </c>
      <c r="AN644" s="663"/>
      <c r="AU644" s="664"/>
      <c r="AX644" s="900">
        <f t="shared" ref="AX644:AY644" si="1785">AX629</f>
        <v>39478</v>
      </c>
      <c r="AY644" s="897">
        <f t="shared" si="1785"/>
        <v>0</v>
      </c>
      <c r="BG644" s="664"/>
      <c r="BJ644" s="900">
        <f t="shared" ref="BJ644:BK644" si="1786">BJ629</f>
        <v>39478</v>
      </c>
      <c r="BK644" s="897">
        <f t="shared" si="1786"/>
        <v>0</v>
      </c>
      <c r="BS644" s="664"/>
      <c r="BV644" s="900">
        <f t="shared" ref="BV644:BW644" si="1787">BV629</f>
        <v>39478</v>
      </c>
      <c r="BW644" s="897">
        <f t="shared" si="1787"/>
        <v>0</v>
      </c>
      <c r="CE644" s="664"/>
      <c r="CH644" s="900">
        <f t="shared" ref="CH644:CI644" si="1788">CH629</f>
        <v>39478</v>
      </c>
      <c r="CI644" s="897">
        <f t="shared" si="1788"/>
        <v>0</v>
      </c>
      <c r="CQ644" s="664"/>
      <c r="CT644" s="900">
        <f t="shared" ref="CT644:CU644" si="1789">CT629</f>
        <v>39478</v>
      </c>
      <c r="CU644" s="897">
        <f t="shared" si="1789"/>
        <v>0</v>
      </c>
      <c r="DC644" s="664"/>
      <c r="DF644" s="900">
        <f t="shared" ref="DF644:DG644" si="1790">DF629</f>
        <v>39478</v>
      </c>
      <c r="DG644" s="897">
        <f t="shared" si="1790"/>
        <v>0</v>
      </c>
      <c r="DO644" s="664"/>
    </row>
    <row r="645" spans="2:119" hidden="1" x14ac:dyDescent="0.25">
      <c r="B645" s="900">
        <f t="shared" ref="B645:C645" si="1791">B630</f>
        <v>39843</v>
      </c>
      <c r="C645" s="897">
        <f t="shared" si="1791"/>
        <v>-2500000</v>
      </c>
      <c r="K645" s="664"/>
      <c r="N645" s="900">
        <f t="shared" ref="N645:O645" si="1792">N630</f>
        <v>39843</v>
      </c>
      <c r="O645" s="897">
        <f t="shared" si="1792"/>
        <v>-2500000</v>
      </c>
      <c r="U645" s="663"/>
      <c r="W645" s="664"/>
      <c r="Z645" s="900">
        <f t="shared" ref="Z645:AA645" si="1793">Z630</f>
        <v>39843</v>
      </c>
      <c r="AA645" s="897">
        <f t="shared" si="1793"/>
        <v>-2500000</v>
      </c>
      <c r="AB645" s="663"/>
      <c r="AC645" s="663"/>
      <c r="AD645" s="663"/>
      <c r="AE645" s="663"/>
      <c r="AF645" s="663"/>
      <c r="AG645" s="663"/>
      <c r="AH645" s="663"/>
      <c r="AI645" s="664"/>
      <c r="AL645" s="900">
        <f t="shared" ref="AL645:AM645" si="1794">AL630</f>
        <v>39843</v>
      </c>
      <c r="AM645" s="897">
        <f t="shared" si="1794"/>
        <v>-2500000</v>
      </c>
      <c r="AN645" s="663"/>
      <c r="AU645" s="664"/>
      <c r="AX645" s="900">
        <f t="shared" ref="AX645:AY645" si="1795">AX630</f>
        <v>39843</v>
      </c>
      <c r="AY645" s="897">
        <f t="shared" si="1795"/>
        <v>-2500000</v>
      </c>
      <c r="BG645" s="664"/>
      <c r="BJ645" s="900">
        <f t="shared" ref="BJ645:BK645" si="1796">BJ630</f>
        <v>39843</v>
      </c>
      <c r="BK645" s="897">
        <f t="shared" si="1796"/>
        <v>-2500000</v>
      </c>
      <c r="BS645" s="664"/>
      <c r="BV645" s="900">
        <f t="shared" ref="BV645:BW645" si="1797">BV630</f>
        <v>39843</v>
      </c>
      <c r="BW645" s="897">
        <f t="shared" si="1797"/>
        <v>-2500000</v>
      </c>
      <c r="CE645" s="664"/>
      <c r="CH645" s="900">
        <f t="shared" ref="CH645:CI645" si="1798">CH630</f>
        <v>39843</v>
      </c>
      <c r="CI645" s="897">
        <f t="shared" si="1798"/>
        <v>-2500000</v>
      </c>
      <c r="CQ645" s="664"/>
      <c r="CT645" s="900">
        <f t="shared" ref="CT645:CU645" si="1799">CT630</f>
        <v>39843</v>
      </c>
      <c r="CU645" s="897">
        <f t="shared" si="1799"/>
        <v>-2500000</v>
      </c>
      <c r="DC645" s="664"/>
      <c r="DF645" s="900">
        <f t="shared" ref="DF645:DG645" si="1800">DF630</f>
        <v>39843</v>
      </c>
      <c r="DG645" s="897">
        <f t="shared" si="1800"/>
        <v>-2500000</v>
      </c>
      <c r="DO645" s="664"/>
    </row>
    <row r="646" spans="2:119" hidden="1" x14ac:dyDescent="0.25">
      <c r="B646" s="900">
        <f t="shared" ref="B646:C646" si="1801">B631</f>
        <v>39843</v>
      </c>
      <c r="C646" s="897">
        <f t="shared" si="1801"/>
        <v>-6666666.666666667</v>
      </c>
      <c r="K646" s="664"/>
      <c r="N646" s="900">
        <f t="shared" ref="N646:O646" si="1802">N631</f>
        <v>39843</v>
      </c>
      <c r="O646" s="897">
        <f t="shared" si="1802"/>
        <v>-6666666.666666667</v>
      </c>
      <c r="U646" s="663"/>
      <c r="W646" s="664"/>
      <c r="Z646" s="900">
        <f t="shared" ref="Z646:AA646" si="1803">Z631</f>
        <v>39843</v>
      </c>
      <c r="AA646" s="897">
        <f t="shared" si="1803"/>
        <v>-6666666.666666667</v>
      </c>
      <c r="AB646" s="663"/>
      <c r="AC646" s="663"/>
      <c r="AD646" s="663"/>
      <c r="AE646" s="663"/>
      <c r="AF646" s="663"/>
      <c r="AG646" s="663"/>
      <c r="AH646" s="663"/>
      <c r="AI646" s="664"/>
      <c r="AL646" s="900">
        <f t="shared" ref="AL646:AM646" si="1804">AL631</f>
        <v>39843</v>
      </c>
      <c r="AM646" s="897">
        <f t="shared" si="1804"/>
        <v>-6666666.666666667</v>
      </c>
      <c r="AN646" s="663"/>
      <c r="AU646" s="664"/>
      <c r="AX646" s="900">
        <f t="shared" ref="AX646:AY646" si="1805">AX631</f>
        <v>39843</v>
      </c>
      <c r="AY646" s="897">
        <f t="shared" si="1805"/>
        <v>-6666666.666666667</v>
      </c>
      <c r="BG646" s="664"/>
      <c r="BJ646" s="900">
        <f t="shared" ref="BJ646:BK646" si="1806">BJ631</f>
        <v>39843</v>
      </c>
      <c r="BK646" s="897">
        <f t="shared" si="1806"/>
        <v>-6666666.666666667</v>
      </c>
      <c r="BS646" s="664"/>
      <c r="BV646" s="900">
        <f t="shared" ref="BV646:BW646" si="1807">BV631</f>
        <v>39843</v>
      </c>
      <c r="BW646" s="897">
        <f t="shared" si="1807"/>
        <v>-6666666.666666667</v>
      </c>
      <c r="CE646" s="664"/>
      <c r="CH646" s="900">
        <f t="shared" ref="CH646:CI646" si="1808">CH631</f>
        <v>39843</v>
      </c>
      <c r="CI646" s="897">
        <f t="shared" si="1808"/>
        <v>-6666666.666666667</v>
      </c>
      <c r="CQ646" s="664"/>
      <c r="CT646" s="900">
        <f t="shared" ref="CT646:CU646" si="1809">CT631</f>
        <v>39843</v>
      </c>
      <c r="CU646" s="897">
        <f t="shared" si="1809"/>
        <v>-6666666.666666667</v>
      </c>
      <c r="DC646" s="664"/>
      <c r="DF646" s="900">
        <f t="shared" ref="DF646:DG646" si="1810">DF631</f>
        <v>39843</v>
      </c>
      <c r="DG646" s="897">
        <f t="shared" si="1810"/>
        <v>-6666666.666666667</v>
      </c>
      <c r="DO646" s="664"/>
    </row>
    <row r="647" spans="2:119" hidden="1" x14ac:dyDescent="0.25">
      <c r="B647" s="900">
        <f t="shared" ref="B647:C647" si="1811">B632</f>
        <v>39843</v>
      </c>
      <c r="C647" s="897">
        <f t="shared" si="1811"/>
        <v>0</v>
      </c>
      <c r="K647" s="664"/>
      <c r="N647" s="900">
        <f t="shared" ref="N647:O647" si="1812">N632</f>
        <v>39843</v>
      </c>
      <c r="O647" s="897">
        <f t="shared" si="1812"/>
        <v>0</v>
      </c>
      <c r="U647" s="663"/>
      <c r="W647" s="664"/>
      <c r="Z647" s="900">
        <f t="shared" ref="Z647:AA647" si="1813">Z632</f>
        <v>39843</v>
      </c>
      <c r="AA647" s="897">
        <f t="shared" si="1813"/>
        <v>0</v>
      </c>
      <c r="AB647" s="663"/>
      <c r="AC647" s="663"/>
      <c r="AD647" s="663"/>
      <c r="AE647" s="663"/>
      <c r="AF647" s="663"/>
      <c r="AG647" s="663"/>
      <c r="AH647" s="663"/>
      <c r="AI647" s="664"/>
      <c r="AL647" s="900">
        <f t="shared" ref="AL647:AM647" si="1814">AL632</f>
        <v>39843</v>
      </c>
      <c r="AM647" s="897">
        <f t="shared" si="1814"/>
        <v>0</v>
      </c>
      <c r="AN647" s="663"/>
      <c r="AU647" s="664"/>
      <c r="AX647" s="900">
        <f t="shared" ref="AX647:AY647" si="1815">AX632</f>
        <v>39843</v>
      </c>
      <c r="AY647" s="897">
        <f t="shared" si="1815"/>
        <v>0</v>
      </c>
      <c r="BG647" s="664"/>
      <c r="BJ647" s="900">
        <f t="shared" ref="BJ647:BK647" si="1816">BJ632</f>
        <v>39843</v>
      </c>
      <c r="BK647" s="897">
        <f t="shared" si="1816"/>
        <v>0</v>
      </c>
      <c r="BS647" s="664"/>
      <c r="BV647" s="900">
        <f t="shared" ref="BV647:BW647" si="1817">BV632</f>
        <v>39843</v>
      </c>
      <c r="BW647" s="897">
        <f t="shared" si="1817"/>
        <v>0</v>
      </c>
      <c r="CE647" s="664"/>
      <c r="CH647" s="900">
        <f t="shared" ref="CH647:CI647" si="1818">CH632</f>
        <v>39843</v>
      </c>
      <c r="CI647" s="897">
        <f t="shared" si="1818"/>
        <v>0</v>
      </c>
      <c r="CQ647" s="664"/>
      <c r="CT647" s="900">
        <f t="shared" ref="CT647:CU647" si="1819">CT632</f>
        <v>39843</v>
      </c>
      <c r="CU647" s="897">
        <f t="shared" si="1819"/>
        <v>0</v>
      </c>
      <c r="DC647" s="664"/>
      <c r="DF647" s="900">
        <f t="shared" ref="DF647:DG647" si="1820">DF632</f>
        <v>39843</v>
      </c>
      <c r="DG647" s="897">
        <f t="shared" si="1820"/>
        <v>0</v>
      </c>
      <c r="DO647" s="664"/>
    </row>
    <row r="648" spans="2:119" hidden="1" x14ac:dyDescent="0.25">
      <c r="B648" s="900">
        <f t="shared" ref="B648:C648" si="1821">B633</f>
        <v>39843</v>
      </c>
      <c r="C648" s="897">
        <f t="shared" si="1821"/>
        <v>0</v>
      </c>
      <c r="K648" s="664"/>
      <c r="N648" s="900">
        <f t="shared" ref="N648:O648" si="1822">N633</f>
        <v>39843</v>
      </c>
      <c r="O648" s="897">
        <f t="shared" si="1822"/>
        <v>0</v>
      </c>
      <c r="U648" s="663"/>
      <c r="W648" s="664"/>
      <c r="Z648" s="900">
        <f t="shared" ref="Z648:AA648" si="1823">Z633</f>
        <v>39843</v>
      </c>
      <c r="AA648" s="897">
        <f t="shared" si="1823"/>
        <v>0</v>
      </c>
      <c r="AB648" s="663"/>
      <c r="AC648" s="663"/>
      <c r="AD648" s="663"/>
      <c r="AE648" s="663"/>
      <c r="AF648" s="663"/>
      <c r="AG648" s="663"/>
      <c r="AH648" s="663"/>
      <c r="AI648" s="664"/>
      <c r="AL648" s="900">
        <f t="shared" ref="AL648:AM648" si="1824">AL633</f>
        <v>39843</v>
      </c>
      <c r="AM648" s="897">
        <f t="shared" si="1824"/>
        <v>0</v>
      </c>
      <c r="AN648" s="663"/>
      <c r="AU648" s="664"/>
      <c r="AX648" s="900">
        <f t="shared" ref="AX648:AY648" si="1825">AX633</f>
        <v>39843</v>
      </c>
      <c r="AY648" s="897">
        <f t="shared" si="1825"/>
        <v>0</v>
      </c>
      <c r="BG648" s="664"/>
      <c r="BJ648" s="900">
        <f t="shared" ref="BJ648:BK648" si="1826">BJ633</f>
        <v>39843</v>
      </c>
      <c r="BK648" s="897">
        <f t="shared" si="1826"/>
        <v>0</v>
      </c>
      <c r="BS648" s="664"/>
      <c r="BV648" s="900">
        <f t="shared" ref="BV648:BW648" si="1827">BV633</f>
        <v>39843</v>
      </c>
      <c r="BW648" s="897">
        <f t="shared" si="1827"/>
        <v>0</v>
      </c>
      <c r="CE648" s="664"/>
      <c r="CH648" s="900">
        <f t="shared" ref="CH648:CI648" si="1828">CH633</f>
        <v>39843</v>
      </c>
      <c r="CI648" s="897">
        <f t="shared" si="1828"/>
        <v>0</v>
      </c>
      <c r="CQ648" s="664"/>
      <c r="CT648" s="900">
        <f t="shared" ref="CT648:CU648" si="1829">CT633</f>
        <v>39843</v>
      </c>
      <c r="CU648" s="897">
        <f t="shared" si="1829"/>
        <v>0</v>
      </c>
      <c r="DC648" s="664"/>
      <c r="DF648" s="900">
        <f t="shared" ref="DF648:DG648" si="1830">DF633</f>
        <v>39843</v>
      </c>
      <c r="DG648" s="897">
        <f t="shared" si="1830"/>
        <v>0</v>
      </c>
      <c r="DO648" s="664"/>
    </row>
    <row r="649" spans="2:119" hidden="1" x14ac:dyDescent="0.25">
      <c r="B649" s="900">
        <f t="shared" ref="B649:C649" si="1831">B634</f>
        <v>39843</v>
      </c>
      <c r="C649" s="897">
        <f t="shared" si="1831"/>
        <v>0</v>
      </c>
      <c r="K649" s="664"/>
      <c r="N649" s="900">
        <f t="shared" ref="N649:O649" si="1832">N634</f>
        <v>39843</v>
      </c>
      <c r="O649" s="897">
        <f t="shared" si="1832"/>
        <v>0</v>
      </c>
      <c r="U649" s="663"/>
      <c r="W649" s="664"/>
      <c r="Z649" s="900">
        <f t="shared" ref="Z649:AA649" si="1833">Z634</f>
        <v>39843</v>
      </c>
      <c r="AA649" s="897">
        <f t="shared" si="1833"/>
        <v>0</v>
      </c>
      <c r="AB649" s="663"/>
      <c r="AC649" s="663"/>
      <c r="AD649" s="663"/>
      <c r="AE649" s="663"/>
      <c r="AF649" s="663"/>
      <c r="AG649" s="663"/>
      <c r="AH649" s="663"/>
      <c r="AI649" s="664"/>
      <c r="AL649" s="900">
        <f t="shared" ref="AL649:AM649" si="1834">AL634</f>
        <v>39843</v>
      </c>
      <c r="AM649" s="897">
        <f t="shared" si="1834"/>
        <v>0</v>
      </c>
      <c r="AN649" s="663"/>
      <c r="AU649" s="664"/>
      <c r="AX649" s="900">
        <f t="shared" ref="AX649:AY649" si="1835">AX634</f>
        <v>39843</v>
      </c>
      <c r="AY649" s="897">
        <f t="shared" si="1835"/>
        <v>0</v>
      </c>
      <c r="BG649" s="664"/>
      <c r="BJ649" s="900">
        <f t="shared" ref="BJ649:BK649" si="1836">BJ634</f>
        <v>39843</v>
      </c>
      <c r="BK649" s="897">
        <f t="shared" si="1836"/>
        <v>0</v>
      </c>
      <c r="BS649" s="664"/>
      <c r="BV649" s="900">
        <f t="shared" ref="BV649:BW649" si="1837">BV634</f>
        <v>39843</v>
      </c>
      <c r="BW649" s="897">
        <f t="shared" si="1837"/>
        <v>0</v>
      </c>
      <c r="CE649" s="664"/>
      <c r="CH649" s="900">
        <f t="shared" ref="CH649:CI649" si="1838">CH634</f>
        <v>39843</v>
      </c>
      <c r="CI649" s="897">
        <f t="shared" si="1838"/>
        <v>0</v>
      </c>
      <c r="CQ649" s="664"/>
      <c r="CT649" s="900">
        <f t="shared" ref="CT649:CU649" si="1839">CT634</f>
        <v>39843</v>
      </c>
      <c r="CU649" s="897">
        <f t="shared" si="1839"/>
        <v>0</v>
      </c>
      <c r="DC649" s="664"/>
      <c r="DF649" s="900">
        <f t="shared" ref="DF649:DG649" si="1840">DF634</f>
        <v>39843</v>
      </c>
      <c r="DG649" s="897">
        <f t="shared" si="1840"/>
        <v>0</v>
      </c>
      <c r="DO649" s="664"/>
    </row>
    <row r="650" spans="2:119" hidden="1" x14ac:dyDescent="0.25">
      <c r="B650" s="900">
        <f t="shared" ref="B650:C650" si="1841">B635</f>
        <v>39843</v>
      </c>
      <c r="C650" s="897">
        <f t="shared" si="1841"/>
        <v>0</v>
      </c>
      <c r="K650" s="664"/>
      <c r="N650" s="900">
        <f t="shared" ref="N650:O650" si="1842">N635</f>
        <v>39843</v>
      </c>
      <c r="O650" s="897">
        <f t="shared" si="1842"/>
        <v>0</v>
      </c>
      <c r="U650" s="663"/>
      <c r="W650" s="664"/>
      <c r="Z650" s="900">
        <f t="shared" ref="Z650:AA650" si="1843">Z635</f>
        <v>39843</v>
      </c>
      <c r="AA650" s="897">
        <f t="shared" si="1843"/>
        <v>0</v>
      </c>
      <c r="AB650" s="663"/>
      <c r="AC650" s="663"/>
      <c r="AD650" s="663"/>
      <c r="AE650" s="663"/>
      <c r="AF650" s="663"/>
      <c r="AG650" s="663"/>
      <c r="AH650" s="663"/>
      <c r="AI650" s="664"/>
      <c r="AL650" s="900">
        <f t="shared" ref="AL650:AM650" si="1844">AL635</f>
        <v>39843</v>
      </c>
      <c r="AM650" s="897">
        <f t="shared" si="1844"/>
        <v>0</v>
      </c>
      <c r="AN650" s="663"/>
      <c r="AU650" s="664"/>
      <c r="AX650" s="900">
        <f t="shared" ref="AX650:AY650" si="1845">AX635</f>
        <v>39843</v>
      </c>
      <c r="AY650" s="897">
        <f t="shared" si="1845"/>
        <v>0</v>
      </c>
      <c r="BG650" s="664"/>
      <c r="BJ650" s="900">
        <f t="shared" ref="BJ650:BK650" si="1846">BJ635</f>
        <v>39843</v>
      </c>
      <c r="BK650" s="897">
        <f t="shared" si="1846"/>
        <v>0</v>
      </c>
      <c r="BS650" s="664"/>
      <c r="BV650" s="900">
        <f t="shared" ref="BV650:BW650" si="1847">BV635</f>
        <v>39843</v>
      </c>
      <c r="BW650" s="897">
        <f t="shared" si="1847"/>
        <v>0</v>
      </c>
      <c r="CE650" s="664"/>
      <c r="CH650" s="900">
        <f t="shared" ref="CH650:CI650" si="1848">CH635</f>
        <v>39843</v>
      </c>
      <c r="CI650" s="897">
        <f t="shared" si="1848"/>
        <v>0</v>
      </c>
      <c r="CQ650" s="664"/>
      <c r="CT650" s="900">
        <f t="shared" ref="CT650:CU650" si="1849">CT635</f>
        <v>39843</v>
      </c>
      <c r="CU650" s="897">
        <f t="shared" si="1849"/>
        <v>0</v>
      </c>
      <c r="DC650" s="664"/>
      <c r="DF650" s="900">
        <f t="shared" ref="DF650:DG650" si="1850">DF635</f>
        <v>39843</v>
      </c>
      <c r="DG650" s="897">
        <f t="shared" si="1850"/>
        <v>0</v>
      </c>
      <c r="DO650" s="664"/>
    </row>
    <row r="651" spans="2:119" hidden="1" x14ac:dyDescent="0.25">
      <c r="B651" s="900">
        <f t="shared" ref="B651:C651" si="1851">B636</f>
        <v>39843</v>
      </c>
      <c r="C651" s="897">
        <f t="shared" si="1851"/>
        <v>0</v>
      </c>
      <c r="K651" s="664"/>
      <c r="N651" s="900">
        <f t="shared" ref="N651:O651" si="1852">N636</f>
        <v>39843</v>
      </c>
      <c r="O651" s="897">
        <f t="shared" si="1852"/>
        <v>0</v>
      </c>
      <c r="U651" s="663"/>
      <c r="W651" s="664"/>
      <c r="Z651" s="900">
        <f t="shared" ref="Z651:AA651" si="1853">Z636</f>
        <v>39843</v>
      </c>
      <c r="AA651" s="897">
        <f t="shared" si="1853"/>
        <v>0</v>
      </c>
      <c r="AB651" s="663"/>
      <c r="AC651" s="663"/>
      <c r="AD651" s="663"/>
      <c r="AE651" s="663"/>
      <c r="AF651" s="663"/>
      <c r="AG651" s="663"/>
      <c r="AH651" s="663"/>
      <c r="AI651" s="664"/>
      <c r="AL651" s="900">
        <f t="shared" ref="AL651:AM651" si="1854">AL636</f>
        <v>39843</v>
      </c>
      <c r="AM651" s="897">
        <f t="shared" si="1854"/>
        <v>0</v>
      </c>
      <c r="AN651" s="663"/>
      <c r="AU651" s="664"/>
      <c r="AX651" s="900">
        <f t="shared" ref="AX651:AY651" si="1855">AX636</f>
        <v>39843</v>
      </c>
      <c r="AY651" s="897">
        <f t="shared" si="1855"/>
        <v>0</v>
      </c>
      <c r="BG651" s="664"/>
      <c r="BJ651" s="900">
        <f t="shared" ref="BJ651:BK651" si="1856">BJ636</f>
        <v>39843</v>
      </c>
      <c r="BK651" s="897">
        <f t="shared" si="1856"/>
        <v>0</v>
      </c>
      <c r="BS651" s="664"/>
      <c r="BV651" s="900">
        <f t="shared" ref="BV651:BW651" si="1857">BV636</f>
        <v>39843</v>
      </c>
      <c r="BW651" s="897">
        <f t="shared" si="1857"/>
        <v>0</v>
      </c>
      <c r="CE651" s="664"/>
      <c r="CH651" s="900">
        <f t="shared" ref="CH651:CI651" si="1858">CH636</f>
        <v>39843</v>
      </c>
      <c r="CI651" s="897">
        <f t="shared" si="1858"/>
        <v>0</v>
      </c>
      <c r="CQ651" s="664"/>
      <c r="CT651" s="900">
        <f t="shared" ref="CT651:CU651" si="1859">CT636</f>
        <v>39843</v>
      </c>
      <c r="CU651" s="897">
        <f t="shared" si="1859"/>
        <v>0</v>
      </c>
      <c r="DC651" s="664"/>
      <c r="DF651" s="900">
        <f t="shared" ref="DF651:DG651" si="1860">DF636</f>
        <v>39843</v>
      </c>
      <c r="DG651" s="897">
        <f t="shared" si="1860"/>
        <v>0</v>
      </c>
      <c r="DO651" s="664"/>
    </row>
    <row r="652" spans="2:119" hidden="1" x14ac:dyDescent="0.25">
      <c r="B652" s="900">
        <f t="shared" ref="B652:C652" si="1861">B637</f>
        <v>39843</v>
      </c>
      <c r="C652" s="897">
        <f t="shared" si="1861"/>
        <v>0</v>
      </c>
      <c r="K652" s="664"/>
      <c r="N652" s="900">
        <f t="shared" ref="N652:O652" si="1862">N637</f>
        <v>39843</v>
      </c>
      <c r="O652" s="897">
        <f t="shared" si="1862"/>
        <v>0</v>
      </c>
      <c r="U652" s="663"/>
      <c r="W652" s="664"/>
      <c r="Z652" s="900">
        <f t="shared" ref="Z652:AA652" si="1863">Z637</f>
        <v>39843</v>
      </c>
      <c r="AA652" s="897">
        <f t="shared" si="1863"/>
        <v>0</v>
      </c>
      <c r="AB652" s="663"/>
      <c r="AC652" s="663"/>
      <c r="AD652" s="663"/>
      <c r="AE652" s="663"/>
      <c r="AF652" s="663"/>
      <c r="AG652" s="663"/>
      <c r="AH652" s="663"/>
      <c r="AI652" s="664"/>
      <c r="AL652" s="900">
        <f t="shared" ref="AL652:AM652" si="1864">AL637</f>
        <v>39843</v>
      </c>
      <c r="AM652" s="897">
        <f t="shared" si="1864"/>
        <v>0</v>
      </c>
      <c r="AN652" s="663"/>
      <c r="AU652" s="664"/>
      <c r="AX652" s="900">
        <f t="shared" ref="AX652:AY652" si="1865">AX637</f>
        <v>39843</v>
      </c>
      <c r="AY652" s="897">
        <f t="shared" si="1865"/>
        <v>0</v>
      </c>
      <c r="BG652" s="664"/>
      <c r="BJ652" s="900">
        <f t="shared" ref="BJ652:BK652" si="1866">BJ637</f>
        <v>39843</v>
      </c>
      <c r="BK652" s="897">
        <f t="shared" si="1866"/>
        <v>0</v>
      </c>
      <c r="BS652" s="664"/>
      <c r="BV652" s="900">
        <f t="shared" ref="BV652:BW652" si="1867">BV637</f>
        <v>39843</v>
      </c>
      <c r="BW652" s="897">
        <f t="shared" si="1867"/>
        <v>0</v>
      </c>
      <c r="CE652" s="664"/>
      <c r="CH652" s="900">
        <f t="shared" ref="CH652:CI652" si="1868">CH637</f>
        <v>39843</v>
      </c>
      <c r="CI652" s="897">
        <f t="shared" si="1868"/>
        <v>0</v>
      </c>
      <c r="CQ652" s="664"/>
      <c r="CT652" s="900">
        <f t="shared" ref="CT652:CU652" si="1869">CT637</f>
        <v>39843</v>
      </c>
      <c r="CU652" s="897">
        <f t="shared" si="1869"/>
        <v>0</v>
      </c>
      <c r="DC652" s="664"/>
      <c r="DF652" s="900">
        <f t="shared" ref="DF652:DG652" si="1870">DF637</f>
        <v>39843</v>
      </c>
      <c r="DG652" s="897">
        <f t="shared" si="1870"/>
        <v>0</v>
      </c>
      <c r="DO652" s="664"/>
    </row>
    <row r="653" spans="2:119" hidden="1" x14ac:dyDescent="0.25">
      <c r="B653" s="896">
        <f>B638+$C$56</f>
        <v>41359</v>
      </c>
      <c r="C653" s="897">
        <f ca="1">C638</f>
        <v>0</v>
      </c>
      <c r="K653" s="664"/>
      <c r="N653" s="896">
        <f>N638+$C$56</f>
        <v>41359</v>
      </c>
      <c r="O653" s="897">
        <f ca="1">O638</f>
        <v>0</v>
      </c>
      <c r="U653" s="663"/>
      <c r="W653" s="664"/>
      <c r="Z653" s="896">
        <f>Z638+$C$56</f>
        <v>41359</v>
      </c>
      <c r="AA653" s="897">
        <f ca="1">AA638</f>
        <v>0</v>
      </c>
      <c r="AB653" s="663"/>
      <c r="AC653" s="663"/>
      <c r="AD653" s="663"/>
      <c r="AE653" s="663"/>
      <c r="AF653" s="663"/>
      <c r="AG653" s="663"/>
      <c r="AH653" s="663"/>
      <c r="AI653" s="664"/>
      <c r="AL653" s="896">
        <f>AL638+$C$56</f>
        <v>41359</v>
      </c>
      <c r="AM653" s="897">
        <f ca="1">AM638</f>
        <v>0</v>
      </c>
      <c r="AN653" s="663"/>
      <c r="AU653" s="664"/>
      <c r="AX653" s="896">
        <f>AX638+$C$56</f>
        <v>41359</v>
      </c>
      <c r="AY653" s="897">
        <f ca="1">AY638</f>
        <v>0</v>
      </c>
      <c r="BG653" s="664"/>
      <c r="BJ653" s="896">
        <f>BJ638+$C$56</f>
        <v>41359</v>
      </c>
      <c r="BK653" s="897">
        <f ca="1">BK638</f>
        <v>0</v>
      </c>
      <c r="BS653" s="664"/>
      <c r="BV653" s="896">
        <f>BV638+$C$56</f>
        <v>41359</v>
      </c>
      <c r="BW653" s="897">
        <f ca="1">BW638</f>
        <v>0</v>
      </c>
      <c r="CE653" s="664"/>
      <c r="CH653" s="896">
        <f>CH638+$C$56</f>
        <v>41359</v>
      </c>
      <c r="CI653" s="897">
        <f ca="1">CI638</f>
        <v>0</v>
      </c>
      <c r="CQ653" s="664"/>
      <c r="CT653" s="896">
        <f>CT638+$C$56</f>
        <v>41359</v>
      </c>
      <c r="CU653" s="897">
        <f ca="1">CU638</f>
        <v>0</v>
      </c>
      <c r="DC653" s="664"/>
      <c r="DF653" s="896">
        <f>DF638+$C$56</f>
        <v>41359</v>
      </c>
      <c r="DG653" s="897">
        <f ca="1">DG638</f>
        <v>0</v>
      </c>
      <c r="DO653" s="664"/>
    </row>
    <row r="654" spans="2:119" hidden="1" x14ac:dyDescent="0.25">
      <c r="B654" s="898">
        <f>IF(C643&lt;&gt;0,ROW(C643),IF(C644&lt;&gt;0,ROW(C644),IF(C645&lt;&gt;0,ROW(C645),IF(C646&lt;&gt;0,ROW(C646),IF(C647&lt;&gt;0,ROW(C647),IF(C648&lt;&gt;0,ROW(C648),IF(C649&lt;&gt;0,ROW(C649),IF(C650&lt;&gt;0,ROW(C650),IF(C651&lt;&gt;0,ROW(C651),IF(C652&lt;&gt;0,ROW(C652)))))))))))</f>
        <v>645</v>
      </c>
      <c r="C654" s="882" t="e">
        <f ca="1">IF(ISERROR(XIRR(INDIRECT(B656):C653,INDIRECT(B655):B653,-20%)),XIRR(INDIRECT(B656):C653,INDIRECT(B655):B653,20%),"N/A")</f>
        <v>#NUM!</v>
      </c>
      <c r="K654" s="664"/>
      <c r="N654" s="898">
        <f>IF(O643&lt;&gt;0,ROW(O643),IF(O644&lt;&gt;0,ROW(O644),IF(O645&lt;&gt;0,ROW(O645),IF(O646&lt;&gt;0,ROW(O646),IF(O647&lt;&gt;0,ROW(O647),IF(O648&lt;&gt;0,ROW(O648),IF(O649&lt;&gt;0,ROW(O649),IF(O650&lt;&gt;0,ROW(O650),IF(O651&lt;&gt;0,ROW(O651),IF(O652&lt;&gt;0,ROW(O652)))))))))))</f>
        <v>645</v>
      </c>
      <c r="O654" s="882" t="e">
        <f ca="1">IF(ISERROR(XIRR(INDIRECT(N656):O653,INDIRECT(N655):N653,-20%)),XIRR(INDIRECT(N656):O653,INDIRECT(N655):N653,20%),"N/A")</f>
        <v>#NUM!</v>
      </c>
      <c r="U654" s="663"/>
      <c r="W654" s="664"/>
      <c r="Z654" s="898">
        <f>IF(AA643&lt;&gt;0,ROW(AA643),IF(AA644&lt;&gt;0,ROW(AA644),IF(AA645&lt;&gt;0,ROW(AA645),IF(AA646&lt;&gt;0,ROW(AA646),IF(AA647&lt;&gt;0,ROW(AA647),IF(AA648&lt;&gt;0,ROW(AA648),IF(AA649&lt;&gt;0,ROW(AA649),IF(AA650&lt;&gt;0,ROW(AA650),IF(AA651&lt;&gt;0,ROW(AA651),IF(AA652&lt;&gt;0,ROW(AA652)))))))))))</f>
        <v>645</v>
      </c>
      <c r="AA654" s="882" t="e">
        <f ca="1">IF(ISERROR(XIRR(INDIRECT(Z656):AA653,INDIRECT(Z655):Z653,-20%)),XIRR(INDIRECT(Z656):AA653,INDIRECT(Z655):Z653,20%),"N/A")</f>
        <v>#NUM!</v>
      </c>
      <c r="AB654" s="663"/>
      <c r="AC654" s="663"/>
      <c r="AD654" s="663"/>
      <c r="AE654" s="663"/>
      <c r="AF654" s="663"/>
      <c r="AG654" s="663"/>
      <c r="AH654" s="663"/>
      <c r="AI654" s="664"/>
      <c r="AL654" s="898">
        <f>IF(AM643&lt;&gt;0,ROW(AM643),IF(AM644&lt;&gt;0,ROW(AM644),IF(AM645&lt;&gt;0,ROW(AM645),IF(AM646&lt;&gt;0,ROW(AM646),IF(AM647&lt;&gt;0,ROW(AM647),IF(AM648&lt;&gt;0,ROW(AM648),IF(AM649&lt;&gt;0,ROW(AM649),IF(AM650&lt;&gt;0,ROW(AM650),IF(AM651&lt;&gt;0,ROW(AM651),IF(AM652&lt;&gt;0,ROW(AM652)))))))))))</f>
        <v>645</v>
      </c>
      <c r="AM654" s="882" t="e">
        <f ca="1">IF(ISERROR(XIRR(INDIRECT(AL656):AM653,INDIRECT(AL655):AL653,-20%)),XIRR(INDIRECT(AL656):AM653,INDIRECT(AL655):AL653,20%),"N/A")</f>
        <v>#NUM!</v>
      </c>
      <c r="AN654" s="663"/>
      <c r="AU654" s="664"/>
      <c r="AX654" s="898">
        <f>IF(AY643&lt;&gt;0,ROW(AY643),IF(AY644&lt;&gt;0,ROW(AY644),IF(AY645&lt;&gt;0,ROW(AY645),IF(AY646&lt;&gt;0,ROW(AY646),IF(AY647&lt;&gt;0,ROW(AY647),IF(AY648&lt;&gt;0,ROW(AY648),IF(AY649&lt;&gt;0,ROW(AY649),IF(AY650&lt;&gt;0,ROW(AY650),IF(AY651&lt;&gt;0,ROW(AY651),IF(AY652&lt;&gt;0,ROW(AY652)))))))))))</f>
        <v>645</v>
      </c>
      <c r="AY654" s="882" t="e">
        <f ca="1">IF(ISERROR(XIRR(INDIRECT(AX656):AY653,INDIRECT(AX655):AX653,-20%)),XIRR(INDIRECT(AX656):AY653,INDIRECT(AX655):AX653,20%),"N/A")</f>
        <v>#NUM!</v>
      </c>
      <c r="BG654" s="664"/>
      <c r="BJ654" s="898">
        <f>IF(BK643&lt;&gt;0,ROW(BK643),IF(BK644&lt;&gt;0,ROW(BK644),IF(BK645&lt;&gt;0,ROW(BK645),IF(BK646&lt;&gt;0,ROW(BK646),IF(BK647&lt;&gt;0,ROW(BK647),IF(BK648&lt;&gt;0,ROW(BK648),IF(BK649&lt;&gt;0,ROW(BK649),IF(BK650&lt;&gt;0,ROW(BK650),IF(BK651&lt;&gt;0,ROW(BK651),IF(BK652&lt;&gt;0,ROW(BK652)))))))))))</f>
        <v>645</v>
      </c>
      <c r="BK654" s="882" t="e">
        <f ca="1">IF(ISERROR(XIRR(INDIRECT(BJ656):BK653,INDIRECT(BJ655):BJ653,-20%)),XIRR(INDIRECT(BJ656):BK653,INDIRECT(BJ655):BJ653,20%),"N/A")</f>
        <v>#NUM!</v>
      </c>
      <c r="BS654" s="664"/>
      <c r="BV654" s="898">
        <f>IF(BW643&lt;&gt;0,ROW(BW643),IF(BW644&lt;&gt;0,ROW(BW644),IF(BW645&lt;&gt;0,ROW(BW645),IF(BW646&lt;&gt;0,ROW(BW646),IF(BW647&lt;&gt;0,ROW(BW647),IF(BW648&lt;&gt;0,ROW(BW648),IF(BW649&lt;&gt;0,ROW(BW649),IF(BW650&lt;&gt;0,ROW(BW650),IF(BW651&lt;&gt;0,ROW(BW651),IF(BW652&lt;&gt;0,ROW(BW652)))))))))))</f>
        <v>645</v>
      </c>
      <c r="BW654" s="882" t="e">
        <f ca="1">IF(ISERROR(XIRR(INDIRECT(BV656):BW653,INDIRECT(BV655):BV653,-20%)),XIRR(INDIRECT(BV656):BW653,INDIRECT(BV655):BV653,20%),"N/A")</f>
        <v>#NUM!</v>
      </c>
      <c r="CE654" s="664"/>
      <c r="CH654" s="898">
        <f>IF(CI643&lt;&gt;0,ROW(CI643),IF(CI644&lt;&gt;0,ROW(CI644),IF(CI645&lt;&gt;0,ROW(CI645),IF(CI646&lt;&gt;0,ROW(CI646),IF(CI647&lt;&gt;0,ROW(CI647),IF(CI648&lt;&gt;0,ROW(CI648),IF(CI649&lt;&gt;0,ROW(CI649),IF(CI650&lt;&gt;0,ROW(CI650),IF(CI651&lt;&gt;0,ROW(CI651),IF(CI652&lt;&gt;0,ROW(CI652)))))))))))</f>
        <v>645</v>
      </c>
      <c r="CI654" s="882" t="e">
        <f ca="1">IF(ISERROR(XIRR(INDIRECT(CH656):CI653,INDIRECT(CH655):CH653,-20%)),XIRR(INDIRECT(CH656):CI653,INDIRECT(CH655):CH653,20%),"N/A")</f>
        <v>#NUM!</v>
      </c>
      <c r="CQ654" s="664"/>
      <c r="CT654" s="898">
        <f>IF(CU643&lt;&gt;0,ROW(CU643),IF(CU644&lt;&gt;0,ROW(CU644),IF(CU645&lt;&gt;0,ROW(CU645),IF(CU646&lt;&gt;0,ROW(CU646),IF(CU647&lt;&gt;0,ROW(CU647),IF(CU648&lt;&gt;0,ROW(CU648),IF(CU649&lt;&gt;0,ROW(CU649),IF(CU650&lt;&gt;0,ROW(CU650),IF(CU651&lt;&gt;0,ROW(CU651),IF(CU652&lt;&gt;0,ROW(CU652)))))))))))</f>
        <v>645</v>
      </c>
      <c r="CU654" s="882" t="e">
        <f ca="1">IF(ISERROR(XIRR(INDIRECT(CT656):CU653,INDIRECT(CT655):CT653,-20%)),XIRR(INDIRECT(CT656):CU653,INDIRECT(CT655):CT653,20%),"N/A")</f>
        <v>#NUM!</v>
      </c>
      <c r="DC654" s="664"/>
      <c r="DF654" s="898">
        <f>IF(DG643&lt;&gt;0,ROW(DG643),IF(DG644&lt;&gt;0,ROW(DG644),IF(DG645&lt;&gt;0,ROW(DG645),IF(DG646&lt;&gt;0,ROW(DG646),IF(DG647&lt;&gt;0,ROW(DG647),IF(DG648&lt;&gt;0,ROW(DG648),IF(DG649&lt;&gt;0,ROW(DG649),IF(DG650&lt;&gt;0,ROW(DG650),IF(DG651&lt;&gt;0,ROW(DG651),IF(DG652&lt;&gt;0,ROW(DG652)))))))))))</f>
        <v>645</v>
      </c>
      <c r="DG654" s="882" t="e">
        <f ca="1">IF(ISERROR(XIRR(INDIRECT(DF656):DG653,INDIRECT(DF655):DF653,-20%)),XIRR(INDIRECT(DF656):DG653,INDIRECT(DF655):DF653,20%),"N/A")</f>
        <v>#NUM!</v>
      </c>
      <c r="DO654" s="664"/>
    </row>
    <row r="655" spans="2:119" hidden="1" x14ac:dyDescent="0.25">
      <c r="B655" s="899" t="str">
        <f>CONCATENATE(CHAR(64+COLUMN(B654)),B654)</f>
        <v>B645</v>
      </c>
      <c r="C655" s="897"/>
      <c r="K655" s="664"/>
      <c r="N655" s="899" t="str">
        <f>CONCATENATE(CHAR(64+COLUMN(N654)),N654)</f>
        <v>N645</v>
      </c>
      <c r="O655" s="897"/>
      <c r="U655" s="663"/>
      <c r="W655" s="664"/>
      <c r="Z655" s="899" t="str">
        <f>CONCATENATE(IF(COLUMN(Z654)&lt;=26,CHAR(96+COLUMN(Z654)),(CHAR(96+(ROUNDDOWN((COLUMN(Z654)-1)/26,0)))&amp;CHAR(96+IF(MOD(COLUMN(Z654),26)=0,26,MOD(COLUMN(Z654),26))))),Z654)</f>
        <v>z645</v>
      </c>
      <c r="AA655" s="897"/>
      <c r="AB655" s="663"/>
      <c r="AC655" s="663"/>
      <c r="AD655" s="663"/>
      <c r="AE655" s="663"/>
      <c r="AF655" s="663"/>
      <c r="AG655" s="663"/>
      <c r="AH655" s="663"/>
      <c r="AI655" s="664"/>
      <c r="AL655" s="899" t="str">
        <f>CONCATENATE(IF(COLUMN(AL654)&lt;=26,CHAR(96+COLUMN(AL654)),(CHAR(96+(ROUNDDOWN((COLUMN(AL654)-1)/26,0)))&amp;CHAR(96+IF(MOD(COLUMN(AL654),26)=0,26,MOD(COLUMN(AL654),26))))),AL654)</f>
        <v>al645</v>
      </c>
      <c r="AM655" s="897"/>
      <c r="AN655" s="663"/>
      <c r="AU655" s="664"/>
      <c r="AX655" s="899" t="str">
        <f>CONCATENATE(IF(COLUMN(AX654)&lt;=26,CHAR(96+COLUMN(AX654)),(CHAR(96+(ROUNDDOWN((COLUMN(AX654)-1)/26,0)))&amp;CHAR(96+IF(MOD(COLUMN(AX654),26)=0,26,MOD(COLUMN(AX654),26))))),AX654)</f>
        <v>ax645</v>
      </c>
      <c r="AY655" s="897"/>
      <c r="BG655" s="664"/>
      <c r="BJ655" s="899" t="str">
        <f>CONCATENATE(IF(COLUMN(BJ654)&lt;=26,CHAR(96+COLUMN(BJ654)),(CHAR(96+(ROUNDDOWN((COLUMN(BJ654)-1)/26,0)))&amp;CHAR(96+IF(MOD(COLUMN(BJ654),26)=0,26,MOD(COLUMN(BJ654),26))))),BJ654)</f>
        <v>bj645</v>
      </c>
      <c r="BK655" s="897"/>
      <c r="BS655" s="664"/>
      <c r="BV655" s="899" t="str">
        <f>CONCATENATE(IF(COLUMN(BV654)&lt;=26,CHAR(96+COLUMN(BV654)),(CHAR(96+(ROUNDDOWN((COLUMN(BV654)-1)/26,0)))&amp;CHAR(96+IF(MOD(COLUMN(BV654),26)=0,26,MOD(COLUMN(BV654),26))))),BV654)</f>
        <v>bv645</v>
      </c>
      <c r="BW655" s="897"/>
      <c r="CE655" s="664"/>
      <c r="CH655" s="899" t="str">
        <f>CONCATENATE(IF(COLUMN(CH654)&lt;=26,CHAR(96+COLUMN(CH654)),(CHAR(96+(ROUNDDOWN((COLUMN(CH654)-1)/26,0)))&amp;CHAR(96+IF(MOD(COLUMN(CH654),26)=0,26,MOD(COLUMN(CH654),26))))),CH654)</f>
        <v>ch645</v>
      </c>
      <c r="CI655" s="897"/>
      <c r="CQ655" s="664"/>
      <c r="CT655" s="899" t="str">
        <f>CONCATENATE(IF(COLUMN(CT654)&lt;=26,CHAR(96+COLUMN(CT654)),(CHAR(96+(ROUNDDOWN((COLUMN(CT654)-1)/26,0)))&amp;CHAR(96+IF(MOD(COLUMN(CT654),26)=0,26,MOD(COLUMN(CT654),26))))),CT654)</f>
        <v>ct645</v>
      </c>
      <c r="CU655" s="897"/>
      <c r="DC655" s="664"/>
      <c r="DF655" s="899" t="str">
        <f>CONCATENATE(IF(COLUMN(DF654)&lt;=26,CHAR(96+COLUMN(DF654)),(CHAR(96+(ROUNDDOWN((COLUMN(DF654)-1)/26,0)))&amp;CHAR(96+IF(MOD(COLUMN(DF654),26)=0,26,MOD(COLUMN(DF654),26))))),DF654)</f>
        <v>df645</v>
      </c>
      <c r="DG655" s="897"/>
      <c r="DO655" s="664"/>
    </row>
    <row r="656" spans="2:119" hidden="1" x14ac:dyDescent="0.25">
      <c r="B656" s="899" t="str">
        <f>CONCATENATE(CHAR(64+COLUMN(C654)),B654)</f>
        <v>C645</v>
      </c>
      <c r="C656" s="897"/>
      <c r="K656" s="664"/>
      <c r="N656" s="899" t="str">
        <f>CONCATENATE(CHAR(64+COLUMN(O654)),N654)</f>
        <v>O645</v>
      </c>
      <c r="O656" s="897"/>
      <c r="U656" s="663"/>
      <c r="W656" s="664"/>
      <c r="Z656" s="899" t="str">
        <f>CONCATENATE(IF(COLUMN(AA654)&lt;=26,CHAR(96+COLUMN(AA654)),(CHAR(96+(ROUNDDOWN((COLUMN(AA654)-1)/26,0)))&amp;CHAR(96+IF(MOD(COLUMN(AA654),26)=0,26,MOD(COLUMN(AA654),26))))),Z654)</f>
        <v>aa645</v>
      </c>
      <c r="AA656" s="897"/>
      <c r="AB656" s="663"/>
      <c r="AC656" s="663"/>
      <c r="AD656" s="663"/>
      <c r="AE656" s="663"/>
      <c r="AF656" s="663"/>
      <c r="AG656" s="663"/>
      <c r="AH656" s="663"/>
      <c r="AI656" s="664"/>
      <c r="AL656" s="899" t="str">
        <f>CONCATENATE(IF(COLUMN(AM654)&lt;=26,CHAR(96+COLUMN(AM654)),(CHAR(96+(ROUNDDOWN((COLUMN(AM654)-1)/26,0)))&amp;CHAR(96+IF(MOD(COLUMN(AM654),26)=0,26,MOD(COLUMN(AM654),26))))),AL654)</f>
        <v>am645</v>
      </c>
      <c r="AM656" s="897"/>
      <c r="AN656" s="663"/>
      <c r="AU656" s="664"/>
      <c r="AX656" s="899" t="str">
        <f>CONCATENATE(IF(COLUMN(AY654)&lt;=26,CHAR(96+COLUMN(AY654)),(CHAR(96+(ROUNDDOWN((COLUMN(AY654)-1)/26,0)))&amp;CHAR(96+IF(MOD(COLUMN(AY654),26)=0,26,MOD(COLUMN(AY654),26))))),AX654)</f>
        <v>ay645</v>
      </c>
      <c r="AY656" s="897"/>
      <c r="BG656" s="664"/>
      <c r="BJ656" s="899" t="str">
        <f>CONCATENATE(IF(COLUMN(BK654)&lt;=26,CHAR(96+COLUMN(BK654)),(CHAR(96+(ROUNDDOWN((COLUMN(BK654)-1)/26,0)))&amp;CHAR(96+IF(MOD(COLUMN(BK654),26)=0,26,MOD(COLUMN(BK654),26))))),BJ654)</f>
        <v>bk645</v>
      </c>
      <c r="BK656" s="897"/>
      <c r="BS656" s="664"/>
      <c r="BV656" s="899" t="str">
        <f>CONCATENATE(IF(COLUMN(BW654)&lt;=26,CHAR(96+COLUMN(BW654)),(CHAR(96+(ROUNDDOWN((COLUMN(BW654)-1)/26,0)))&amp;CHAR(96+IF(MOD(COLUMN(BW654),26)=0,26,MOD(COLUMN(BW654),26))))),BV654)</f>
        <v>bw645</v>
      </c>
      <c r="BW656" s="897"/>
      <c r="CE656" s="664"/>
      <c r="CH656" s="899" t="str">
        <f>CONCATENATE(IF(COLUMN(CI654)&lt;=26,CHAR(96+COLUMN(CI654)),(CHAR(96+(ROUNDDOWN((COLUMN(CI654)-1)/26,0)))&amp;CHAR(96+IF(MOD(COLUMN(CI654),26)=0,26,MOD(COLUMN(CI654),26))))),CH654)</f>
        <v>ci645</v>
      </c>
      <c r="CI656" s="897"/>
      <c r="CQ656" s="664"/>
      <c r="CT656" s="899" t="str">
        <f>CONCATENATE(IF(COLUMN(CU654)&lt;=26,CHAR(96+COLUMN(CU654)),(CHAR(96+(ROUNDDOWN((COLUMN(CU654)-1)/26,0)))&amp;CHAR(96+IF(MOD(COLUMN(CU654),26)=0,26,MOD(COLUMN(CU654),26))))),CT654)</f>
        <v>cu645</v>
      </c>
      <c r="CU656" s="897"/>
      <c r="DC656" s="664"/>
      <c r="DF656" s="899" t="str">
        <f>CONCATENATE(IF(COLUMN(DG654)&lt;=26,CHAR(96+COLUMN(DG654)),(CHAR(96+(ROUNDDOWN((COLUMN(DG654)-1)/26,0)))&amp;CHAR(96+IF(MOD(COLUMN(DG654),26)=0,26,MOD(COLUMN(DG654),26))))),DF654)</f>
        <v>dg645</v>
      </c>
      <c r="DG656" s="897"/>
      <c r="DO656" s="664"/>
    </row>
    <row r="657" spans="2:119" hidden="1" x14ac:dyDescent="0.25">
      <c r="B657" s="896"/>
      <c r="C657" s="897"/>
      <c r="K657" s="664"/>
      <c r="N657" s="896"/>
      <c r="O657" s="897"/>
      <c r="U657" s="663"/>
      <c r="W657" s="664"/>
      <c r="Z657" s="896"/>
      <c r="AA657" s="897"/>
      <c r="AB657" s="663"/>
      <c r="AC657" s="663"/>
      <c r="AD657" s="663"/>
      <c r="AE657" s="663"/>
      <c r="AF657" s="663"/>
      <c r="AG657" s="663"/>
      <c r="AH657" s="663"/>
      <c r="AI657" s="664"/>
      <c r="AL657" s="896"/>
      <c r="AM657" s="897"/>
      <c r="AN657" s="663"/>
      <c r="AU657" s="664"/>
      <c r="AX657" s="896"/>
      <c r="AY657" s="897"/>
      <c r="BG657" s="664"/>
      <c r="BJ657" s="896"/>
      <c r="BK657" s="897"/>
      <c r="BS657" s="664"/>
      <c r="BV657" s="896"/>
      <c r="BW657" s="897"/>
      <c r="CE657" s="664"/>
      <c r="CH657" s="896"/>
      <c r="CI657" s="897"/>
      <c r="CQ657" s="664"/>
      <c r="CT657" s="896"/>
      <c r="CU657" s="897"/>
      <c r="DC657" s="664"/>
      <c r="DF657" s="896"/>
      <c r="DG657" s="897"/>
      <c r="DO657" s="664"/>
    </row>
    <row r="658" spans="2:119" hidden="1" x14ac:dyDescent="0.25">
      <c r="B658" s="896">
        <f>B643</f>
        <v>39113</v>
      </c>
      <c r="C658" s="897">
        <f>C643</f>
        <v>0</v>
      </c>
      <c r="K658" s="664"/>
      <c r="N658" s="896">
        <f>N643</f>
        <v>39113</v>
      </c>
      <c r="O658" s="897">
        <f>O643</f>
        <v>0</v>
      </c>
      <c r="U658" s="663"/>
      <c r="W658" s="664"/>
      <c r="Z658" s="896">
        <f>Z643</f>
        <v>39113</v>
      </c>
      <c r="AA658" s="897">
        <f>AA643</f>
        <v>0</v>
      </c>
      <c r="AB658" s="663"/>
      <c r="AC658" s="663"/>
      <c r="AD658" s="663"/>
      <c r="AE658" s="663"/>
      <c r="AF658" s="663"/>
      <c r="AG658" s="663"/>
      <c r="AH658" s="663"/>
      <c r="AI658" s="664"/>
      <c r="AL658" s="896">
        <f>AL643</f>
        <v>39113</v>
      </c>
      <c r="AM658" s="897">
        <f>AM643</f>
        <v>0</v>
      </c>
      <c r="AN658" s="663"/>
      <c r="AU658" s="664"/>
      <c r="AX658" s="896">
        <f>AX643</f>
        <v>39113</v>
      </c>
      <c r="AY658" s="897">
        <f>AY643</f>
        <v>0</v>
      </c>
      <c r="BG658" s="664"/>
      <c r="BJ658" s="896">
        <f>BJ643</f>
        <v>39113</v>
      </c>
      <c r="BK658" s="897">
        <f>BK643</f>
        <v>0</v>
      </c>
      <c r="BS658" s="664"/>
      <c r="BV658" s="896">
        <f>BV643</f>
        <v>39113</v>
      </c>
      <c r="BW658" s="897">
        <f>BW643</f>
        <v>0</v>
      </c>
      <c r="CE658" s="664"/>
      <c r="CH658" s="896">
        <f>CH643</f>
        <v>39113</v>
      </c>
      <c r="CI658" s="897">
        <f>CI643</f>
        <v>0</v>
      </c>
      <c r="CQ658" s="664"/>
      <c r="CT658" s="896">
        <f>CT643</f>
        <v>39113</v>
      </c>
      <c r="CU658" s="897">
        <f>CU643</f>
        <v>0</v>
      </c>
      <c r="DC658" s="664"/>
      <c r="DF658" s="896">
        <f>DF643</f>
        <v>39113</v>
      </c>
      <c r="DG658" s="897">
        <f>DG643</f>
        <v>0</v>
      </c>
      <c r="DO658" s="664"/>
    </row>
    <row r="659" spans="2:119" hidden="1" x14ac:dyDescent="0.25">
      <c r="B659" s="896">
        <f t="shared" ref="B659:C659" si="1871">B644</f>
        <v>39478</v>
      </c>
      <c r="C659" s="897">
        <f t="shared" si="1871"/>
        <v>0</v>
      </c>
      <c r="K659" s="664"/>
      <c r="N659" s="896">
        <f t="shared" ref="N659:O659" si="1872">N644</f>
        <v>39478</v>
      </c>
      <c r="O659" s="897">
        <f t="shared" si="1872"/>
        <v>0</v>
      </c>
      <c r="U659" s="663"/>
      <c r="W659" s="664"/>
      <c r="Z659" s="896">
        <f t="shared" ref="Z659:AA659" si="1873">Z644</f>
        <v>39478</v>
      </c>
      <c r="AA659" s="897">
        <f t="shared" si="1873"/>
        <v>0</v>
      </c>
      <c r="AB659" s="663"/>
      <c r="AC659" s="663"/>
      <c r="AD659" s="663"/>
      <c r="AE659" s="663"/>
      <c r="AF659" s="663"/>
      <c r="AG659" s="663"/>
      <c r="AH659" s="663"/>
      <c r="AI659" s="664"/>
      <c r="AL659" s="896">
        <f t="shared" ref="AL659:AM659" si="1874">AL644</f>
        <v>39478</v>
      </c>
      <c r="AM659" s="897">
        <f t="shared" si="1874"/>
        <v>0</v>
      </c>
      <c r="AN659" s="663"/>
      <c r="AU659" s="664"/>
      <c r="AX659" s="896">
        <f t="shared" ref="AX659:AY659" si="1875">AX644</f>
        <v>39478</v>
      </c>
      <c r="AY659" s="897">
        <f t="shared" si="1875"/>
        <v>0</v>
      </c>
      <c r="BG659" s="664"/>
      <c r="BJ659" s="896">
        <f t="shared" ref="BJ659:BK659" si="1876">BJ644</f>
        <v>39478</v>
      </c>
      <c r="BK659" s="897">
        <f t="shared" si="1876"/>
        <v>0</v>
      </c>
      <c r="BS659" s="664"/>
      <c r="BV659" s="896">
        <f t="shared" ref="BV659:BW659" si="1877">BV644</f>
        <v>39478</v>
      </c>
      <c r="BW659" s="897">
        <f t="shared" si="1877"/>
        <v>0</v>
      </c>
      <c r="CE659" s="664"/>
      <c r="CH659" s="896">
        <f t="shared" ref="CH659:CI659" si="1878">CH644</f>
        <v>39478</v>
      </c>
      <c r="CI659" s="897">
        <f t="shared" si="1878"/>
        <v>0</v>
      </c>
      <c r="CQ659" s="664"/>
      <c r="CT659" s="896">
        <f t="shared" ref="CT659:CU659" si="1879">CT644</f>
        <v>39478</v>
      </c>
      <c r="CU659" s="897">
        <f t="shared" si="1879"/>
        <v>0</v>
      </c>
      <c r="DC659" s="664"/>
      <c r="DF659" s="896">
        <f t="shared" ref="DF659:DG659" si="1880">DF644</f>
        <v>39478</v>
      </c>
      <c r="DG659" s="897">
        <f t="shared" si="1880"/>
        <v>0</v>
      </c>
      <c r="DO659" s="664"/>
    </row>
    <row r="660" spans="2:119" hidden="1" x14ac:dyDescent="0.25">
      <c r="B660" s="896">
        <f t="shared" ref="B660:C660" si="1881">B645</f>
        <v>39843</v>
      </c>
      <c r="C660" s="897">
        <f t="shared" si="1881"/>
        <v>-2500000</v>
      </c>
      <c r="K660" s="664"/>
      <c r="N660" s="896">
        <f t="shared" ref="N660:O660" si="1882">N645</f>
        <v>39843</v>
      </c>
      <c r="O660" s="897">
        <f t="shared" si="1882"/>
        <v>-2500000</v>
      </c>
      <c r="U660" s="663"/>
      <c r="W660" s="664"/>
      <c r="Z660" s="896">
        <f t="shared" ref="Z660:AA660" si="1883">Z645</f>
        <v>39843</v>
      </c>
      <c r="AA660" s="897">
        <f t="shared" si="1883"/>
        <v>-2500000</v>
      </c>
      <c r="AB660" s="663"/>
      <c r="AC660" s="663"/>
      <c r="AD660" s="663"/>
      <c r="AE660" s="663"/>
      <c r="AF660" s="663"/>
      <c r="AG660" s="663"/>
      <c r="AH660" s="663"/>
      <c r="AI660" s="664"/>
      <c r="AL660" s="896">
        <f t="shared" ref="AL660:AM660" si="1884">AL645</f>
        <v>39843</v>
      </c>
      <c r="AM660" s="897">
        <f t="shared" si="1884"/>
        <v>-2500000</v>
      </c>
      <c r="AN660" s="663"/>
      <c r="AU660" s="664"/>
      <c r="AX660" s="896">
        <f t="shared" ref="AX660:AY660" si="1885">AX645</f>
        <v>39843</v>
      </c>
      <c r="AY660" s="897">
        <f t="shared" si="1885"/>
        <v>-2500000</v>
      </c>
      <c r="BG660" s="664"/>
      <c r="BJ660" s="896">
        <f t="shared" ref="BJ660:BK660" si="1886">BJ645</f>
        <v>39843</v>
      </c>
      <c r="BK660" s="897">
        <f t="shared" si="1886"/>
        <v>-2500000</v>
      </c>
      <c r="BS660" s="664"/>
      <c r="BV660" s="896">
        <f t="shared" ref="BV660:BW660" si="1887">BV645</f>
        <v>39843</v>
      </c>
      <c r="BW660" s="897">
        <f t="shared" si="1887"/>
        <v>-2500000</v>
      </c>
      <c r="CE660" s="664"/>
      <c r="CH660" s="896">
        <f t="shared" ref="CH660:CI660" si="1888">CH645</f>
        <v>39843</v>
      </c>
      <c r="CI660" s="897">
        <f t="shared" si="1888"/>
        <v>-2500000</v>
      </c>
      <c r="CQ660" s="664"/>
      <c r="CT660" s="896">
        <f t="shared" ref="CT660:CU660" si="1889">CT645</f>
        <v>39843</v>
      </c>
      <c r="CU660" s="897">
        <f t="shared" si="1889"/>
        <v>-2500000</v>
      </c>
      <c r="DC660" s="664"/>
      <c r="DF660" s="896">
        <f t="shared" ref="DF660:DG660" si="1890">DF645</f>
        <v>39843</v>
      </c>
      <c r="DG660" s="897">
        <f t="shared" si="1890"/>
        <v>-2500000</v>
      </c>
      <c r="DO660" s="664"/>
    </row>
    <row r="661" spans="2:119" hidden="1" x14ac:dyDescent="0.25">
      <c r="B661" s="896">
        <f t="shared" ref="B661:C661" si="1891">B646</f>
        <v>39843</v>
      </c>
      <c r="C661" s="897">
        <f t="shared" si="1891"/>
        <v>-6666666.666666667</v>
      </c>
      <c r="K661" s="664"/>
      <c r="N661" s="896">
        <f t="shared" ref="N661:O661" si="1892">N646</f>
        <v>39843</v>
      </c>
      <c r="O661" s="897">
        <f t="shared" si="1892"/>
        <v>-6666666.666666667</v>
      </c>
      <c r="U661" s="663"/>
      <c r="W661" s="664"/>
      <c r="Z661" s="896">
        <f t="shared" ref="Z661:AA661" si="1893">Z646</f>
        <v>39843</v>
      </c>
      <c r="AA661" s="897">
        <f t="shared" si="1893"/>
        <v>-6666666.666666667</v>
      </c>
      <c r="AB661" s="663"/>
      <c r="AC661" s="663"/>
      <c r="AD661" s="663"/>
      <c r="AE661" s="663"/>
      <c r="AF661" s="663"/>
      <c r="AG661" s="663"/>
      <c r="AH661" s="663"/>
      <c r="AI661" s="664"/>
      <c r="AL661" s="896">
        <f t="shared" ref="AL661:AM661" si="1894">AL646</f>
        <v>39843</v>
      </c>
      <c r="AM661" s="897">
        <f t="shared" si="1894"/>
        <v>-6666666.666666667</v>
      </c>
      <c r="AN661" s="663"/>
      <c r="AU661" s="664"/>
      <c r="AX661" s="896">
        <f t="shared" ref="AX661:AY661" si="1895">AX646</f>
        <v>39843</v>
      </c>
      <c r="AY661" s="897">
        <f t="shared" si="1895"/>
        <v>-6666666.666666667</v>
      </c>
      <c r="BG661" s="664"/>
      <c r="BJ661" s="896">
        <f t="shared" ref="BJ661:BK661" si="1896">BJ646</f>
        <v>39843</v>
      </c>
      <c r="BK661" s="897">
        <f t="shared" si="1896"/>
        <v>-6666666.666666667</v>
      </c>
      <c r="BS661" s="664"/>
      <c r="BV661" s="896">
        <f t="shared" ref="BV661:BW661" si="1897">BV646</f>
        <v>39843</v>
      </c>
      <c r="BW661" s="897">
        <f t="shared" si="1897"/>
        <v>-6666666.666666667</v>
      </c>
      <c r="CE661" s="664"/>
      <c r="CH661" s="896">
        <f t="shared" ref="CH661:CI661" si="1898">CH646</f>
        <v>39843</v>
      </c>
      <c r="CI661" s="897">
        <f t="shared" si="1898"/>
        <v>-6666666.666666667</v>
      </c>
      <c r="CQ661" s="664"/>
      <c r="CT661" s="896">
        <f t="shared" ref="CT661:CU661" si="1899">CT646</f>
        <v>39843</v>
      </c>
      <c r="CU661" s="897">
        <f t="shared" si="1899"/>
        <v>-6666666.666666667</v>
      </c>
      <c r="DC661" s="664"/>
      <c r="DF661" s="896">
        <f t="shared" ref="DF661:DG661" si="1900">DF646</f>
        <v>39843</v>
      </c>
      <c r="DG661" s="897">
        <f t="shared" si="1900"/>
        <v>-6666666.666666667</v>
      </c>
      <c r="DO661" s="664"/>
    </row>
    <row r="662" spans="2:119" hidden="1" x14ac:dyDescent="0.25">
      <c r="B662" s="896">
        <f t="shared" ref="B662:C662" si="1901">B647</f>
        <v>39843</v>
      </c>
      <c r="C662" s="897">
        <f t="shared" si="1901"/>
        <v>0</v>
      </c>
      <c r="K662" s="664"/>
      <c r="N662" s="896">
        <f t="shared" ref="N662:O662" si="1902">N647</f>
        <v>39843</v>
      </c>
      <c r="O662" s="897">
        <f t="shared" si="1902"/>
        <v>0</v>
      </c>
      <c r="U662" s="663"/>
      <c r="W662" s="664"/>
      <c r="Z662" s="896">
        <f t="shared" ref="Z662:AA662" si="1903">Z647</f>
        <v>39843</v>
      </c>
      <c r="AA662" s="897">
        <f t="shared" si="1903"/>
        <v>0</v>
      </c>
      <c r="AB662" s="663"/>
      <c r="AC662" s="663"/>
      <c r="AD662" s="663"/>
      <c r="AE662" s="663"/>
      <c r="AF662" s="663"/>
      <c r="AG662" s="663"/>
      <c r="AH662" s="663"/>
      <c r="AI662" s="664"/>
      <c r="AL662" s="896">
        <f t="shared" ref="AL662:AM662" si="1904">AL647</f>
        <v>39843</v>
      </c>
      <c r="AM662" s="897">
        <f t="shared" si="1904"/>
        <v>0</v>
      </c>
      <c r="AN662" s="663"/>
      <c r="AU662" s="664"/>
      <c r="AX662" s="896">
        <f t="shared" ref="AX662:AY662" si="1905">AX647</f>
        <v>39843</v>
      </c>
      <c r="AY662" s="897">
        <f t="shared" si="1905"/>
        <v>0</v>
      </c>
      <c r="BG662" s="664"/>
      <c r="BJ662" s="896">
        <f t="shared" ref="BJ662:BK662" si="1906">BJ647</f>
        <v>39843</v>
      </c>
      <c r="BK662" s="897">
        <f t="shared" si="1906"/>
        <v>0</v>
      </c>
      <c r="BS662" s="664"/>
      <c r="BV662" s="896">
        <f t="shared" ref="BV662:BW662" si="1907">BV647</f>
        <v>39843</v>
      </c>
      <c r="BW662" s="897">
        <f t="shared" si="1907"/>
        <v>0</v>
      </c>
      <c r="CE662" s="664"/>
      <c r="CH662" s="896">
        <f t="shared" ref="CH662:CI662" si="1908">CH647</f>
        <v>39843</v>
      </c>
      <c r="CI662" s="897">
        <f t="shared" si="1908"/>
        <v>0</v>
      </c>
      <c r="CQ662" s="664"/>
      <c r="CT662" s="896">
        <f t="shared" ref="CT662:CU662" si="1909">CT647</f>
        <v>39843</v>
      </c>
      <c r="CU662" s="897">
        <f t="shared" si="1909"/>
        <v>0</v>
      </c>
      <c r="DC662" s="664"/>
      <c r="DF662" s="896">
        <f t="shared" ref="DF662:DG662" si="1910">DF647</f>
        <v>39843</v>
      </c>
      <c r="DG662" s="897">
        <f t="shared" si="1910"/>
        <v>0</v>
      </c>
      <c r="DO662" s="664"/>
    </row>
    <row r="663" spans="2:119" hidden="1" x14ac:dyDescent="0.25">
      <c r="B663" s="896">
        <f t="shared" ref="B663:C663" si="1911">B648</f>
        <v>39843</v>
      </c>
      <c r="C663" s="897">
        <f t="shared" si="1911"/>
        <v>0</v>
      </c>
      <c r="K663" s="664"/>
      <c r="N663" s="896">
        <f t="shared" ref="N663:O663" si="1912">N648</f>
        <v>39843</v>
      </c>
      <c r="O663" s="897">
        <f t="shared" si="1912"/>
        <v>0</v>
      </c>
      <c r="U663" s="663"/>
      <c r="W663" s="664"/>
      <c r="Z663" s="896">
        <f t="shared" ref="Z663:AA663" si="1913">Z648</f>
        <v>39843</v>
      </c>
      <c r="AA663" s="897">
        <f t="shared" si="1913"/>
        <v>0</v>
      </c>
      <c r="AB663" s="663"/>
      <c r="AC663" s="663"/>
      <c r="AD663" s="663"/>
      <c r="AE663" s="663"/>
      <c r="AF663" s="663"/>
      <c r="AG663" s="663"/>
      <c r="AH663" s="663"/>
      <c r="AI663" s="664"/>
      <c r="AL663" s="896">
        <f t="shared" ref="AL663:AM663" si="1914">AL648</f>
        <v>39843</v>
      </c>
      <c r="AM663" s="897">
        <f t="shared" si="1914"/>
        <v>0</v>
      </c>
      <c r="AN663" s="663"/>
      <c r="AU663" s="664"/>
      <c r="AX663" s="896">
        <f t="shared" ref="AX663:AY663" si="1915">AX648</f>
        <v>39843</v>
      </c>
      <c r="AY663" s="897">
        <f t="shared" si="1915"/>
        <v>0</v>
      </c>
      <c r="BG663" s="664"/>
      <c r="BJ663" s="896">
        <f t="shared" ref="BJ663:BK663" si="1916">BJ648</f>
        <v>39843</v>
      </c>
      <c r="BK663" s="897">
        <f t="shared" si="1916"/>
        <v>0</v>
      </c>
      <c r="BS663" s="664"/>
      <c r="BV663" s="896">
        <f t="shared" ref="BV663:BW663" si="1917">BV648</f>
        <v>39843</v>
      </c>
      <c r="BW663" s="897">
        <f t="shared" si="1917"/>
        <v>0</v>
      </c>
      <c r="CE663" s="664"/>
      <c r="CH663" s="896">
        <f t="shared" ref="CH663:CI663" si="1918">CH648</f>
        <v>39843</v>
      </c>
      <c r="CI663" s="897">
        <f t="shared" si="1918"/>
        <v>0</v>
      </c>
      <c r="CQ663" s="664"/>
      <c r="CT663" s="896">
        <f t="shared" ref="CT663:CU663" si="1919">CT648</f>
        <v>39843</v>
      </c>
      <c r="CU663" s="897">
        <f t="shared" si="1919"/>
        <v>0</v>
      </c>
      <c r="DC663" s="664"/>
      <c r="DF663" s="896">
        <f t="shared" ref="DF663:DG663" si="1920">DF648</f>
        <v>39843</v>
      </c>
      <c r="DG663" s="897">
        <f t="shared" si="1920"/>
        <v>0</v>
      </c>
      <c r="DO663" s="664"/>
    </row>
    <row r="664" spans="2:119" hidden="1" x14ac:dyDescent="0.25">
      <c r="B664" s="896">
        <f t="shared" ref="B664:C664" si="1921">B649</f>
        <v>39843</v>
      </c>
      <c r="C664" s="897">
        <f t="shared" si="1921"/>
        <v>0</v>
      </c>
      <c r="K664" s="664"/>
      <c r="N664" s="896">
        <f t="shared" ref="N664:O664" si="1922">N649</f>
        <v>39843</v>
      </c>
      <c r="O664" s="897">
        <f t="shared" si="1922"/>
        <v>0</v>
      </c>
      <c r="U664" s="663"/>
      <c r="W664" s="664"/>
      <c r="Z664" s="896">
        <f t="shared" ref="Z664:AA664" si="1923">Z649</f>
        <v>39843</v>
      </c>
      <c r="AA664" s="897">
        <f t="shared" si="1923"/>
        <v>0</v>
      </c>
      <c r="AB664" s="663"/>
      <c r="AC664" s="663"/>
      <c r="AD664" s="663"/>
      <c r="AE664" s="663"/>
      <c r="AF664" s="663"/>
      <c r="AG664" s="663"/>
      <c r="AH664" s="663"/>
      <c r="AI664" s="664"/>
      <c r="AL664" s="896">
        <f t="shared" ref="AL664:AM664" si="1924">AL649</f>
        <v>39843</v>
      </c>
      <c r="AM664" s="897">
        <f t="shared" si="1924"/>
        <v>0</v>
      </c>
      <c r="AN664" s="663"/>
      <c r="AU664" s="664"/>
      <c r="AX664" s="896">
        <f t="shared" ref="AX664:AY664" si="1925">AX649</f>
        <v>39843</v>
      </c>
      <c r="AY664" s="897">
        <f t="shared" si="1925"/>
        <v>0</v>
      </c>
      <c r="BG664" s="664"/>
      <c r="BJ664" s="896">
        <f t="shared" ref="BJ664:BK664" si="1926">BJ649</f>
        <v>39843</v>
      </c>
      <c r="BK664" s="897">
        <f t="shared" si="1926"/>
        <v>0</v>
      </c>
      <c r="BS664" s="664"/>
      <c r="BV664" s="896">
        <f t="shared" ref="BV664:BW664" si="1927">BV649</f>
        <v>39843</v>
      </c>
      <c r="BW664" s="897">
        <f t="shared" si="1927"/>
        <v>0</v>
      </c>
      <c r="CE664" s="664"/>
      <c r="CH664" s="896">
        <f t="shared" ref="CH664:CI664" si="1928">CH649</f>
        <v>39843</v>
      </c>
      <c r="CI664" s="897">
        <f t="shared" si="1928"/>
        <v>0</v>
      </c>
      <c r="CQ664" s="664"/>
      <c r="CT664" s="896">
        <f t="shared" ref="CT664:CU664" si="1929">CT649</f>
        <v>39843</v>
      </c>
      <c r="CU664" s="897">
        <f t="shared" si="1929"/>
        <v>0</v>
      </c>
      <c r="DC664" s="664"/>
      <c r="DF664" s="896">
        <f t="shared" ref="DF664:DG664" si="1930">DF649</f>
        <v>39843</v>
      </c>
      <c r="DG664" s="897">
        <f t="shared" si="1930"/>
        <v>0</v>
      </c>
      <c r="DO664" s="664"/>
    </row>
    <row r="665" spans="2:119" hidden="1" x14ac:dyDescent="0.25">
      <c r="B665" s="896">
        <f t="shared" ref="B665:C665" si="1931">B650</f>
        <v>39843</v>
      </c>
      <c r="C665" s="897">
        <f t="shared" si="1931"/>
        <v>0</v>
      </c>
      <c r="K665" s="664"/>
      <c r="N665" s="896">
        <f t="shared" ref="N665:O665" si="1932">N650</f>
        <v>39843</v>
      </c>
      <c r="O665" s="897">
        <f t="shared" si="1932"/>
        <v>0</v>
      </c>
      <c r="U665" s="663"/>
      <c r="W665" s="664"/>
      <c r="Z665" s="896">
        <f t="shared" ref="Z665:AA665" si="1933">Z650</f>
        <v>39843</v>
      </c>
      <c r="AA665" s="897">
        <f t="shared" si="1933"/>
        <v>0</v>
      </c>
      <c r="AB665" s="663"/>
      <c r="AC665" s="663"/>
      <c r="AD665" s="663"/>
      <c r="AE665" s="663"/>
      <c r="AF665" s="663"/>
      <c r="AG665" s="663"/>
      <c r="AH665" s="663"/>
      <c r="AI665" s="664"/>
      <c r="AL665" s="896">
        <f t="shared" ref="AL665:AM665" si="1934">AL650</f>
        <v>39843</v>
      </c>
      <c r="AM665" s="897">
        <f t="shared" si="1934"/>
        <v>0</v>
      </c>
      <c r="AN665" s="663"/>
      <c r="AU665" s="664"/>
      <c r="AX665" s="896">
        <f t="shared" ref="AX665:AY665" si="1935">AX650</f>
        <v>39843</v>
      </c>
      <c r="AY665" s="897">
        <f t="shared" si="1935"/>
        <v>0</v>
      </c>
      <c r="BG665" s="664"/>
      <c r="BJ665" s="896">
        <f t="shared" ref="BJ665:BK665" si="1936">BJ650</f>
        <v>39843</v>
      </c>
      <c r="BK665" s="897">
        <f t="shared" si="1936"/>
        <v>0</v>
      </c>
      <c r="BS665" s="664"/>
      <c r="BV665" s="896">
        <f t="shared" ref="BV665:BW665" si="1937">BV650</f>
        <v>39843</v>
      </c>
      <c r="BW665" s="897">
        <f t="shared" si="1937"/>
        <v>0</v>
      </c>
      <c r="CE665" s="664"/>
      <c r="CH665" s="896">
        <f t="shared" ref="CH665:CI665" si="1938">CH650</f>
        <v>39843</v>
      </c>
      <c r="CI665" s="897">
        <f t="shared" si="1938"/>
        <v>0</v>
      </c>
      <c r="CQ665" s="664"/>
      <c r="CT665" s="896">
        <f t="shared" ref="CT665:CU665" si="1939">CT650</f>
        <v>39843</v>
      </c>
      <c r="CU665" s="897">
        <f t="shared" si="1939"/>
        <v>0</v>
      </c>
      <c r="DC665" s="664"/>
      <c r="DF665" s="896">
        <f t="shared" ref="DF665:DG665" si="1940">DF650</f>
        <v>39843</v>
      </c>
      <c r="DG665" s="897">
        <f t="shared" si="1940"/>
        <v>0</v>
      </c>
      <c r="DO665" s="664"/>
    </row>
    <row r="666" spans="2:119" hidden="1" x14ac:dyDescent="0.25">
      <c r="B666" s="896">
        <f t="shared" ref="B666:C666" si="1941">B651</f>
        <v>39843</v>
      </c>
      <c r="C666" s="897">
        <f t="shared" si="1941"/>
        <v>0</v>
      </c>
      <c r="K666" s="664"/>
      <c r="N666" s="896">
        <f t="shared" ref="N666:O666" si="1942">N651</f>
        <v>39843</v>
      </c>
      <c r="O666" s="897">
        <f t="shared" si="1942"/>
        <v>0</v>
      </c>
      <c r="U666" s="663"/>
      <c r="W666" s="664"/>
      <c r="Z666" s="896">
        <f t="shared" ref="Z666:AA666" si="1943">Z651</f>
        <v>39843</v>
      </c>
      <c r="AA666" s="897">
        <f t="shared" si="1943"/>
        <v>0</v>
      </c>
      <c r="AB666" s="663"/>
      <c r="AC666" s="663"/>
      <c r="AD666" s="663"/>
      <c r="AE666" s="663"/>
      <c r="AF666" s="663"/>
      <c r="AG666" s="663"/>
      <c r="AH666" s="663"/>
      <c r="AI666" s="664"/>
      <c r="AL666" s="896">
        <f t="shared" ref="AL666:AM666" si="1944">AL651</f>
        <v>39843</v>
      </c>
      <c r="AM666" s="897">
        <f t="shared" si="1944"/>
        <v>0</v>
      </c>
      <c r="AN666" s="663"/>
      <c r="AU666" s="664"/>
      <c r="AX666" s="896">
        <f t="shared" ref="AX666:AY666" si="1945">AX651</f>
        <v>39843</v>
      </c>
      <c r="AY666" s="897">
        <f t="shared" si="1945"/>
        <v>0</v>
      </c>
      <c r="BG666" s="664"/>
      <c r="BJ666" s="896">
        <f t="shared" ref="BJ666:BK666" si="1946">BJ651</f>
        <v>39843</v>
      </c>
      <c r="BK666" s="897">
        <f t="shared" si="1946"/>
        <v>0</v>
      </c>
      <c r="BS666" s="664"/>
      <c r="BV666" s="896">
        <f t="shared" ref="BV666:BW666" si="1947">BV651</f>
        <v>39843</v>
      </c>
      <c r="BW666" s="897">
        <f t="shared" si="1947"/>
        <v>0</v>
      </c>
      <c r="CE666" s="664"/>
      <c r="CH666" s="896">
        <f t="shared" ref="CH666:CI666" si="1948">CH651</f>
        <v>39843</v>
      </c>
      <c r="CI666" s="897">
        <f t="shared" si="1948"/>
        <v>0</v>
      </c>
      <c r="CQ666" s="664"/>
      <c r="CT666" s="896">
        <f t="shared" ref="CT666:CU666" si="1949">CT651</f>
        <v>39843</v>
      </c>
      <c r="CU666" s="897">
        <f t="shared" si="1949"/>
        <v>0</v>
      </c>
      <c r="DC666" s="664"/>
      <c r="DF666" s="896">
        <f t="shared" ref="DF666:DG666" si="1950">DF651</f>
        <v>39843</v>
      </c>
      <c r="DG666" s="897">
        <f t="shared" si="1950"/>
        <v>0</v>
      </c>
      <c r="DO666" s="664"/>
    </row>
    <row r="667" spans="2:119" hidden="1" x14ac:dyDescent="0.25">
      <c r="B667" s="896">
        <f t="shared" ref="B667:C667" si="1951">B652</f>
        <v>39843</v>
      </c>
      <c r="C667" s="897">
        <f t="shared" si="1951"/>
        <v>0</v>
      </c>
      <c r="K667" s="664"/>
      <c r="N667" s="896">
        <f t="shared" ref="N667:O667" si="1952">N652</f>
        <v>39843</v>
      </c>
      <c r="O667" s="897">
        <f t="shared" si="1952"/>
        <v>0</v>
      </c>
      <c r="U667" s="663"/>
      <c r="W667" s="664"/>
      <c r="Z667" s="896">
        <f t="shared" ref="Z667:AA667" si="1953">Z652</f>
        <v>39843</v>
      </c>
      <c r="AA667" s="897">
        <f t="shared" si="1953"/>
        <v>0</v>
      </c>
      <c r="AB667" s="663"/>
      <c r="AC667" s="663"/>
      <c r="AD667" s="663"/>
      <c r="AE667" s="663"/>
      <c r="AF667" s="663"/>
      <c r="AG667" s="663"/>
      <c r="AH667" s="663"/>
      <c r="AI667" s="664"/>
      <c r="AL667" s="896">
        <f t="shared" ref="AL667:AM667" si="1954">AL652</f>
        <v>39843</v>
      </c>
      <c r="AM667" s="897">
        <f t="shared" si="1954"/>
        <v>0</v>
      </c>
      <c r="AN667" s="663"/>
      <c r="AU667" s="664"/>
      <c r="AX667" s="896">
        <f t="shared" ref="AX667:AY667" si="1955">AX652</f>
        <v>39843</v>
      </c>
      <c r="AY667" s="897">
        <f t="shared" si="1955"/>
        <v>0</v>
      </c>
      <c r="BG667" s="664"/>
      <c r="BJ667" s="896">
        <f t="shared" ref="BJ667:BK667" si="1956">BJ652</f>
        <v>39843</v>
      </c>
      <c r="BK667" s="897">
        <f t="shared" si="1956"/>
        <v>0</v>
      </c>
      <c r="BS667" s="664"/>
      <c r="BV667" s="896">
        <f t="shared" ref="BV667:BW667" si="1957">BV652</f>
        <v>39843</v>
      </c>
      <c r="BW667" s="897">
        <f t="shared" si="1957"/>
        <v>0</v>
      </c>
      <c r="CE667" s="664"/>
      <c r="CH667" s="896">
        <f t="shared" ref="CH667:CI667" si="1958">CH652</f>
        <v>39843</v>
      </c>
      <c r="CI667" s="897">
        <f t="shared" si="1958"/>
        <v>0</v>
      </c>
      <c r="CQ667" s="664"/>
      <c r="CT667" s="896">
        <f t="shared" ref="CT667:CU667" si="1959">CT652</f>
        <v>39843</v>
      </c>
      <c r="CU667" s="897">
        <f t="shared" si="1959"/>
        <v>0</v>
      </c>
      <c r="DC667" s="664"/>
      <c r="DF667" s="896">
        <f t="shared" ref="DF667:DG667" si="1960">DF652</f>
        <v>39843</v>
      </c>
      <c r="DG667" s="897">
        <f t="shared" si="1960"/>
        <v>0</v>
      </c>
      <c r="DO667" s="664"/>
    </row>
    <row r="668" spans="2:119" hidden="1" x14ac:dyDescent="0.25">
      <c r="B668" s="896">
        <f>B653+$C$56</f>
        <v>41539</v>
      </c>
      <c r="C668" s="897">
        <f ca="1">C653</f>
        <v>0</v>
      </c>
      <c r="K668" s="664"/>
      <c r="N668" s="896">
        <f>N653+$C$56</f>
        <v>41539</v>
      </c>
      <c r="O668" s="897">
        <f ca="1">O653</f>
        <v>0</v>
      </c>
      <c r="U668" s="663"/>
      <c r="W668" s="664"/>
      <c r="Z668" s="896">
        <f>Z653+$C$56</f>
        <v>41539</v>
      </c>
      <c r="AA668" s="897">
        <f ca="1">AA653</f>
        <v>0</v>
      </c>
      <c r="AB668" s="663"/>
      <c r="AC668" s="663"/>
      <c r="AD668" s="663"/>
      <c r="AE668" s="663"/>
      <c r="AF668" s="663"/>
      <c r="AG668" s="663"/>
      <c r="AH668" s="663"/>
      <c r="AI668" s="664"/>
      <c r="AL668" s="896">
        <f>AL653+$C$56</f>
        <v>41539</v>
      </c>
      <c r="AM668" s="897">
        <f ca="1">AM653</f>
        <v>0</v>
      </c>
      <c r="AN668" s="663"/>
      <c r="AU668" s="664"/>
      <c r="AX668" s="896">
        <f>AX653+$C$56</f>
        <v>41539</v>
      </c>
      <c r="AY668" s="897">
        <f ca="1">AY653</f>
        <v>0</v>
      </c>
      <c r="BG668" s="664"/>
      <c r="BJ668" s="896">
        <f>BJ653+$C$56</f>
        <v>41539</v>
      </c>
      <c r="BK668" s="897">
        <f ca="1">BK653</f>
        <v>0</v>
      </c>
      <c r="BS668" s="664"/>
      <c r="BV668" s="896">
        <f>BV653+$C$56</f>
        <v>41539</v>
      </c>
      <c r="BW668" s="897">
        <f ca="1">BW653</f>
        <v>0</v>
      </c>
      <c r="CE668" s="664"/>
      <c r="CH668" s="896">
        <f>CH653+$C$56</f>
        <v>41539</v>
      </c>
      <c r="CI668" s="897">
        <f ca="1">CI653</f>
        <v>0</v>
      </c>
      <c r="CQ668" s="664"/>
      <c r="CT668" s="896">
        <f>CT653+$C$56</f>
        <v>41539</v>
      </c>
      <c r="CU668" s="897">
        <f ca="1">CU653</f>
        <v>0</v>
      </c>
      <c r="DC668" s="664"/>
      <c r="DF668" s="896">
        <f>DF653+$C$56</f>
        <v>41539</v>
      </c>
      <c r="DG668" s="897">
        <f ca="1">DG653</f>
        <v>0</v>
      </c>
      <c r="DO668" s="664"/>
    </row>
    <row r="669" spans="2:119" hidden="1" x14ac:dyDescent="0.25">
      <c r="B669" s="898">
        <f>IF(C658&lt;&gt;0,ROW(C658),IF(C659&lt;&gt;0,ROW(C659),IF(C660&lt;&gt;0,ROW(C660),IF(C661&lt;&gt;0,ROW(C661),IF(C662&lt;&gt;0,ROW(C662),IF(C663&lt;&gt;0,ROW(C663),IF(C664&lt;&gt;0,ROW(C664),IF(C665&lt;&gt;0,ROW(C665),IF(C666&lt;&gt;0,ROW(C666),IF(C667&lt;&gt;0,ROW(C667)))))))))))</f>
        <v>660</v>
      </c>
      <c r="C669" s="882" t="e">
        <f ca="1">IF(ISERROR(XIRR(INDIRECT(B671):C668,INDIRECT(B670):B668,-20%)),XIRR(INDIRECT(B671):C668,INDIRECT(B670):B668,20%),"N/A")</f>
        <v>#NUM!</v>
      </c>
      <c r="K669" s="664"/>
      <c r="N669" s="898">
        <f>IF(O658&lt;&gt;0,ROW(O658),IF(O659&lt;&gt;0,ROW(O659),IF(O660&lt;&gt;0,ROW(O660),IF(O661&lt;&gt;0,ROW(O661),IF(O662&lt;&gt;0,ROW(O662),IF(O663&lt;&gt;0,ROW(O663),IF(O664&lt;&gt;0,ROW(O664),IF(O665&lt;&gt;0,ROW(O665),IF(O666&lt;&gt;0,ROW(O666),IF(O667&lt;&gt;0,ROW(O667)))))))))))</f>
        <v>660</v>
      </c>
      <c r="O669" s="882" t="e">
        <f ca="1">IF(ISERROR(XIRR(INDIRECT(N671):O668,INDIRECT(N670):N668,-20%)),XIRR(INDIRECT(N671):O668,INDIRECT(N670):N668,20%),"N/A")</f>
        <v>#NUM!</v>
      </c>
      <c r="U669" s="663"/>
      <c r="W669" s="664"/>
      <c r="Z669" s="898">
        <f>IF(AA658&lt;&gt;0,ROW(AA658),IF(AA659&lt;&gt;0,ROW(AA659),IF(AA660&lt;&gt;0,ROW(AA660),IF(AA661&lt;&gt;0,ROW(AA661),IF(AA662&lt;&gt;0,ROW(AA662),IF(AA663&lt;&gt;0,ROW(AA663),IF(AA664&lt;&gt;0,ROW(AA664),IF(AA665&lt;&gt;0,ROW(AA665),IF(AA666&lt;&gt;0,ROW(AA666),IF(AA667&lt;&gt;0,ROW(AA667)))))))))))</f>
        <v>660</v>
      </c>
      <c r="AA669" s="882" t="e">
        <f ca="1">IF(ISERROR(XIRR(INDIRECT(Z671):AA668,INDIRECT(Z670):Z668,-20%)),XIRR(INDIRECT(Z671):AA668,INDIRECT(Z670):Z668,20%),"N/A")</f>
        <v>#NUM!</v>
      </c>
      <c r="AB669" s="663"/>
      <c r="AC669" s="663"/>
      <c r="AD669" s="663"/>
      <c r="AE669" s="663"/>
      <c r="AF669" s="663"/>
      <c r="AG669" s="663"/>
      <c r="AH669" s="663"/>
      <c r="AI669" s="664"/>
      <c r="AL669" s="898">
        <f>IF(AM658&lt;&gt;0,ROW(AM658),IF(AM659&lt;&gt;0,ROW(AM659),IF(AM660&lt;&gt;0,ROW(AM660),IF(AM661&lt;&gt;0,ROW(AM661),IF(AM662&lt;&gt;0,ROW(AM662),IF(AM663&lt;&gt;0,ROW(AM663),IF(AM664&lt;&gt;0,ROW(AM664),IF(AM665&lt;&gt;0,ROW(AM665),IF(AM666&lt;&gt;0,ROW(AM666),IF(AM667&lt;&gt;0,ROW(AM667)))))))))))</f>
        <v>660</v>
      </c>
      <c r="AM669" s="882" t="e">
        <f ca="1">IF(ISERROR(XIRR(INDIRECT(AL671):AM668,INDIRECT(AL670):AL668,-20%)),XIRR(INDIRECT(AL671):AM668,INDIRECT(AL670):AL668,20%),"N/A")</f>
        <v>#NUM!</v>
      </c>
      <c r="AN669" s="663"/>
      <c r="AU669" s="664"/>
      <c r="AX669" s="898">
        <f>IF(AY658&lt;&gt;0,ROW(AY658),IF(AY659&lt;&gt;0,ROW(AY659),IF(AY660&lt;&gt;0,ROW(AY660),IF(AY661&lt;&gt;0,ROW(AY661),IF(AY662&lt;&gt;0,ROW(AY662),IF(AY663&lt;&gt;0,ROW(AY663),IF(AY664&lt;&gt;0,ROW(AY664),IF(AY665&lt;&gt;0,ROW(AY665),IF(AY666&lt;&gt;0,ROW(AY666),IF(AY667&lt;&gt;0,ROW(AY667)))))))))))</f>
        <v>660</v>
      </c>
      <c r="AY669" s="882" t="e">
        <f ca="1">IF(ISERROR(XIRR(INDIRECT(AX671):AY668,INDIRECT(AX670):AX668,-20%)),XIRR(INDIRECT(AX671):AY668,INDIRECT(AX670):AX668,20%),"N/A")</f>
        <v>#NUM!</v>
      </c>
      <c r="BG669" s="664"/>
      <c r="BJ669" s="898">
        <f>IF(BK658&lt;&gt;0,ROW(BK658),IF(BK659&lt;&gt;0,ROW(BK659),IF(BK660&lt;&gt;0,ROW(BK660),IF(BK661&lt;&gt;0,ROW(BK661),IF(BK662&lt;&gt;0,ROW(BK662),IF(BK663&lt;&gt;0,ROW(BK663),IF(BK664&lt;&gt;0,ROW(BK664),IF(BK665&lt;&gt;0,ROW(BK665),IF(BK666&lt;&gt;0,ROW(BK666),IF(BK667&lt;&gt;0,ROW(BK667)))))))))))</f>
        <v>660</v>
      </c>
      <c r="BK669" s="882" t="e">
        <f ca="1">IF(ISERROR(XIRR(INDIRECT(BJ671):BK668,INDIRECT(BJ670):BJ668,-20%)),XIRR(INDIRECT(BJ671):BK668,INDIRECT(BJ670):BJ668,20%),"N/A")</f>
        <v>#NUM!</v>
      </c>
      <c r="BS669" s="664"/>
      <c r="BV669" s="898">
        <f>IF(BW658&lt;&gt;0,ROW(BW658),IF(BW659&lt;&gt;0,ROW(BW659),IF(BW660&lt;&gt;0,ROW(BW660),IF(BW661&lt;&gt;0,ROW(BW661),IF(BW662&lt;&gt;0,ROW(BW662),IF(BW663&lt;&gt;0,ROW(BW663),IF(BW664&lt;&gt;0,ROW(BW664),IF(BW665&lt;&gt;0,ROW(BW665),IF(BW666&lt;&gt;0,ROW(BW666),IF(BW667&lt;&gt;0,ROW(BW667)))))))))))</f>
        <v>660</v>
      </c>
      <c r="BW669" s="882" t="e">
        <f ca="1">IF(ISERROR(XIRR(INDIRECT(BV671):BW668,INDIRECT(BV670):BV668,-20%)),XIRR(INDIRECT(BV671):BW668,INDIRECT(BV670):BV668,20%),"N/A")</f>
        <v>#NUM!</v>
      </c>
      <c r="CE669" s="664"/>
      <c r="CH669" s="898">
        <f>IF(CI658&lt;&gt;0,ROW(CI658),IF(CI659&lt;&gt;0,ROW(CI659),IF(CI660&lt;&gt;0,ROW(CI660),IF(CI661&lt;&gt;0,ROW(CI661),IF(CI662&lt;&gt;0,ROW(CI662),IF(CI663&lt;&gt;0,ROW(CI663),IF(CI664&lt;&gt;0,ROW(CI664),IF(CI665&lt;&gt;0,ROW(CI665),IF(CI666&lt;&gt;0,ROW(CI666),IF(CI667&lt;&gt;0,ROW(CI667)))))))))))</f>
        <v>660</v>
      </c>
      <c r="CI669" s="882" t="e">
        <f ca="1">IF(ISERROR(XIRR(INDIRECT(CH671):CI668,INDIRECT(CH670):CH668,-20%)),XIRR(INDIRECT(CH671):CI668,INDIRECT(CH670):CH668,20%),"N/A")</f>
        <v>#NUM!</v>
      </c>
      <c r="CQ669" s="664"/>
      <c r="CT669" s="898">
        <f>IF(CU658&lt;&gt;0,ROW(CU658),IF(CU659&lt;&gt;0,ROW(CU659),IF(CU660&lt;&gt;0,ROW(CU660),IF(CU661&lt;&gt;0,ROW(CU661),IF(CU662&lt;&gt;0,ROW(CU662),IF(CU663&lt;&gt;0,ROW(CU663),IF(CU664&lt;&gt;0,ROW(CU664),IF(CU665&lt;&gt;0,ROW(CU665),IF(CU666&lt;&gt;0,ROW(CU666),IF(CU667&lt;&gt;0,ROW(CU667)))))))))))</f>
        <v>660</v>
      </c>
      <c r="CU669" s="882" t="e">
        <f ca="1">IF(ISERROR(XIRR(INDIRECT(CT671):CU668,INDIRECT(CT670):CT668,-20%)),XIRR(INDIRECT(CT671):CU668,INDIRECT(CT670):CT668,20%),"N/A")</f>
        <v>#NUM!</v>
      </c>
      <c r="DC669" s="664"/>
      <c r="DF669" s="898">
        <f>IF(DG658&lt;&gt;0,ROW(DG658),IF(DG659&lt;&gt;0,ROW(DG659),IF(DG660&lt;&gt;0,ROW(DG660),IF(DG661&lt;&gt;0,ROW(DG661),IF(DG662&lt;&gt;0,ROW(DG662),IF(DG663&lt;&gt;0,ROW(DG663),IF(DG664&lt;&gt;0,ROW(DG664),IF(DG665&lt;&gt;0,ROW(DG665),IF(DG666&lt;&gt;0,ROW(DG666),IF(DG667&lt;&gt;0,ROW(DG667)))))))))))</f>
        <v>660</v>
      </c>
      <c r="DG669" s="882" t="e">
        <f ca="1">IF(ISERROR(XIRR(INDIRECT(DF671):DG668,INDIRECT(DF670):DF668,-20%)),XIRR(INDIRECT(DF671):DG668,INDIRECT(DF670):DF668,20%),"N/A")</f>
        <v>#NUM!</v>
      </c>
      <c r="DO669" s="664"/>
    </row>
    <row r="670" spans="2:119" hidden="1" x14ac:dyDescent="0.25">
      <c r="B670" s="899" t="str">
        <f>CONCATENATE(CHAR(64+COLUMN(B669)),B669)</f>
        <v>B660</v>
      </c>
      <c r="C670" s="897"/>
      <c r="K670" s="664"/>
      <c r="N670" s="899" t="str">
        <f>CONCATENATE(CHAR(64+COLUMN(N669)),N669)</f>
        <v>N660</v>
      </c>
      <c r="O670" s="897"/>
      <c r="U670" s="663"/>
      <c r="W670" s="664"/>
      <c r="Z670" s="899" t="str">
        <f>CONCATENATE(IF(COLUMN(Z669)&lt;=26,CHAR(96+COLUMN(Z669)),(CHAR(96+(ROUNDDOWN((COLUMN(Z669)-1)/26,0)))&amp;CHAR(96+IF(MOD(COLUMN(Z669),26)=0,26,MOD(COLUMN(Z669),26))))),Z669)</f>
        <v>z660</v>
      </c>
      <c r="AA670" s="897"/>
      <c r="AB670" s="663"/>
      <c r="AC670" s="663"/>
      <c r="AD670" s="663"/>
      <c r="AE670" s="663"/>
      <c r="AF670" s="663"/>
      <c r="AG670" s="663"/>
      <c r="AH670" s="663"/>
      <c r="AI670" s="664"/>
      <c r="AL670" s="899" t="str">
        <f>CONCATENATE(IF(COLUMN(AL669)&lt;=26,CHAR(96+COLUMN(AL669)),(CHAR(96+(ROUNDDOWN((COLUMN(AL669)-1)/26,0)))&amp;CHAR(96+IF(MOD(COLUMN(AL669),26)=0,26,MOD(COLUMN(AL669),26))))),AL669)</f>
        <v>al660</v>
      </c>
      <c r="AM670" s="897"/>
      <c r="AN670" s="663"/>
      <c r="AU670" s="664"/>
      <c r="AX670" s="899" t="str">
        <f>CONCATENATE(IF(COLUMN(AX669)&lt;=26,CHAR(96+COLUMN(AX669)),(CHAR(96+(ROUNDDOWN((COLUMN(AX669)-1)/26,0)))&amp;CHAR(96+IF(MOD(COLUMN(AX669),26)=0,26,MOD(COLUMN(AX669),26))))),AX669)</f>
        <v>ax660</v>
      </c>
      <c r="AY670" s="897"/>
      <c r="BG670" s="664"/>
      <c r="BJ670" s="899" t="str">
        <f>CONCATENATE(IF(COLUMN(BJ669)&lt;=26,CHAR(96+COLUMN(BJ669)),(CHAR(96+(ROUNDDOWN((COLUMN(BJ669)-1)/26,0)))&amp;CHAR(96+IF(MOD(COLUMN(BJ669),26)=0,26,MOD(COLUMN(BJ669),26))))),BJ669)</f>
        <v>bj660</v>
      </c>
      <c r="BK670" s="897"/>
      <c r="BS670" s="664"/>
      <c r="BV670" s="899" t="str">
        <f>CONCATENATE(IF(COLUMN(BV669)&lt;=26,CHAR(96+COLUMN(BV669)),(CHAR(96+(ROUNDDOWN((COLUMN(BV669)-1)/26,0)))&amp;CHAR(96+IF(MOD(COLUMN(BV669),26)=0,26,MOD(COLUMN(BV669),26))))),BV669)</f>
        <v>bv660</v>
      </c>
      <c r="BW670" s="897"/>
      <c r="CE670" s="664"/>
      <c r="CH670" s="899" t="str">
        <f>CONCATENATE(IF(COLUMN(CH669)&lt;=26,CHAR(96+COLUMN(CH669)),(CHAR(96+(ROUNDDOWN((COLUMN(CH669)-1)/26,0)))&amp;CHAR(96+IF(MOD(COLUMN(CH669),26)=0,26,MOD(COLUMN(CH669),26))))),CH669)</f>
        <v>ch660</v>
      </c>
      <c r="CI670" s="897"/>
      <c r="CQ670" s="664"/>
      <c r="CT670" s="899" t="str">
        <f>CONCATENATE(IF(COLUMN(CT669)&lt;=26,CHAR(96+COLUMN(CT669)),(CHAR(96+(ROUNDDOWN((COLUMN(CT669)-1)/26,0)))&amp;CHAR(96+IF(MOD(COLUMN(CT669),26)=0,26,MOD(COLUMN(CT669),26))))),CT669)</f>
        <v>ct660</v>
      </c>
      <c r="CU670" s="897"/>
      <c r="DC670" s="664"/>
      <c r="DF670" s="899" t="str">
        <f>CONCATENATE(IF(COLUMN(DF669)&lt;=26,CHAR(96+COLUMN(DF669)),(CHAR(96+(ROUNDDOWN((COLUMN(DF669)-1)/26,0)))&amp;CHAR(96+IF(MOD(COLUMN(DF669),26)=0,26,MOD(COLUMN(DF669),26))))),DF669)</f>
        <v>df660</v>
      </c>
      <c r="DG670" s="897"/>
      <c r="DO670" s="664"/>
    </row>
    <row r="671" spans="2:119" hidden="1" x14ac:dyDescent="0.25">
      <c r="B671" s="899" t="str">
        <f>CONCATENATE(CHAR(64+COLUMN(C669)),B669)</f>
        <v>C660</v>
      </c>
      <c r="C671" s="897"/>
      <c r="K671" s="664"/>
      <c r="N671" s="899" t="str">
        <f>CONCATENATE(CHAR(64+COLUMN(O669)),N669)</f>
        <v>O660</v>
      </c>
      <c r="O671" s="897"/>
      <c r="U671" s="663"/>
      <c r="W671" s="664"/>
      <c r="Z671" s="899" t="str">
        <f>CONCATENATE(IF(COLUMN(AA669)&lt;=26,CHAR(96+COLUMN(AA669)),(CHAR(96+(ROUNDDOWN((COLUMN(AA669)-1)/26,0)))&amp;CHAR(96+IF(MOD(COLUMN(AA669),26)=0,26,MOD(COLUMN(AA669),26))))),Z669)</f>
        <v>aa660</v>
      </c>
      <c r="AA671" s="897"/>
      <c r="AB671" s="663"/>
      <c r="AC671" s="663"/>
      <c r="AD671" s="663"/>
      <c r="AE671" s="663"/>
      <c r="AF671" s="663"/>
      <c r="AG671" s="663"/>
      <c r="AH671" s="663"/>
      <c r="AI671" s="664"/>
      <c r="AL671" s="899" t="str">
        <f>CONCATENATE(IF(COLUMN(AM669)&lt;=26,CHAR(96+COLUMN(AM669)),(CHAR(96+(ROUNDDOWN((COLUMN(AM669)-1)/26,0)))&amp;CHAR(96+IF(MOD(COLUMN(AM669),26)=0,26,MOD(COLUMN(AM669),26))))),AL669)</f>
        <v>am660</v>
      </c>
      <c r="AM671" s="897"/>
      <c r="AN671" s="663"/>
      <c r="AU671" s="664"/>
      <c r="AX671" s="899" t="str">
        <f>CONCATENATE(IF(COLUMN(AY669)&lt;=26,CHAR(96+COLUMN(AY669)),(CHAR(96+(ROUNDDOWN((COLUMN(AY669)-1)/26,0)))&amp;CHAR(96+IF(MOD(COLUMN(AY669),26)=0,26,MOD(COLUMN(AY669),26))))),AX669)</f>
        <v>ay660</v>
      </c>
      <c r="AY671" s="897"/>
      <c r="BG671" s="664"/>
      <c r="BJ671" s="899" t="str">
        <f>CONCATENATE(IF(COLUMN(BK669)&lt;=26,CHAR(96+COLUMN(BK669)),(CHAR(96+(ROUNDDOWN((COLUMN(BK669)-1)/26,0)))&amp;CHAR(96+IF(MOD(COLUMN(BK669),26)=0,26,MOD(COLUMN(BK669),26))))),BJ669)</f>
        <v>bk660</v>
      </c>
      <c r="BK671" s="897"/>
      <c r="BS671" s="664"/>
      <c r="BV671" s="899" t="str">
        <f>CONCATENATE(IF(COLUMN(BW669)&lt;=26,CHAR(96+COLUMN(BW669)),(CHAR(96+(ROUNDDOWN((COLUMN(BW669)-1)/26,0)))&amp;CHAR(96+IF(MOD(COLUMN(BW669),26)=0,26,MOD(COLUMN(BW669),26))))),BV669)</f>
        <v>bw660</v>
      </c>
      <c r="BW671" s="897"/>
      <c r="CE671" s="664"/>
      <c r="CH671" s="899" t="str">
        <f>CONCATENATE(IF(COLUMN(CI669)&lt;=26,CHAR(96+COLUMN(CI669)),(CHAR(96+(ROUNDDOWN((COLUMN(CI669)-1)/26,0)))&amp;CHAR(96+IF(MOD(COLUMN(CI669),26)=0,26,MOD(COLUMN(CI669),26))))),CH669)</f>
        <v>ci660</v>
      </c>
      <c r="CI671" s="897"/>
      <c r="CQ671" s="664"/>
      <c r="CT671" s="899" t="str">
        <f>CONCATENATE(IF(COLUMN(CU669)&lt;=26,CHAR(96+COLUMN(CU669)),(CHAR(96+(ROUNDDOWN((COLUMN(CU669)-1)/26,0)))&amp;CHAR(96+IF(MOD(COLUMN(CU669),26)=0,26,MOD(COLUMN(CU669),26))))),CT669)</f>
        <v>cu660</v>
      </c>
      <c r="CU671" s="897"/>
      <c r="DC671" s="664"/>
      <c r="DF671" s="899" t="str">
        <f>CONCATENATE(IF(COLUMN(DG669)&lt;=26,CHAR(96+COLUMN(DG669)),(CHAR(96+(ROUNDDOWN((COLUMN(DG669)-1)/26,0)))&amp;CHAR(96+IF(MOD(COLUMN(DG669),26)=0,26,MOD(COLUMN(DG669),26))))),DF669)</f>
        <v>dg660</v>
      </c>
      <c r="DG671" s="897"/>
      <c r="DO671" s="664"/>
    </row>
    <row r="672" spans="2:119" hidden="1" x14ac:dyDescent="0.25">
      <c r="B672" s="668"/>
      <c r="C672" s="895"/>
      <c r="K672" s="664"/>
      <c r="N672" s="668"/>
      <c r="O672" s="895"/>
      <c r="U672" s="663"/>
      <c r="W672" s="664"/>
      <c r="Z672" s="668"/>
      <c r="AA672" s="895"/>
      <c r="AB672" s="663"/>
      <c r="AC672" s="663"/>
      <c r="AD672" s="663"/>
      <c r="AE672" s="663"/>
      <c r="AF672" s="663"/>
      <c r="AG672" s="663"/>
      <c r="AH672" s="663"/>
      <c r="AI672" s="664"/>
      <c r="AL672" s="668"/>
      <c r="AM672" s="895"/>
      <c r="AN672" s="663"/>
      <c r="AU672" s="664"/>
      <c r="AX672" s="668"/>
      <c r="AY672" s="895"/>
      <c r="BG672" s="664"/>
      <c r="BJ672" s="668"/>
      <c r="BK672" s="895"/>
      <c r="BS672" s="664"/>
      <c r="BV672" s="668"/>
      <c r="BW672" s="895"/>
      <c r="CE672" s="664"/>
      <c r="CH672" s="668"/>
      <c r="CI672" s="895"/>
      <c r="CQ672" s="664"/>
      <c r="CT672" s="668"/>
      <c r="CU672" s="895"/>
      <c r="DC672" s="664"/>
      <c r="DF672" s="668"/>
      <c r="DG672" s="895"/>
      <c r="DO672" s="664"/>
    </row>
    <row r="673" spans="2:119" hidden="1" x14ac:dyDescent="0.25">
      <c r="B673" s="668"/>
      <c r="C673" s="895"/>
      <c r="K673" s="664"/>
      <c r="N673" s="668"/>
      <c r="O673" s="895"/>
      <c r="U673" s="663"/>
      <c r="W673" s="664"/>
      <c r="Z673" s="668"/>
      <c r="AA673" s="895"/>
      <c r="AB673" s="663"/>
      <c r="AC673" s="663"/>
      <c r="AD673" s="663"/>
      <c r="AE673" s="663"/>
      <c r="AF673" s="663"/>
      <c r="AG673" s="663"/>
      <c r="AH673" s="663"/>
      <c r="AI673" s="664"/>
      <c r="AL673" s="668"/>
      <c r="AM673" s="895"/>
      <c r="AN673" s="663"/>
      <c r="AU673" s="664"/>
      <c r="AX673" s="668"/>
      <c r="AY673" s="895"/>
      <c r="BG673" s="664"/>
      <c r="BJ673" s="668"/>
      <c r="BK673" s="895"/>
      <c r="BS673" s="664"/>
      <c r="BV673" s="668"/>
      <c r="BW673" s="895"/>
      <c r="CE673" s="664"/>
      <c r="CH673" s="668"/>
      <c r="CI673" s="895"/>
      <c r="CQ673" s="664"/>
      <c r="CT673" s="668"/>
      <c r="CU673" s="895"/>
      <c r="DC673" s="664"/>
      <c r="DF673" s="668"/>
      <c r="DG673" s="895"/>
      <c r="DO673" s="664"/>
    </row>
    <row r="674" spans="2:119" hidden="1" x14ac:dyDescent="0.25">
      <c r="B674" s="894" t="str">
        <f>CONCATENATE(B209," Gross Return Analysis")</f>
        <v>Inv H Gross Return Analysis</v>
      </c>
      <c r="C674" s="666"/>
      <c r="K674" s="664"/>
      <c r="N674" s="894" t="str">
        <f>CONCATENATE(N209," Gross Return Analysis")</f>
        <v>Inv H Gross Return Analysis</v>
      </c>
      <c r="O674" s="666"/>
      <c r="U674" s="663"/>
      <c r="W674" s="664"/>
      <c r="Z674" s="894" t="str">
        <f>CONCATENATE(Z209," Gross Return Analysis")</f>
        <v>Inv H Gross Return Analysis</v>
      </c>
      <c r="AA674" s="666"/>
      <c r="AB674" s="663"/>
      <c r="AC674" s="663"/>
      <c r="AD674" s="663"/>
      <c r="AE674" s="663"/>
      <c r="AF674" s="663"/>
      <c r="AG674" s="663"/>
      <c r="AH674" s="663"/>
      <c r="AI674" s="664"/>
      <c r="AL674" s="894" t="str">
        <f>CONCATENATE(AL209," Gross Return Analysis")</f>
        <v>Inv H Gross Return Analysis</v>
      </c>
      <c r="AM674" s="666"/>
      <c r="AN674" s="663"/>
      <c r="AU674" s="664"/>
      <c r="AX674" s="894" t="str">
        <f>CONCATENATE(AX209," Gross Return Analysis")</f>
        <v>Inv H Gross Return Analysis</v>
      </c>
      <c r="AY674" s="666"/>
      <c r="BG674" s="664"/>
      <c r="BJ674" s="894" t="str">
        <f>CONCATENATE(BJ209," Gross Return Analysis")</f>
        <v>Inv H Gross Return Analysis</v>
      </c>
      <c r="BK674" s="666"/>
      <c r="BS674" s="664"/>
      <c r="BV674" s="894" t="str">
        <f>CONCATENATE(BV209," Gross Return Analysis")</f>
        <v>Inv H Gross Return Analysis</v>
      </c>
      <c r="BW674" s="666"/>
      <c r="CE674" s="664"/>
      <c r="CH674" s="894" t="str">
        <f>CONCATENATE(CH209," Gross Return Analysis")</f>
        <v>Inv H Gross Return Analysis</v>
      </c>
      <c r="CI674" s="666"/>
      <c r="CQ674" s="664"/>
      <c r="CT674" s="894" t="str">
        <f>CONCATENATE(CT209," Gross Return Analysis")</f>
        <v>Inv H Gross Return Analysis</v>
      </c>
      <c r="CU674" s="666"/>
      <c r="DC674" s="664"/>
      <c r="DF674" s="894" t="str">
        <f>CONCATENATE(DF209," Gross Return Analysis")</f>
        <v>Inv H Gross Return Analysis</v>
      </c>
      <c r="DG674" s="666"/>
      <c r="DO674" s="664"/>
    </row>
    <row r="675" spans="2:119" hidden="1" x14ac:dyDescent="0.25">
      <c r="B675" s="668" t="s">
        <v>114</v>
      </c>
      <c r="C675" s="666">
        <f ca="1">C209</f>
        <v>0</v>
      </c>
      <c r="K675" s="664"/>
      <c r="N675" s="668" t="s">
        <v>114</v>
      </c>
      <c r="O675" s="666">
        <f ca="1">O209</f>
        <v>0</v>
      </c>
      <c r="U675" s="663"/>
      <c r="W675" s="664"/>
      <c r="Z675" s="668" t="s">
        <v>114</v>
      </c>
      <c r="AA675" s="666">
        <f ca="1">AA209</f>
        <v>0</v>
      </c>
      <c r="AB675" s="663"/>
      <c r="AC675" s="663"/>
      <c r="AD675" s="663"/>
      <c r="AE675" s="663"/>
      <c r="AF675" s="663"/>
      <c r="AG675" s="663"/>
      <c r="AH675" s="663"/>
      <c r="AI675" s="664"/>
      <c r="AL675" s="668" t="s">
        <v>114</v>
      </c>
      <c r="AM675" s="666">
        <f ca="1">AM209</f>
        <v>0</v>
      </c>
      <c r="AN675" s="663"/>
      <c r="AU675" s="664"/>
      <c r="AX675" s="668" t="s">
        <v>114</v>
      </c>
      <c r="AY675" s="666">
        <f ca="1">AY209</f>
        <v>0</v>
      </c>
      <c r="BG675" s="664"/>
      <c r="BJ675" s="668" t="s">
        <v>114</v>
      </c>
      <c r="BK675" s="666">
        <f ca="1">BK209</f>
        <v>0</v>
      </c>
      <c r="BS675" s="664"/>
      <c r="BV675" s="668" t="s">
        <v>114</v>
      </c>
      <c r="BW675" s="666">
        <f ca="1">BW209</f>
        <v>0</v>
      </c>
      <c r="CE675" s="664"/>
      <c r="CH675" s="668" t="s">
        <v>114</v>
      </c>
      <c r="CI675" s="666">
        <f ca="1">CI209</f>
        <v>0</v>
      </c>
      <c r="CQ675" s="664"/>
      <c r="CT675" s="668" t="s">
        <v>114</v>
      </c>
      <c r="CU675" s="666">
        <f ca="1">CU209</f>
        <v>0</v>
      </c>
      <c r="DC675" s="664"/>
      <c r="DF675" s="668" t="s">
        <v>114</v>
      </c>
      <c r="DG675" s="666">
        <f ca="1">DG209</f>
        <v>0</v>
      </c>
      <c r="DO675" s="664"/>
    </row>
    <row r="676" spans="2:119" hidden="1" x14ac:dyDescent="0.25">
      <c r="B676" s="668" t="s">
        <v>115</v>
      </c>
      <c r="C676" s="895">
        <f ca="1">IF($P$36=0,0,C209/$P$36)</f>
        <v>0</v>
      </c>
      <c r="K676" s="664"/>
      <c r="N676" s="668" t="s">
        <v>115</v>
      </c>
      <c r="O676" s="895">
        <f ca="1">IF($P$36=0,0,O209/$P$36)</f>
        <v>0</v>
      </c>
      <c r="U676" s="663"/>
      <c r="W676" s="664"/>
      <c r="Z676" s="668" t="s">
        <v>115</v>
      </c>
      <c r="AA676" s="895">
        <f ca="1">IF($P$36=0,0,AA209/$P$36)</f>
        <v>0</v>
      </c>
      <c r="AB676" s="663"/>
      <c r="AC676" s="663"/>
      <c r="AD676" s="663"/>
      <c r="AE676" s="663"/>
      <c r="AF676" s="663"/>
      <c r="AG676" s="663"/>
      <c r="AH676" s="663"/>
      <c r="AI676" s="664"/>
      <c r="AL676" s="668" t="s">
        <v>115</v>
      </c>
      <c r="AM676" s="895">
        <f ca="1">IF($P$36=0,0,AM209/$P$36)</f>
        <v>0</v>
      </c>
      <c r="AN676" s="663"/>
      <c r="AU676" s="664"/>
      <c r="AX676" s="668" t="s">
        <v>115</v>
      </c>
      <c r="AY676" s="895">
        <f ca="1">IF($P$36=0,0,AY209/$P$36)</f>
        <v>0</v>
      </c>
      <c r="BG676" s="664"/>
      <c r="BJ676" s="668" t="s">
        <v>115</v>
      </c>
      <c r="BK676" s="895">
        <f ca="1">IF($P$36=0,0,BK209/$P$36)</f>
        <v>0</v>
      </c>
      <c r="BS676" s="664"/>
      <c r="BV676" s="668" t="s">
        <v>115</v>
      </c>
      <c r="BW676" s="895">
        <f ca="1">IF($P$36=0,0,BW209/$P$36)</f>
        <v>0</v>
      </c>
      <c r="CE676" s="664"/>
      <c r="CH676" s="668" t="s">
        <v>115</v>
      </c>
      <c r="CI676" s="895">
        <f ca="1">IF($P$36=0,0,CI209/$P$36)</f>
        <v>0</v>
      </c>
      <c r="CQ676" s="664"/>
      <c r="CT676" s="668" t="s">
        <v>115</v>
      </c>
      <c r="CU676" s="895">
        <f ca="1">IF($P$36=0,0,CU209/$P$36)</f>
        <v>0</v>
      </c>
      <c r="DC676" s="664"/>
      <c r="DF676" s="668" t="s">
        <v>115</v>
      </c>
      <c r="DG676" s="895">
        <f ca="1">IF($P$36=0,0,DG209/$P$36)</f>
        <v>0</v>
      </c>
      <c r="DO676" s="664"/>
    </row>
    <row r="677" spans="2:119" hidden="1" x14ac:dyDescent="0.25">
      <c r="B677" s="896">
        <f>$F$5</f>
        <v>39113</v>
      </c>
      <c r="C677" s="897">
        <f>-$F$36</f>
        <v>0</v>
      </c>
      <c r="K677" s="664"/>
      <c r="N677" s="896">
        <f>$F$5</f>
        <v>39113</v>
      </c>
      <c r="O677" s="897">
        <f>-$F$36</f>
        <v>0</v>
      </c>
      <c r="U677" s="663"/>
      <c r="W677" s="664"/>
      <c r="Z677" s="896">
        <f>$F$5</f>
        <v>39113</v>
      </c>
      <c r="AA677" s="897">
        <f>-$F$36</f>
        <v>0</v>
      </c>
      <c r="AB677" s="663"/>
      <c r="AC677" s="663"/>
      <c r="AD677" s="663"/>
      <c r="AE677" s="663"/>
      <c r="AF677" s="663"/>
      <c r="AG677" s="663"/>
      <c r="AH677" s="663"/>
      <c r="AI677" s="664"/>
      <c r="AL677" s="896">
        <f>$F$5</f>
        <v>39113</v>
      </c>
      <c r="AM677" s="897">
        <f>-$F$36</f>
        <v>0</v>
      </c>
      <c r="AN677" s="663"/>
      <c r="AU677" s="664"/>
      <c r="AX677" s="896">
        <f>$F$5</f>
        <v>39113</v>
      </c>
      <c r="AY677" s="897">
        <f>-$F$36</f>
        <v>0</v>
      </c>
      <c r="BG677" s="664"/>
      <c r="BJ677" s="896">
        <f>$F$5</f>
        <v>39113</v>
      </c>
      <c r="BK677" s="897">
        <f>-$F$36</f>
        <v>0</v>
      </c>
      <c r="BS677" s="664"/>
      <c r="BV677" s="896">
        <f>$F$5</f>
        <v>39113</v>
      </c>
      <c r="BW677" s="897">
        <f>-$F$36</f>
        <v>0</v>
      </c>
      <c r="CE677" s="664"/>
      <c r="CH677" s="896">
        <f>$F$5</f>
        <v>39113</v>
      </c>
      <c r="CI677" s="897">
        <f>-$F$36</f>
        <v>0</v>
      </c>
      <c r="CQ677" s="664"/>
      <c r="CT677" s="896">
        <f>$F$5</f>
        <v>39113</v>
      </c>
      <c r="CU677" s="897">
        <f>-$F$36</f>
        <v>0</v>
      </c>
      <c r="DC677" s="664"/>
      <c r="DF677" s="896">
        <f>$F$5</f>
        <v>39113</v>
      </c>
      <c r="DG677" s="897">
        <f>-$F$36</f>
        <v>0</v>
      </c>
      <c r="DO677" s="664"/>
    </row>
    <row r="678" spans="2:119" hidden="1" x14ac:dyDescent="0.25">
      <c r="B678" s="896">
        <f>$G$5</f>
        <v>39478</v>
      </c>
      <c r="C678" s="897">
        <f>-$G$36</f>
        <v>0</v>
      </c>
      <c r="K678" s="664"/>
      <c r="N678" s="896">
        <f>$G$5</f>
        <v>39478</v>
      </c>
      <c r="O678" s="897">
        <f>-$G$36</f>
        <v>0</v>
      </c>
      <c r="U678" s="663"/>
      <c r="W678" s="664"/>
      <c r="Z678" s="896">
        <f>$G$5</f>
        <v>39478</v>
      </c>
      <c r="AA678" s="897">
        <f>-$G$36</f>
        <v>0</v>
      </c>
      <c r="AB678" s="663"/>
      <c r="AC678" s="663"/>
      <c r="AD678" s="663"/>
      <c r="AE678" s="663"/>
      <c r="AF678" s="663"/>
      <c r="AG678" s="663"/>
      <c r="AH678" s="663"/>
      <c r="AI678" s="664"/>
      <c r="AL678" s="896">
        <f>$G$5</f>
        <v>39478</v>
      </c>
      <c r="AM678" s="897">
        <f>-$G$36</f>
        <v>0</v>
      </c>
      <c r="AN678" s="663"/>
      <c r="AU678" s="664"/>
      <c r="AX678" s="896">
        <f>$G$5</f>
        <v>39478</v>
      </c>
      <c r="AY678" s="897">
        <f>-$G$36</f>
        <v>0</v>
      </c>
      <c r="BG678" s="664"/>
      <c r="BJ678" s="896">
        <f>$G$5</f>
        <v>39478</v>
      </c>
      <c r="BK678" s="897">
        <f>-$G$36</f>
        <v>0</v>
      </c>
      <c r="BS678" s="664"/>
      <c r="BV678" s="896">
        <f>$G$5</f>
        <v>39478</v>
      </c>
      <c r="BW678" s="897">
        <f>-$G$36</f>
        <v>0</v>
      </c>
      <c r="CE678" s="664"/>
      <c r="CH678" s="896">
        <f>$G$5</f>
        <v>39478</v>
      </c>
      <c r="CI678" s="897">
        <f>-$G$36</f>
        <v>0</v>
      </c>
      <c r="CQ678" s="664"/>
      <c r="CT678" s="896">
        <f>$G$5</f>
        <v>39478</v>
      </c>
      <c r="CU678" s="897">
        <f>-$G$36</f>
        <v>0</v>
      </c>
      <c r="DC678" s="664"/>
      <c r="DF678" s="896">
        <f>$G$5</f>
        <v>39478</v>
      </c>
      <c r="DG678" s="897">
        <f>-$G$36</f>
        <v>0</v>
      </c>
      <c r="DO678" s="664"/>
    </row>
    <row r="679" spans="2:119" hidden="1" x14ac:dyDescent="0.25">
      <c r="B679" s="896">
        <f>$H$5</f>
        <v>39843</v>
      </c>
      <c r="C679" s="897">
        <f>-$H$36</f>
        <v>-2500000</v>
      </c>
      <c r="K679" s="664"/>
      <c r="N679" s="896">
        <f>$H$5</f>
        <v>39843</v>
      </c>
      <c r="O679" s="897">
        <f>-$H$36</f>
        <v>-2500000</v>
      </c>
      <c r="U679" s="663"/>
      <c r="W679" s="664"/>
      <c r="Z679" s="896">
        <f>$H$5</f>
        <v>39843</v>
      </c>
      <c r="AA679" s="897">
        <f>-$H$36</f>
        <v>-2500000</v>
      </c>
      <c r="AB679" s="663"/>
      <c r="AC679" s="663"/>
      <c r="AD679" s="663"/>
      <c r="AE679" s="663"/>
      <c r="AF679" s="663"/>
      <c r="AG679" s="663"/>
      <c r="AH679" s="663"/>
      <c r="AI679" s="664"/>
      <c r="AL679" s="896">
        <f>$H$5</f>
        <v>39843</v>
      </c>
      <c r="AM679" s="897">
        <f>-$H$36</f>
        <v>-2500000</v>
      </c>
      <c r="AN679" s="663"/>
      <c r="AU679" s="664"/>
      <c r="AX679" s="896">
        <f>$H$5</f>
        <v>39843</v>
      </c>
      <c r="AY679" s="897">
        <f>-$H$36</f>
        <v>-2500000</v>
      </c>
      <c r="BG679" s="664"/>
      <c r="BJ679" s="896">
        <f>$H$5</f>
        <v>39843</v>
      </c>
      <c r="BK679" s="897">
        <f>-$H$36</f>
        <v>-2500000</v>
      </c>
      <c r="BS679" s="664"/>
      <c r="BV679" s="896">
        <f>$H$5</f>
        <v>39843</v>
      </c>
      <c r="BW679" s="897">
        <f>-$H$36</f>
        <v>-2500000</v>
      </c>
      <c r="CE679" s="664"/>
      <c r="CH679" s="896">
        <f>$H$5</f>
        <v>39843</v>
      </c>
      <c r="CI679" s="897">
        <f>-$H$36</f>
        <v>-2500000</v>
      </c>
      <c r="CQ679" s="664"/>
      <c r="CT679" s="896">
        <f>$H$5</f>
        <v>39843</v>
      </c>
      <c r="CU679" s="897">
        <f>-$H$36</f>
        <v>-2500000</v>
      </c>
      <c r="DC679" s="664"/>
      <c r="DF679" s="896">
        <f>$H$5</f>
        <v>39843</v>
      </c>
      <c r="DG679" s="897">
        <f>-$H$36</f>
        <v>-2500000</v>
      </c>
      <c r="DO679" s="664"/>
    </row>
    <row r="680" spans="2:119" hidden="1" x14ac:dyDescent="0.25">
      <c r="B680" s="896">
        <f>$I$5</f>
        <v>39843</v>
      </c>
      <c r="C680" s="897">
        <f>-$I$36</f>
        <v>-6666666.666666667</v>
      </c>
      <c r="K680" s="664"/>
      <c r="N680" s="896">
        <f>$I$5</f>
        <v>39843</v>
      </c>
      <c r="O680" s="897">
        <f>-$I$36</f>
        <v>-6666666.666666667</v>
      </c>
      <c r="U680" s="663"/>
      <c r="W680" s="664"/>
      <c r="Z680" s="896">
        <f>$I$5</f>
        <v>39843</v>
      </c>
      <c r="AA680" s="897">
        <f>-$I$36</f>
        <v>-6666666.666666667</v>
      </c>
      <c r="AB680" s="663"/>
      <c r="AC680" s="663"/>
      <c r="AD680" s="663"/>
      <c r="AE680" s="663"/>
      <c r="AF680" s="663"/>
      <c r="AG680" s="663"/>
      <c r="AH680" s="663"/>
      <c r="AI680" s="664"/>
      <c r="AL680" s="896">
        <f>$I$5</f>
        <v>39843</v>
      </c>
      <c r="AM680" s="897">
        <f>-$I$36</f>
        <v>-6666666.666666667</v>
      </c>
      <c r="AN680" s="663"/>
      <c r="AU680" s="664"/>
      <c r="AX680" s="896">
        <f>$I$5</f>
        <v>39843</v>
      </c>
      <c r="AY680" s="897">
        <f>-$I$36</f>
        <v>-6666666.666666667</v>
      </c>
      <c r="BG680" s="664"/>
      <c r="BJ680" s="896">
        <f>$I$5</f>
        <v>39843</v>
      </c>
      <c r="BK680" s="897">
        <f>-$I$36</f>
        <v>-6666666.666666667</v>
      </c>
      <c r="BS680" s="664"/>
      <c r="BV680" s="896">
        <f>$I$5</f>
        <v>39843</v>
      </c>
      <c r="BW680" s="897">
        <f>-$I$36</f>
        <v>-6666666.666666667</v>
      </c>
      <c r="CE680" s="664"/>
      <c r="CH680" s="896">
        <f>$I$5</f>
        <v>39843</v>
      </c>
      <c r="CI680" s="897">
        <f>-$I$36</f>
        <v>-6666666.666666667</v>
      </c>
      <c r="CQ680" s="664"/>
      <c r="CT680" s="896">
        <f>$I$5</f>
        <v>39843</v>
      </c>
      <c r="CU680" s="897">
        <f>-$I$36</f>
        <v>-6666666.666666667</v>
      </c>
      <c r="DC680" s="664"/>
      <c r="DF680" s="896">
        <f>$I$5</f>
        <v>39843</v>
      </c>
      <c r="DG680" s="897">
        <f>-$I$36</f>
        <v>-6666666.666666667</v>
      </c>
      <c r="DO680" s="664"/>
    </row>
    <row r="681" spans="2:119" hidden="1" x14ac:dyDescent="0.25">
      <c r="B681" s="896">
        <f>$J$5</f>
        <v>39843</v>
      </c>
      <c r="C681" s="897">
        <f>-$J$36</f>
        <v>0</v>
      </c>
      <c r="K681" s="664"/>
      <c r="N681" s="896">
        <f>$J$5</f>
        <v>39843</v>
      </c>
      <c r="O681" s="897">
        <f>-$J$36</f>
        <v>0</v>
      </c>
      <c r="U681" s="663"/>
      <c r="W681" s="664"/>
      <c r="Z681" s="896">
        <f>$J$5</f>
        <v>39843</v>
      </c>
      <c r="AA681" s="897">
        <f>-$J$36</f>
        <v>0</v>
      </c>
      <c r="AB681" s="663"/>
      <c r="AC681" s="663"/>
      <c r="AD681" s="663"/>
      <c r="AE681" s="663"/>
      <c r="AF681" s="663"/>
      <c r="AG681" s="663"/>
      <c r="AH681" s="663"/>
      <c r="AI681" s="664"/>
      <c r="AL681" s="896">
        <f>$J$5</f>
        <v>39843</v>
      </c>
      <c r="AM681" s="897">
        <f>-$J$36</f>
        <v>0</v>
      </c>
      <c r="AN681" s="663"/>
      <c r="AU681" s="664"/>
      <c r="AX681" s="896">
        <f>$J$5</f>
        <v>39843</v>
      </c>
      <c r="AY681" s="897">
        <f>-$J$36</f>
        <v>0</v>
      </c>
      <c r="BG681" s="664"/>
      <c r="BJ681" s="896">
        <f>$J$5</f>
        <v>39843</v>
      </c>
      <c r="BK681" s="897">
        <f>-$J$36</f>
        <v>0</v>
      </c>
      <c r="BS681" s="664"/>
      <c r="BV681" s="896">
        <f>$J$5</f>
        <v>39843</v>
      </c>
      <c r="BW681" s="897">
        <f>-$J$36</f>
        <v>0</v>
      </c>
      <c r="CE681" s="664"/>
      <c r="CH681" s="896">
        <f>$J$5</f>
        <v>39843</v>
      </c>
      <c r="CI681" s="897">
        <f>-$J$36</f>
        <v>0</v>
      </c>
      <c r="CQ681" s="664"/>
      <c r="CT681" s="896">
        <f>$J$5</f>
        <v>39843</v>
      </c>
      <c r="CU681" s="897">
        <f>-$J$36</f>
        <v>0</v>
      </c>
      <c r="DC681" s="664"/>
      <c r="DF681" s="896">
        <f>$J$5</f>
        <v>39843</v>
      </c>
      <c r="DG681" s="897">
        <f>-$J$36</f>
        <v>0</v>
      </c>
      <c r="DO681" s="664"/>
    </row>
    <row r="682" spans="2:119" hidden="1" x14ac:dyDescent="0.25">
      <c r="B682" s="896">
        <f>$K$5</f>
        <v>39843</v>
      </c>
      <c r="C682" s="897">
        <f>-$K$36</f>
        <v>0</v>
      </c>
      <c r="K682" s="664"/>
      <c r="N682" s="896">
        <f>$K$5</f>
        <v>39843</v>
      </c>
      <c r="O682" s="897">
        <f>-$K$36</f>
        <v>0</v>
      </c>
      <c r="U682" s="663"/>
      <c r="W682" s="664"/>
      <c r="Z682" s="896">
        <f>$K$5</f>
        <v>39843</v>
      </c>
      <c r="AA682" s="897">
        <f>-$K$36</f>
        <v>0</v>
      </c>
      <c r="AB682" s="663"/>
      <c r="AC682" s="663"/>
      <c r="AD682" s="663"/>
      <c r="AE682" s="663"/>
      <c r="AF682" s="663"/>
      <c r="AG682" s="663"/>
      <c r="AH682" s="663"/>
      <c r="AI682" s="664"/>
      <c r="AL682" s="896">
        <f>$K$5</f>
        <v>39843</v>
      </c>
      <c r="AM682" s="897">
        <f>-$K$36</f>
        <v>0</v>
      </c>
      <c r="AN682" s="663"/>
      <c r="AU682" s="664"/>
      <c r="AX682" s="896">
        <f>$K$5</f>
        <v>39843</v>
      </c>
      <c r="AY682" s="897">
        <f>-$K$36</f>
        <v>0</v>
      </c>
      <c r="BG682" s="664"/>
      <c r="BJ682" s="896">
        <f>$K$5</f>
        <v>39843</v>
      </c>
      <c r="BK682" s="897">
        <f>-$K$36</f>
        <v>0</v>
      </c>
      <c r="BS682" s="664"/>
      <c r="BV682" s="896">
        <f>$K$5</f>
        <v>39843</v>
      </c>
      <c r="BW682" s="897">
        <f>-$K$36</f>
        <v>0</v>
      </c>
      <c r="CE682" s="664"/>
      <c r="CH682" s="896">
        <f>$K$5</f>
        <v>39843</v>
      </c>
      <c r="CI682" s="897">
        <f>-$K$36</f>
        <v>0</v>
      </c>
      <c r="CQ682" s="664"/>
      <c r="CT682" s="896">
        <f>$K$5</f>
        <v>39843</v>
      </c>
      <c r="CU682" s="897">
        <f>-$K$36</f>
        <v>0</v>
      </c>
      <c r="DC682" s="664"/>
      <c r="DF682" s="896">
        <f>$K$5</f>
        <v>39843</v>
      </c>
      <c r="DG682" s="897">
        <f>-$K$36</f>
        <v>0</v>
      </c>
      <c r="DO682" s="664"/>
    </row>
    <row r="683" spans="2:119" hidden="1" x14ac:dyDescent="0.25">
      <c r="B683" s="896">
        <f>$L$5</f>
        <v>39843</v>
      </c>
      <c r="C683" s="897">
        <f>-$L$36</f>
        <v>0</v>
      </c>
      <c r="K683" s="664"/>
      <c r="N683" s="896">
        <f>$L$5</f>
        <v>39843</v>
      </c>
      <c r="O683" s="897">
        <f>-$L$36</f>
        <v>0</v>
      </c>
      <c r="U683" s="663"/>
      <c r="W683" s="664"/>
      <c r="Z683" s="896">
        <f>$L$5</f>
        <v>39843</v>
      </c>
      <c r="AA683" s="897">
        <f>-$L$36</f>
        <v>0</v>
      </c>
      <c r="AB683" s="663"/>
      <c r="AC683" s="663"/>
      <c r="AD683" s="663"/>
      <c r="AE683" s="663"/>
      <c r="AF683" s="663"/>
      <c r="AG683" s="663"/>
      <c r="AH683" s="663"/>
      <c r="AI683" s="664"/>
      <c r="AL683" s="896">
        <f>$L$5</f>
        <v>39843</v>
      </c>
      <c r="AM683" s="897">
        <f>-$L$36</f>
        <v>0</v>
      </c>
      <c r="AN683" s="663"/>
      <c r="AU683" s="664"/>
      <c r="AX683" s="896">
        <f>$L$5</f>
        <v>39843</v>
      </c>
      <c r="AY683" s="897">
        <f>-$L$36</f>
        <v>0</v>
      </c>
      <c r="BG683" s="664"/>
      <c r="BJ683" s="896">
        <f>$L$5</f>
        <v>39843</v>
      </c>
      <c r="BK683" s="897">
        <f>-$L$36</f>
        <v>0</v>
      </c>
      <c r="BS683" s="664"/>
      <c r="BV683" s="896">
        <f>$L$5</f>
        <v>39843</v>
      </c>
      <c r="BW683" s="897">
        <f>-$L$36</f>
        <v>0</v>
      </c>
      <c r="CE683" s="664"/>
      <c r="CH683" s="896">
        <f>$L$5</f>
        <v>39843</v>
      </c>
      <c r="CI683" s="897">
        <f>-$L$36</f>
        <v>0</v>
      </c>
      <c r="CQ683" s="664"/>
      <c r="CT683" s="896">
        <f>$L$5</f>
        <v>39843</v>
      </c>
      <c r="CU683" s="897">
        <f>-$L$36</f>
        <v>0</v>
      </c>
      <c r="DC683" s="664"/>
      <c r="DF683" s="896">
        <f>$L$5</f>
        <v>39843</v>
      </c>
      <c r="DG683" s="897">
        <f>-$L$36</f>
        <v>0</v>
      </c>
      <c r="DO683" s="664"/>
    </row>
    <row r="684" spans="2:119" hidden="1" x14ac:dyDescent="0.25">
      <c r="B684" s="896">
        <f>$M$5</f>
        <v>39843</v>
      </c>
      <c r="C684" s="897">
        <f>-$M$36</f>
        <v>0</v>
      </c>
      <c r="K684" s="664"/>
      <c r="N684" s="896">
        <f>$M$5</f>
        <v>39843</v>
      </c>
      <c r="O684" s="897">
        <f>-$M$36</f>
        <v>0</v>
      </c>
      <c r="U684" s="663"/>
      <c r="W684" s="664"/>
      <c r="Z684" s="896">
        <f>$M$5</f>
        <v>39843</v>
      </c>
      <c r="AA684" s="897">
        <f>-$M$36</f>
        <v>0</v>
      </c>
      <c r="AB684" s="663"/>
      <c r="AC684" s="663"/>
      <c r="AD684" s="663"/>
      <c r="AE684" s="663"/>
      <c r="AF684" s="663"/>
      <c r="AG684" s="663"/>
      <c r="AH684" s="663"/>
      <c r="AI684" s="664"/>
      <c r="AL684" s="896">
        <f>$M$5</f>
        <v>39843</v>
      </c>
      <c r="AM684" s="897">
        <f>-$M$36</f>
        <v>0</v>
      </c>
      <c r="AN684" s="663"/>
      <c r="AU684" s="664"/>
      <c r="AX684" s="896">
        <f>$M$5</f>
        <v>39843</v>
      </c>
      <c r="AY684" s="897">
        <f>-$M$36</f>
        <v>0</v>
      </c>
      <c r="BG684" s="664"/>
      <c r="BJ684" s="896">
        <f>$M$5</f>
        <v>39843</v>
      </c>
      <c r="BK684" s="897">
        <f>-$M$36</f>
        <v>0</v>
      </c>
      <c r="BS684" s="664"/>
      <c r="BV684" s="896">
        <f>$M$5</f>
        <v>39843</v>
      </c>
      <c r="BW684" s="897">
        <f>-$M$36</f>
        <v>0</v>
      </c>
      <c r="CE684" s="664"/>
      <c r="CH684" s="896">
        <f>$M$5</f>
        <v>39843</v>
      </c>
      <c r="CI684" s="897">
        <f>-$M$36</f>
        <v>0</v>
      </c>
      <c r="CQ684" s="664"/>
      <c r="CT684" s="896">
        <f>$M$5</f>
        <v>39843</v>
      </c>
      <c r="CU684" s="897">
        <f>-$M$36</f>
        <v>0</v>
      </c>
      <c r="DC684" s="664"/>
      <c r="DF684" s="896">
        <f>$M$5</f>
        <v>39843</v>
      </c>
      <c r="DG684" s="897">
        <f>-$M$36</f>
        <v>0</v>
      </c>
      <c r="DO684" s="664"/>
    </row>
    <row r="685" spans="2:119" hidden="1" x14ac:dyDescent="0.25">
      <c r="B685" s="896">
        <f>$N$5</f>
        <v>39843</v>
      </c>
      <c r="C685" s="897">
        <f>-$N$36</f>
        <v>0</v>
      </c>
      <c r="K685" s="664"/>
      <c r="N685" s="896">
        <f>$N$5</f>
        <v>39843</v>
      </c>
      <c r="O685" s="897">
        <f>-$N$36</f>
        <v>0</v>
      </c>
      <c r="U685" s="663"/>
      <c r="W685" s="664"/>
      <c r="Z685" s="896">
        <f>$N$5</f>
        <v>39843</v>
      </c>
      <c r="AA685" s="897">
        <f>-$N$36</f>
        <v>0</v>
      </c>
      <c r="AB685" s="663"/>
      <c r="AC685" s="663"/>
      <c r="AD685" s="663"/>
      <c r="AE685" s="663"/>
      <c r="AF685" s="663"/>
      <c r="AG685" s="663"/>
      <c r="AH685" s="663"/>
      <c r="AI685" s="664"/>
      <c r="AL685" s="896">
        <f>$N$5</f>
        <v>39843</v>
      </c>
      <c r="AM685" s="897">
        <f>-$N$36</f>
        <v>0</v>
      </c>
      <c r="AN685" s="663"/>
      <c r="AU685" s="664"/>
      <c r="AX685" s="896">
        <f>$N$5</f>
        <v>39843</v>
      </c>
      <c r="AY685" s="897">
        <f>-$N$36</f>
        <v>0</v>
      </c>
      <c r="BG685" s="664"/>
      <c r="BJ685" s="896">
        <f>$N$5</f>
        <v>39843</v>
      </c>
      <c r="BK685" s="897">
        <f>-$N$36</f>
        <v>0</v>
      </c>
      <c r="BS685" s="664"/>
      <c r="BV685" s="896">
        <f>$N$5</f>
        <v>39843</v>
      </c>
      <c r="BW685" s="897">
        <f>-$N$36</f>
        <v>0</v>
      </c>
      <c r="CE685" s="664"/>
      <c r="CH685" s="896">
        <f>$N$5</f>
        <v>39843</v>
      </c>
      <c r="CI685" s="897">
        <f>-$N$36</f>
        <v>0</v>
      </c>
      <c r="CQ685" s="664"/>
      <c r="CT685" s="896">
        <f>$N$5</f>
        <v>39843</v>
      </c>
      <c r="CU685" s="897">
        <f>-$N$36</f>
        <v>0</v>
      </c>
      <c r="DC685" s="664"/>
      <c r="DF685" s="896">
        <f>$N$5</f>
        <v>39843</v>
      </c>
      <c r="DG685" s="897">
        <f>-$N$36</f>
        <v>0</v>
      </c>
      <c r="DO685" s="664"/>
    </row>
    <row r="686" spans="2:119" hidden="1" x14ac:dyDescent="0.25">
      <c r="B686" s="896">
        <f>$O$5</f>
        <v>39843</v>
      </c>
      <c r="C686" s="897">
        <f>-$O$36</f>
        <v>0</v>
      </c>
      <c r="K686" s="664"/>
      <c r="N686" s="896">
        <f>$O$5</f>
        <v>39843</v>
      </c>
      <c r="O686" s="897">
        <f>-$O$36</f>
        <v>0</v>
      </c>
      <c r="U686" s="663"/>
      <c r="W686" s="664"/>
      <c r="Z686" s="896">
        <f>$O$5</f>
        <v>39843</v>
      </c>
      <c r="AA686" s="897">
        <f>-$O$36</f>
        <v>0</v>
      </c>
      <c r="AB686" s="663"/>
      <c r="AC686" s="663"/>
      <c r="AD686" s="663"/>
      <c r="AE686" s="663"/>
      <c r="AF686" s="663"/>
      <c r="AG686" s="663"/>
      <c r="AH686" s="663"/>
      <c r="AI686" s="664"/>
      <c r="AL686" s="896">
        <f>$O$5</f>
        <v>39843</v>
      </c>
      <c r="AM686" s="897">
        <f>-$O$36</f>
        <v>0</v>
      </c>
      <c r="AN686" s="663"/>
      <c r="AU686" s="664"/>
      <c r="AX686" s="896">
        <f>$O$5</f>
        <v>39843</v>
      </c>
      <c r="AY686" s="897">
        <f>-$O$36</f>
        <v>0</v>
      </c>
      <c r="BG686" s="664"/>
      <c r="BJ686" s="896">
        <f>$O$5</f>
        <v>39843</v>
      </c>
      <c r="BK686" s="897">
        <f>-$O$36</f>
        <v>0</v>
      </c>
      <c r="BS686" s="664"/>
      <c r="BV686" s="896">
        <f>$O$5</f>
        <v>39843</v>
      </c>
      <c r="BW686" s="897">
        <f>-$O$36</f>
        <v>0</v>
      </c>
      <c r="CE686" s="664"/>
      <c r="CH686" s="896">
        <f>$O$5</f>
        <v>39843</v>
      </c>
      <c r="CI686" s="897">
        <f>-$O$36</f>
        <v>0</v>
      </c>
      <c r="CQ686" s="664"/>
      <c r="CT686" s="896">
        <f>$O$5</f>
        <v>39843</v>
      </c>
      <c r="CU686" s="897">
        <f>-$O$36</f>
        <v>0</v>
      </c>
      <c r="DC686" s="664"/>
      <c r="DF686" s="896">
        <f>$O$5</f>
        <v>39843</v>
      </c>
      <c r="DG686" s="897">
        <f>-$O$36</f>
        <v>0</v>
      </c>
      <c r="DO686" s="664"/>
    </row>
    <row r="687" spans="2:119" hidden="1" x14ac:dyDescent="0.25">
      <c r="B687" s="896">
        <f>$C$55</f>
        <v>40999</v>
      </c>
      <c r="C687" s="897">
        <f ca="1">C675</f>
        <v>0</v>
      </c>
      <c r="K687" s="664"/>
      <c r="N687" s="896">
        <f>$C$55</f>
        <v>40999</v>
      </c>
      <c r="O687" s="897">
        <f ca="1">O675</f>
        <v>0</v>
      </c>
      <c r="U687" s="663"/>
      <c r="W687" s="664"/>
      <c r="Z687" s="896">
        <f>$C$55</f>
        <v>40999</v>
      </c>
      <c r="AA687" s="897">
        <f ca="1">AA675</f>
        <v>0</v>
      </c>
      <c r="AB687" s="663"/>
      <c r="AC687" s="663"/>
      <c r="AD687" s="663"/>
      <c r="AE687" s="663"/>
      <c r="AF687" s="663"/>
      <c r="AG687" s="663"/>
      <c r="AH687" s="663"/>
      <c r="AI687" s="664"/>
      <c r="AL687" s="896">
        <f>$C$55</f>
        <v>40999</v>
      </c>
      <c r="AM687" s="897">
        <f ca="1">AM675</f>
        <v>0</v>
      </c>
      <c r="AN687" s="663"/>
      <c r="AU687" s="664"/>
      <c r="AX687" s="896">
        <f>$C$55</f>
        <v>40999</v>
      </c>
      <c r="AY687" s="897">
        <f ca="1">AY675</f>
        <v>0</v>
      </c>
      <c r="BG687" s="664"/>
      <c r="BJ687" s="896">
        <f>$C$55</f>
        <v>40999</v>
      </c>
      <c r="BK687" s="897">
        <f ca="1">BK675</f>
        <v>0</v>
      </c>
      <c r="BS687" s="664"/>
      <c r="BV687" s="896">
        <f>$C$55</f>
        <v>40999</v>
      </c>
      <c r="BW687" s="897">
        <f ca="1">BW675</f>
        <v>0</v>
      </c>
      <c r="CE687" s="664"/>
      <c r="CH687" s="896">
        <f>$C$55</f>
        <v>40999</v>
      </c>
      <c r="CI687" s="897">
        <f ca="1">CI675</f>
        <v>0</v>
      </c>
      <c r="CQ687" s="664"/>
      <c r="CT687" s="896">
        <f>$C$55</f>
        <v>40999</v>
      </c>
      <c r="CU687" s="897">
        <f ca="1">CU675</f>
        <v>0</v>
      </c>
      <c r="DC687" s="664"/>
      <c r="DF687" s="896">
        <f>$C$55</f>
        <v>40999</v>
      </c>
      <c r="DG687" s="897">
        <f ca="1">DG675</f>
        <v>0</v>
      </c>
      <c r="DO687" s="664"/>
    </row>
    <row r="688" spans="2:119" hidden="1" x14ac:dyDescent="0.25">
      <c r="B688" s="898">
        <f>IF(C677&lt;&gt;0,ROW(C677),IF(C678&lt;&gt;0,ROW(C678),IF(C679&lt;&gt;0,ROW(C679),IF(C680&lt;&gt;0,ROW(C680),IF(C681&lt;&gt;0,ROW(C681),IF(C682&lt;&gt;0,ROW(C682),IF(C683&lt;&gt;0,ROW(C683),IF(C684&lt;&gt;0,ROW(C684),IF(C685&lt;&gt;0,ROW(C685),IF(C686&lt;&gt;0,ROW(C686),0))))))))))</f>
        <v>679</v>
      </c>
      <c r="C688" s="882" t="e">
        <f ca="1">IF(ISERROR(XIRR(INDIRECT(B690):C687,INDIRECT(B689):B687,-20%)),XIRR(INDIRECT(B690):C687,INDIRECT(B689):B687,20%),"N/A")</f>
        <v>#NUM!</v>
      </c>
      <c r="K688" s="664"/>
      <c r="N688" s="898">
        <f>IF(O677&lt;&gt;0,ROW(O677),IF(O678&lt;&gt;0,ROW(O678),IF(O679&lt;&gt;0,ROW(O679),IF(O680&lt;&gt;0,ROW(O680),IF(O681&lt;&gt;0,ROW(O681),IF(O682&lt;&gt;0,ROW(O682),IF(O683&lt;&gt;0,ROW(O683),IF(O684&lt;&gt;0,ROW(O684),IF(O685&lt;&gt;0,ROW(O685),IF(O686&lt;&gt;0,ROW(O686),0))))))))))</f>
        <v>679</v>
      </c>
      <c r="O688" s="882" t="e">
        <f ca="1">IF(ISERROR(XIRR(INDIRECT(N690):O687,INDIRECT(N689):N687,-20%)),XIRR(INDIRECT(N690):O687,INDIRECT(N689):N687,20%),"N/A")</f>
        <v>#NUM!</v>
      </c>
      <c r="U688" s="663"/>
      <c r="W688" s="664"/>
      <c r="Z688" s="898">
        <f>IF(AA677&lt;&gt;0,ROW(AA677),IF(AA678&lt;&gt;0,ROW(AA678),IF(AA679&lt;&gt;0,ROW(AA679),IF(AA680&lt;&gt;0,ROW(AA680),IF(AA681&lt;&gt;0,ROW(AA681),IF(AA682&lt;&gt;0,ROW(AA682),IF(AA683&lt;&gt;0,ROW(AA683),IF(AA684&lt;&gt;0,ROW(AA684),IF(AA685&lt;&gt;0,ROW(AA685),IF(AA686&lt;&gt;0,ROW(AA686),0))))))))))</f>
        <v>679</v>
      </c>
      <c r="AA688" s="882" t="e">
        <f ca="1">IF(ISERROR(XIRR(INDIRECT(Z690):AA687,INDIRECT(Z689):Z687,-20%)),XIRR(INDIRECT(Z690):AA687,INDIRECT(Z689):Z687,20%),"N/A")</f>
        <v>#NUM!</v>
      </c>
      <c r="AB688" s="663"/>
      <c r="AC688" s="663"/>
      <c r="AD688" s="663"/>
      <c r="AE688" s="663"/>
      <c r="AF688" s="663"/>
      <c r="AG688" s="663"/>
      <c r="AH688" s="663"/>
      <c r="AI688" s="664"/>
      <c r="AL688" s="898">
        <f>IF(AM677&lt;&gt;0,ROW(AM677),IF(AM678&lt;&gt;0,ROW(AM678),IF(AM679&lt;&gt;0,ROW(AM679),IF(AM680&lt;&gt;0,ROW(AM680),IF(AM681&lt;&gt;0,ROW(AM681),IF(AM682&lt;&gt;0,ROW(AM682),IF(AM683&lt;&gt;0,ROW(AM683),IF(AM684&lt;&gt;0,ROW(AM684),IF(AM685&lt;&gt;0,ROW(AM685),IF(AM686&lt;&gt;0,ROW(AM686),0))))))))))</f>
        <v>679</v>
      </c>
      <c r="AM688" s="882" t="e">
        <f ca="1">IF(ISERROR(XIRR(INDIRECT(AL690):AM687,INDIRECT(AL689):AL687,-20%)),XIRR(INDIRECT(AL690):AM687,INDIRECT(AL689):AL687,20%),"N/A")</f>
        <v>#NUM!</v>
      </c>
      <c r="AN688" s="663"/>
      <c r="AU688" s="664"/>
      <c r="AX688" s="898">
        <f>IF(AY677&lt;&gt;0,ROW(AY677),IF(AY678&lt;&gt;0,ROW(AY678),IF(AY679&lt;&gt;0,ROW(AY679),IF(AY680&lt;&gt;0,ROW(AY680),IF(AY681&lt;&gt;0,ROW(AY681),IF(AY682&lt;&gt;0,ROW(AY682),IF(AY683&lt;&gt;0,ROW(AY683),IF(AY684&lt;&gt;0,ROW(AY684),IF(AY685&lt;&gt;0,ROW(AY685),IF(AY686&lt;&gt;0,ROW(AY686),0))))))))))</f>
        <v>679</v>
      </c>
      <c r="AY688" s="882" t="e">
        <f ca="1">IF(ISERROR(XIRR(INDIRECT(AX690):AY687,INDIRECT(AX689):AX687,-20%)),XIRR(INDIRECT(AX690):AY687,INDIRECT(AX689):AX687,20%),"N/A")</f>
        <v>#NUM!</v>
      </c>
      <c r="BG688" s="664"/>
      <c r="BJ688" s="898">
        <f>IF(BK677&lt;&gt;0,ROW(BK677),IF(BK678&lt;&gt;0,ROW(BK678),IF(BK679&lt;&gt;0,ROW(BK679),IF(BK680&lt;&gt;0,ROW(BK680),IF(BK681&lt;&gt;0,ROW(BK681),IF(BK682&lt;&gt;0,ROW(BK682),IF(BK683&lt;&gt;0,ROW(BK683),IF(BK684&lt;&gt;0,ROW(BK684),IF(BK685&lt;&gt;0,ROW(BK685),IF(BK686&lt;&gt;0,ROW(BK686),0))))))))))</f>
        <v>679</v>
      </c>
      <c r="BK688" s="882" t="e">
        <f ca="1">IF(ISERROR(XIRR(INDIRECT(BJ690):BK687,INDIRECT(BJ689):BJ687,-20%)),XIRR(INDIRECT(BJ690):BK687,INDIRECT(BJ689):BJ687,20%),"N/A")</f>
        <v>#NUM!</v>
      </c>
      <c r="BS688" s="664"/>
      <c r="BV688" s="898">
        <f>IF(BW677&lt;&gt;0,ROW(BW677),IF(BW678&lt;&gt;0,ROW(BW678),IF(BW679&lt;&gt;0,ROW(BW679),IF(BW680&lt;&gt;0,ROW(BW680),IF(BW681&lt;&gt;0,ROW(BW681),IF(BW682&lt;&gt;0,ROW(BW682),IF(BW683&lt;&gt;0,ROW(BW683),IF(BW684&lt;&gt;0,ROW(BW684),IF(BW685&lt;&gt;0,ROW(BW685),IF(BW686&lt;&gt;0,ROW(BW686),0))))))))))</f>
        <v>679</v>
      </c>
      <c r="BW688" s="882" t="e">
        <f ca="1">IF(ISERROR(XIRR(INDIRECT(BV690):BW687,INDIRECT(BV689):BV687,-20%)),XIRR(INDIRECT(BV690):BW687,INDIRECT(BV689):BV687,20%),"N/A")</f>
        <v>#NUM!</v>
      </c>
      <c r="CE688" s="664"/>
      <c r="CH688" s="898">
        <f>IF(CI677&lt;&gt;0,ROW(CI677),IF(CI678&lt;&gt;0,ROW(CI678),IF(CI679&lt;&gt;0,ROW(CI679),IF(CI680&lt;&gt;0,ROW(CI680),IF(CI681&lt;&gt;0,ROW(CI681),IF(CI682&lt;&gt;0,ROW(CI682),IF(CI683&lt;&gt;0,ROW(CI683),IF(CI684&lt;&gt;0,ROW(CI684),IF(CI685&lt;&gt;0,ROW(CI685),IF(CI686&lt;&gt;0,ROW(CI686),0))))))))))</f>
        <v>679</v>
      </c>
      <c r="CI688" s="882" t="e">
        <f ca="1">IF(ISERROR(XIRR(INDIRECT(CH690):CI687,INDIRECT(CH689):CH687,-20%)),XIRR(INDIRECT(CH690):CI687,INDIRECT(CH689):CH687,20%),"N/A")</f>
        <v>#NUM!</v>
      </c>
      <c r="CQ688" s="664"/>
      <c r="CT688" s="898">
        <f>IF(CU677&lt;&gt;0,ROW(CU677),IF(CU678&lt;&gt;0,ROW(CU678),IF(CU679&lt;&gt;0,ROW(CU679),IF(CU680&lt;&gt;0,ROW(CU680),IF(CU681&lt;&gt;0,ROW(CU681),IF(CU682&lt;&gt;0,ROW(CU682),IF(CU683&lt;&gt;0,ROW(CU683),IF(CU684&lt;&gt;0,ROW(CU684),IF(CU685&lt;&gt;0,ROW(CU685),IF(CU686&lt;&gt;0,ROW(CU686),0))))))))))</f>
        <v>679</v>
      </c>
      <c r="CU688" s="882" t="e">
        <f ca="1">IF(ISERROR(XIRR(INDIRECT(CT690):CU687,INDIRECT(CT689):CT687,-20%)),XIRR(INDIRECT(CT690):CU687,INDIRECT(CT689):CT687,20%),"N/A")</f>
        <v>#NUM!</v>
      </c>
      <c r="DC688" s="664"/>
      <c r="DF688" s="898">
        <f>IF(DG677&lt;&gt;0,ROW(DG677),IF(DG678&lt;&gt;0,ROW(DG678),IF(DG679&lt;&gt;0,ROW(DG679),IF(DG680&lt;&gt;0,ROW(DG680),IF(DG681&lt;&gt;0,ROW(DG681),IF(DG682&lt;&gt;0,ROW(DG682),IF(DG683&lt;&gt;0,ROW(DG683),IF(DG684&lt;&gt;0,ROW(DG684),IF(DG685&lt;&gt;0,ROW(DG685),IF(DG686&lt;&gt;0,ROW(DG686),0))))))))))</f>
        <v>679</v>
      </c>
      <c r="DG688" s="882" t="e">
        <f ca="1">IF(ISERROR(XIRR(INDIRECT(DF690):DG687,INDIRECT(DF689):DF687,-20%)),XIRR(INDIRECT(DF690):DG687,INDIRECT(DF689):DF687,20%),"N/A")</f>
        <v>#NUM!</v>
      </c>
      <c r="DO688" s="664"/>
    </row>
    <row r="689" spans="2:119" hidden="1" x14ac:dyDescent="0.25">
      <c r="B689" s="899" t="str">
        <f>CONCATENATE(CHAR(64+COLUMN(B688)),B688)</f>
        <v>B679</v>
      </c>
      <c r="C689" s="897"/>
      <c r="K689" s="664"/>
      <c r="N689" s="899" t="str">
        <f>CONCATENATE(CHAR(64+COLUMN(N688)),N688)</f>
        <v>N679</v>
      </c>
      <c r="O689" s="897"/>
      <c r="U689" s="663"/>
      <c r="W689" s="664"/>
      <c r="Z689" s="899" t="str">
        <f>CONCATENATE(IF(COLUMN(Z688)&lt;=26,CHAR(96+COLUMN(Z688)),(CHAR(96+(ROUNDDOWN((COLUMN(Z688)-1)/26,0)))&amp;CHAR(96+IF(MOD(COLUMN(Z688),26)=0,26,MOD(COLUMN(Z688),26))))),Z688)</f>
        <v>z679</v>
      </c>
      <c r="AA689" s="897"/>
      <c r="AB689" s="663"/>
      <c r="AC689" s="663"/>
      <c r="AD689" s="663"/>
      <c r="AE689" s="663"/>
      <c r="AF689" s="663"/>
      <c r="AG689" s="663"/>
      <c r="AH689" s="663"/>
      <c r="AI689" s="664"/>
      <c r="AL689" s="899" t="str">
        <f>CONCATENATE(IF(COLUMN(AL688)&lt;=26,CHAR(96+COLUMN(AL688)),(CHAR(96+(ROUNDDOWN((COLUMN(AL688)-1)/26,0)))&amp;CHAR(96+IF(MOD(COLUMN(AL688),26)=0,26,MOD(COLUMN(AL688),26))))),AL688)</f>
        <v>al679</v>
      </c>
      <c r="AM689" s="897"/>
      <c r="AN689" s="663"/>
      <c r="AU689" s="664"/>
      <c r="AX689" s="899" t="str">
        <f>CONCATENATE(IF(COLUMN(AX688)&lt;=26,CHAR(96+COLUMN(AX688)),(CHAR(96+(ROUNDDOWN((COLUMN(AX688)-1)/26,0)))&amp;CHAR(96+IF(MOD(COLUMN(AX688),26)=0,26,MOD(COLUMN(AX688),26))))),AX688)</f>
        <v>ax679</v>
      </c>
      <c r="AY689" s="897"/>
      <c r="BG689" s="664"/>
      <c r="BJ689" s="899" t="str">
        <f>CONCATENATE(IF(COLUMN(BJ688)&lt;=26,CHAR(96+COLUMN(BJ688)),(CHAR(96+(ROUNDDOWN((COLUMN(BJ688)-1)/26,0)))&amp;CHAR(96+IF(MOD(COLUMN(BJ688),26)=0,26,MOD(COLUMN(BJ688),26))))),BJ688)</f>
        <v>bj679</v>
      </c>
      <c r="BK689" s="897"/>
      <c r="BS689" s="664"/>
      <c r="BV689" s="899" t="str">
        <f>CONCATENATE(IF(COLUMN(BV688)&lt;=26,CHAR(96+COLUMN(BV688)),(CHAR(96+(ROUNDDOWN((COLUMN(BV688)-1)/26,0)))&amp;CHAR(96+IF(MOD(COLUMN(BV688),26)=0,26,MOD(COLUMN(BV688),26))))),BV688)</f>
        <v>bv679</v>
      </c>
      <c r="BW689" s="897"/>
      <c r="CE689" s="664"/>
      <c r="CH689" s="899" t="str">
        <f>CONCATENATE(IF(COLUMN(CH688)&lt;=26,CHAR(96+COLUMN(CH688)),(CHAR(96+(ROUNDDOWN((COLUMN(CH688)-1)/26,0)))&amp;CHAR(96+IF(MOD(COLUMN(CH688),26)=0,26,MOD(COLUMN(CH688),26))))),CH688)</f>
        <v>ch679</v>
      </c>
      <c r="CI689" s="897"/>
      <c r="CQ689" s="664"/>
      <c r="CT689" s="899" t="str">
        <f>CONCATENATE(IF(COLUMN(CT688)&lt;=26,CHAR(96+COLUMN(CT688)),(CHAR(96+(ROUNDDOWN((COLUMN(CT688)-1)/26,0)))&amp;CHAR(96+IF(MOD(COLUMN(CT688),26)=0,26,MOD(COLUMN(CT688),26))))),CT688)</f>
        <v>ct679</v>
      </c>
      <c r="CU689" s="897"/>
      <c r="DC689" s="664"/>
      <c r="DF689" s="899" t="str">
        <f>CONCATENATE(IF(COLUMN(DF688)&lt;=26,CHAR(96+COLUMN(DF688)),(CHAR(96+(ROUNDDOWN((COLUMN(DF688)-1)/26,0)))&amp;CHAR(96+IF(MOD(COLUMN(DF688),26)=0,26,MOD(COLUMN(DF688),26))))),DF688)</f>
        <v>df679</v>
      </c>
      <c r="DG689" s="897"/>
      <c r="DO689" s="664"/>
    </row>
    <row r="690" spans="2:119" hidden="1" x14ac:dyDescent="0.25">
      <c r="B690" s="899" t="str">
        <f>CONCATENATE(CHAR(64+COLUMN(C688)),B688)</f>
        <v>C679</v>
      </c>
      <c r="C690" s="897"/>
      <c r="K690" s="664"/>
      <c r="N690" s="899" t="str">
        <f>CONCATENATE(CHAR(64+COLUMN(O688)),N688)</f>
        <v>O679</v>
      </c>
      <c r="O690" s="897"/>
      <c r="U690" s="663"/>
      <c r="W690" s="664"/>
      <c r="Z690" s="899" t="str">
        <f>CONCATENATE(IF(COLUMN(AA688)&lt;=26,CHAR(96+COLUMN(AA688)),(CHAR(96+(ROUNDDOWN((COLUMN(AA688)-1)/26,0)))&amp;CHAR(96+IF(MOD(COLUMN(AA688),26)=0,26,MOD(COLUMN(AA688),26))))),Z688)</f>
        <v>aa679</v>
      </c>
      <c r="AA690" s="897"/>
      <c r="AB690" s="663"/>
      <c r="AC690" s="663"/>
      <c r="AD690" s="663"/>
      <c r="AE690" s="663"/>
      <c r="AF690" s="663"/>
      <c r="AG690" s="663"/>
      <c r="AH690" s="663"/>
      <c r="AI690" s="664"/>
      <c r="AL690" s="899" t="str">
        <f>CONCATENATE(IF(COLUMN(AM688)&lt;=26,CHAR(96+COLUMN(AM688)),(CHAR(96+(ROUNDDOWN((COLUMN(AM688)-1)/26,0)))&amp;CHAR(96+IF(MOD(COLUMN(AM688),26)=0,26,MOD(COLUMN(AM688),26))))),AL688)</f>
        <v>am679</v>
      </c>
      <c r="AM690" s="897"/>
      <c r="AN690" s="663"/>
      <c r="AU690" s="664"/>
      <c r="AX690" s="899" t="str">
        <f>CONCATENATE(IF(COLUMN(AY688)&lt;=26,CHAR(96+COLUMN(AY688)),(CHAR(96+(ROUNDDOWN((COLUMN(AY688)-1)/26,0)))&amp;CHAR(96+IF(MOD(COLUMN(AY688),26)=0,26,MOD(COLUMN(AY688),26))))),AX688)</f>
        <v>ay679</v>
      </c>
      <c r="AY690" s="897"/>
      <c r="BG690" s="664"/>
      <c r="BJ690" s="899" t="str">
        <f>CONCATENATE(IF(COLUMN(BK688)&lt;=26,CHAR(96+COLUMN(BK688)),(CHAR(96+(ROUNDDOWN((COLUMN(BK688)-1)/26,0)))&amp;CHAR(96+IF(MOD(COLUMN(BK688),26)=0,26,MOD(COLUMN(BK688),26))))),BJ688)</f>
        <v>bk679</v>
      </c>
      <c r="BK690" s="897"/>
      <c r="BS690" s="664"/>
      <c r="BV690" s="899" t="str">
        <f>CONCATENATE(IF(COLUMN(BW688)&lt;=26,CHAR(96+COLUMN(BW688)),(CHAR(96+(ROUNDDOWN((COLUMN(BW688)-1)/26,0)))&amp;CHAR(96+IF(MOD(COLUMN(BW688),26)=0,26,MOD(COLUMN(BW688),26))))),BV688)</f>
        <v>bw679</v>
      </c>
      <c r="BW690" s="897"/>
      <c r="CE690" s="664"/>
      <c r="CH690" s="899" t="str">
        <f>CONCATENATE(IF(COLUMN(CI688)&lt;=26,CHAR(96+COLUMN(CI688)),(CHAR(96+(ROUNDDOWN((COLUMN(CI688)-1)/26,0)))&amp;CHAR(96+IF(MOD(COLUMN(CI688),26)=0,26,MOD(COLUMN(CI688),26))))),CH688)</f>
        <v>ci679</v>
      </c>
      <c r="CI690" s="897"/>
      <c r="CQ690" s="664"/>
      <c r="CT690" s="899" t="str">
        <f>CONCATENATE(IF(COLUMN(CU688)&lt;=26,CHAR(96+COLUMN(CU688)),(CHAR(96+(ROUNDDOWN((COLUMN(CU688)-1)/26,0)))&amp;CHAR(96+IF(MOD(COLUMN(CU688),26)=0,26,MOD(COLUMN(CU688),26))))),CT688)</f>
        <v>cu679</v>
      </c>
      <c r="CU690" s="897"/>
      <c r="DC690" s="664"/>
      <c r="DF690" s="899" t="str">
        <f>CONCATENATE(IF(COLUMN(DG688)&lt;=26,CHAR(96+COLUMN(DG688)),(CHAR(96+(ROUNDDOWN((COLUMN(DG688)-1)/26,0)))&amp;CHAR(96+IF(MOD(COLUMN(DG688),26)=0,26,MOD(COLUMN(DG688),26))))),DF688)</f>
        <v>dg679</v>
      </c>
      <c r="DG690" s="897"/>
      <c r="DO690" s="664"/>
    </row>
    <row r="691" spans="2:119" hidden="1" x14ac:dyDescent="0.25">
      <c r="B691" s="668"/>
      <c r="C691" s="895"/>
      <c r="K691" s="664"/>
      <c r="N691" s="668"/>
      <c r="O691" s="895"/>
      <c r="U691" s="663"/>
      <c r="W691" s="664"/>
      <c r="Z691" s="668"/>
      <c r="AA691" s="895"/>
      <c r="AB691" s="663"/>
      <c r="AC691" s="663"/>
      <c r="AD691" s="663"/>
      <c r="AE691" s="663"/>
      <c r="AF691" s="663"/>
      <c r="AG691" s="663"/>
      <c r="AH691" s="663"/>
      <c r="AI691" s="664"/>
      <c r="AL691" s="668"/>
      <c r="AM691" s="895"/>
      <c r="AN691" s="663"/>
      <c r="AU691" s="664"/>
      <c r="AX691" s="668"/>
      <c r="AY691" s="895"/>
      <c r="BG691" s="664"/>
      <c r="BJ691" s="668"/>
      <c r="BK691" s="895"/>
      <c r="BS691" s="664"/>
      <c r="BV691" s="668"/>
      <c r="BW691" s="895"/>
      <c r="CE691" s="664"/>
      <c r="CH691" s="668"/>
      <c r="CI691" s="895"/>
      <c r="CQ691" s="664"/>
      <c r="CT691" s="668"/>
      <c r="CU691" s="895"/>
      <c r="DC691" s="664"/>
      <c r="DF691" s="668"/>
      <c r="DG691" s="895"/>
      <c r="DO691" s="664"/>
    </row>
    <row r="692" spans="2:119" hidden="1" x14ac:dyDescent="0.25">
      <c r="B692" s="896">
        <f>B677</f>
        <v>39113</v>
      </c>
      <c r="C692" s="897">
        <f>C677</f>
        <v>0</v>
      </c>
      <c r="K692" s="664"/>
      <c r="N692" s="896">
        <f>N677</f>
        <v>39113</v>
      </c>
      <c r="O692" s="897">
        <f>O677</f>
        <v>0</v>
      </c>
      <c r="U692" s="663"/>
      <c r="W692" s="664"/>
      <c r="Z692" s="896">
        <f>Z677</f>
        <v>39113</v>
      </c>
      <c r="AA692" s="897">
        <f>AA677</f>
        <v>0</v>
      </c>
      <c r="AB692" s="663"/>
      <c r="AC692" s="663"/>
      <c r="AD692" s="663"/>
      <c r="AE692" s="663"/>
      <c r="AF692" s="663"/>
      <c r="AG692" s="663"/>
      <c r="AH692" s="663"/>
      <c r="AI692" s="664"/>
      <c r="AL692" s="896">
        <f>AL677</f>
        <v>39113</v>
      </c>
      <c r="AM692" s="897">
        <f>AM677</f>
        <v>0</v>
      </c>
      <c r="AN692" s="663"/>
      <c r="AU692" s="664"/>
      <c r="AX692" s="896">
        <f>AX677</f>
        <v>39113</v>
      </c>
      <c r="AY692" s="897">
        <f>AY677</f>
        <v>0</v>
      </c>
      <c r="BG692" s="664"/>
      <c r="BJ692" s="896">
        <f>BJ677</f>
        <v>39113</v>
      </c>
      <c r="BK692" s="897">
        <f>BK677</f>
        <v>0</v>
      </c>
      <c r="BS692" s="664"/>
      <c r="BV692" s="896">
        <f>BV677</f>
        <v>39113</v>
      </c>
      <c r="BW692" s="897">
        <f>BW677</f>
        <v>0</v>
      </c>
      <c r="CE692" s="664"/>
      <c r="CH692" s="896">
        <f>CH677</f>
        <v>39113</v>
      </c>
      <c r="CI692" s="897">
        <f>CI677</f>
        <v>0</v>
      </c>
      <c r="CQ692" s="664"/>
      <c r="CT692" s="896">
        <f>CT677</f>
        <v>39113</v>
      </c>
      <c r="CU692" s="897">
        <f>CU677</f>
        <v>0</v>
      </c>
      <c r="DC692" s="664"/>
      <c r="DF692" s="896">
        <f>DF677</f>
        <v>39113</v>
      </c>
      <c r="DG692" s="897">
        <f>DG677</f>
        <v>0</v>
      </c>
      <c r="DO692" s="664"/>
    </row>
    <row r="693" spans="2:119" hidden="1" x14ac:dyDescent="0.25">
      <c r="B693" s="896">
        <f t="shared" ref="B693:C693" si="1961">B678</f>
        <v>39478</v>
      </c>
      <c r="C693" s="897">
        <f t="shared" si="1961"/>
        <v>0</v>
      </c>
      <c r="K693" s="664"/>
      <c r="N693" s="896">
        <f t="shared" ref="N693:O693" si="1962">N678</f>
        <v>39478</v>
      </c>
      <c r="O693" s="897">
        <f t="shared" si="1962"/>
        <v>0</v>
      </c>
      <c r="U693" s="663"/>
      <c r="W693" s="664"/>
      <c r="Z693" s="896">
        <f t="shared" ref="Z693:AA693" si="1963">Z678</f>
        <v>39478</v>
      </c>
      <c r="AA693" s="897">
        <f t="shared" si="1963"/>
        <v>0</v>
      </c>
      <c r="AB693" s="663"/>
      <c r="AC693" s="663"/>
      <c r="AD693" s="663"/>
      <c r="AE693" s="663"/>
      <c r="AF693" s="663"/>
      <c r="AG693" s="663"/>
      <c r="AH693" s="663"/>
      <c r="AI693" s="664"/>
      <c r="AL693" s="896">
        <f t="shared" ref="AL693:AM693" si="1964">AL678</f>
        <v>39478</v>
      </c>
      <c r="AM693" s="897">
        <f t="shared" si="1964"/>
        <v>0</v>
      </c>
      <c r="AN693" s="663"/>
      <c r="AU693" s="664"/>
      <c r="AX693" s="896">
        <f t="shared" ref="AX693:AY693" si="1965">AX678</f>
        <v>39478</v>
      </c>
      <c r="AY693" s="897">
        <f t="shared" si="1965"/>
        <v>0</v>
      </c>
      <c r="BG693" s="664"/>
      <c r="BJ693" s="896">
        <f t="shared" ref="BJ693:BK693" si="1966">BJ678</f>
        <v>39478</v>
      </c>
      <c r="BK693" s="897">
        <f t="shared" si="1966"/>
        <v>0</v>
      </c>
      <c r="BS693" s="664"/>
      <c r="BV693" s="896">
        <f t="shared" ref="BV693:BW693" si="1967">BV678</f>
        <v>39478</v>
      </c>
      <c r="BW693" s="897">
        <f t="shared" si="1967"/>
        <v>0</v>
      </c>
      <c r="CE693" s="664"/>
      <c r="CH693" s="896">
        <f t="shared" ref="CH693:CI693" si="1968">CH678</f>
        <v>39478</v>
      </c>
      <c r="CI693" s="897">
        <f t="shared" si="1968"/>
        <v>0</v>
      </c>
      <c r="CQ693" s="664"/>
      <c r="CT693" s="896">
        <f t="shared" ref="CT693:CU693" si="1969">CT678</f>
        <v>39478</v>
      </c>
      <c r="CU693" s="897">
        <f t="shared" si="1969"/>
        <v>0</v>
      </c>
      <c r="DC693" s="664"/>
      <c r="DF693" s="896">
        <f t="shared" ref="DF693:DG693" si="1970">DF678</f>
        <v>39478</v>
      </c>
      <c r="DG693" s="897">
        <f t="shared" si="1970"/>
        <v>0</v>
      </c>
      <c r="DO693" s="664"/>
    </row>
    <row r="694" spans="2:119" hidden="1" x14ac:dyDescent="0.25">
      <c r="B694" s="896">
        <f t="shared" ref="B694:C694" si="1971">B679</f>
        <v>39843</v>
      </c>
      <c r="C694" s="897">
        <f t="shared" si="1971"/>
        <v>-2500000</v>
      </c>
      <c r="K694" s="664"/>
      <c r="N694" s="896">
        <f t="shared" ref="N694:O694" si="1972">N679</f>
        <v>39843</v>
      </c>
      <c r="O694" s="897">
        <f t="shared" si="1972"/>
        <v>-2500000</v>
      </c>
      <c r="U694" s="663"/>
      <c r="W694" s="664"/>
      <c r="Z694" s="896">
        <f t="shared" ref="Z694:AA694" si="1973">Z679</f>
        <v>39843</v>
      </c>
      <c r="AA694" s="897">
        <f t="shared" si="1973"/>
        <v>-2500000</v>
      </c>
      <c r="AB694" s="663"/>
      <c r="AC694" s="663"/>
      <c r="AD694" s="663"/>
      <c r="AE694" s="663"/>
      <c r="AF694" s="663"/>
      <c r="AG694" s="663"/>
      <c r="AH694" s="663"/>
      <c r="AI694" s="664"/>
      <c r="AL694" s="896">
        <f t="shared" ref="AL694:AM694" si="1974">AL679</f>
        <v>39843</v>
      </c>
      <c r="AM694" s="897">
        <f t="shared" si="1974"/>
        <v>-2500000</v>
      </c>
      <c r="AN694" s="663"/>
      <c r="AU694" s="664"/>
      <c r="AX694" s="896">
        <f t="shared" ref="AX694:AY694" si="1975">AX679</f>
        <v>39843</v>
      </c>
      <c r="AY694" s="897">
        <f t="shared" si="1975"/>
        <v>-2500000</v>
      </c>
      <c r="BG694" s="664"/>
      <c r="BJ694" s="896">
        <f t="shared" ref="BJ694:BK694" si="1976">BJ679</f>
        <v>39843</v>
      </c>
      <c r="BK694" s="897">
        <f t="shared" si="1976"/>
        <v>-2500000</v>
      </c>
      <c r="BS694" s="664"/>
      <c r="BV694" s="896">
        <f t="shared" ref="BV694:BW694" si="1977">BV679</f>
        <v>39843</v>
      </c>
      <c r="BW694" s="897">
        <f t="shared" si="1977"/>
        <v>-2500000</v>
      </c>
      <c r="CE694" s="664"/>
      <c r="CH694" s="896">
        <f t="shared" ref="CH694:CI694" si="1978">CH679</f>
        <v>39843</v>
      </c>
      <c r="CI694" s="897">
        <f t="shared" si="1978"/>
        <v>-2500000</v>
      </c>
      <c r="CQ694" s="664"/>
      <c r="CT694" s="896">
        <f t="shared" ref="CT694:CU694" si="1979">CT679</f>
        <v>39843</v>
      </c>
      <c r="CU694" s="897">
        <f t="shared" si="1979"/>
        <v>-2500000</v>
      </c>
      <c r="DC694" s="664"/>
      <c r="DF694" s="896">
        <f t="shared" ref="DF694:DG694" si="1980">DF679</f>
        <v>39843</v>
      </c>
      <c r="DG694" s="897">
        <f t="shared" si="1980"/>
        <v>-2500000</v>
      </c>
      <c r="DO694" s="664"/>
    </row>
    <row r="695" spans="2:119" hidden="1" x14ac:dyDescent="0.25">
      <c r="B695" s="896">
        <f t="shared" ref="B695:C695" si="1981">B680</f>
        <v>39843</v>
      </c>
      <c r="C695" s="897">
        <f t="shared" si="1981"/>
        <v>-6666666.666666667</v>
      </c>
      <c r="K695" s="664"/>
      <c r="N695" s="896">
        <f t="shared" ref="N695:O695" si="1982">N680</f>
        <v>39843</v>
      </c>
      <c r="O695" s="897">
        <f t="shared" si="1982"/>
        <v>-6666666.666666667</v>
      </c>
      <c r="U695" s="663"/>
      <c r="W695" s="664"/>
      <c r="Z695" s="896">
        <f t="shared" ref="Z695:AA695" si="1983">Z680</f>
        <v>39843</v>
      </c>
      <c r="AA695" s="897">
        <f t="shared" si="1983"/>
        <v>-6666666.666666667</v>
      </c>
      <c r="AB695" s="663"/>
      <c r="AC695" s="663"/>
      <c r="AD695" s="663"/>
      <c r="AE695" s="663"/>
      <c r="AF695" s="663"/>
      <c r="AG695" s="663"/>
      <c r="AH695" s="663"/>
      <c r="AI695" s="664"/>
      <c r="AL695" s="896">
        <f t="shared" ref="AL695:AM695" si="1984">AL680</f>
        <v>39843</v>
      </c>
      <c r="AM695" s="897">
        <f t="shared" si="1984"/>
        <v>-6666666.666666667</v>
      </c>
      <c r="AN695" s="663"/>
      <c r="AU695" s="664"/>
      <c r="AX695" s="896">
        <f t="shared" ref="AX695:AY695" si="1985">AX680</f>
        <v>39843</v>
      </c>
      <c r="AY695" s="897">
        <f t="shared" si="1985"/>
        <v>-6666666.666666667</v>
      </c>
      <c r="BG695" s="664"/>
      <c r="BJ695" s="896">
        <f t="shared" ref="BJ695:BK695" si="1986">BJ680</f>
        <v>39843</v>
      </c>
      <c r="BK695" s="897">
        <f t="shared" si="1986"/>
        <v>-6666666.666666667</v>
      </c>
      <c r="BS695" s="664"/>
      <c r="BV695" s="896">
        <f t="shared" ref="BV695:BW695" si="1987">BV680</f>
        <v>39843</v>
      </c>
      <c r="BW695" s="897">
        <f t="shared" si="1987"/>
        <v>-6666666.666666667</v>
      </c>
      <c r="CE695" s="664"/>
      <c r="CH695" s="896">
        <f t="shared" ref="CH695:CI695" si="1988">CH680</f>
        <v>39843</v>
      </c>
      <c r="CI695" s="897">
        <f t="shared" si="1988"/>
        <v>-6666666.666666667</v>
      </c>
      <c r="CQ695" s="664"/>
      <c r="CT695" s="896">
        <f t="shared" ref="CT695:CU695" si="1989">CT680</f>
        <v>39843</v>
      </c>
      <c r="CU695" s="897">
        <f t="shared" si="1989"/>
        <v>-6666666.666666667</v>
      </c>
      <c r="DC695" s="664"/>
      <c r="DF695" s="896">
        <f t="shared" ref="DF695:DG695" si="1990">DF680</f>
        <v>39843</v>
      </c>
      <c r="DG695" s="897">
        <f t="shared" si="1990"/>
        <v>-6666666.666666667</v>
      </c>
      <c r="DO695" s="664"/>
    </row>
    <row r="696" spans="2:119" hidden="1" x14ac:dyDescent="0.25">
      <c r="B696" s="896">
        <f t="shared" ref="B696:C696" si="1991">B681</f>
        <v>39843</v>
      </c>
      <c r="C696" s="897">
        <f t="shared" si="1991"/>
        <v>0</v>
      </c>
      <c r="K696" s="664"/>
      <c r="N696" s="896">
        <f t="shared" ref="N696:O696" si="1992">N681</f>
        <v>39843</v>
      </c>
      <c r="O696" s="897">
        <f t="shared" si="1992"/>
        <v>0</v>
      </c>
      <c r="U696" s="663"/>
      <c r="W696" s="664"/>
      <c r="Z696" s="896">
        <f t="shared" ref="Z696:AA696" si="1993">Z681</f>
        <v>39843</v>
      </c>
      <c r="AA696" s="897">
        <f t="shared" si="1993"/>
        <v>0</v>
      </c>
      <c r="AB696" s="663"/>
      <c r="AC696" s="663"/>
      <c r="AD696" s="663"/>
      <c r="AE696" s="663"/>
      <c r="AF696" s="663"/>
      <c r="AG696" s="663"/>
      <c r="AH696" s="663"/>
      <c r="AI696" s="664"/>
      <c r="AL696" s="896">
        <f t="shared" ref="AL696:AM696" si="1994">AL681</f>
        <v>39843</v>
      </c>
      <c r="AM696" s="897">
        <f t="shared" si="1994"/>
        <v>0</v>
      </c>
      <c r="AN696" s="663"/>
      <c r="AU696" s="664"/>
      <c r="AX696" s="896">
        <f t="shared" ref="AX696:AY696" si="1995">AX681</f>
        <v>39843</v>
      </c>
      <c r="AY696" s="897">
        <f t="shared" si="1995"/>
        <v>0</v>
      </c>
      <c r="BG696" s="664"/>
      <c r="BJ696" s="896">
        <f t="shared" ref="BJ696:BK696" si="1996">BJ681</f>
        <v>39843</v>
      </c>
      <c r="BK696" s="897">
        <f t="shared" si="1996"/>
        <v>0</v>
      </c>
      <c r="BS696" s="664"/>
      <c r="BV696" s="896">
        <f t="shared" ref="BV696:BW696" si="1997">BV681</f>
        <v>39843</v>
      </c>
      <c r="BW696" s="897">
        <f t="shared" si="1997"/>
        <v>0</v>
      </c>
      <c r="CE696" s="664"/>
      <c r="CH696" s="896">
        <f t="shared" ref="CH696:CI696" si="1998">CH681</f>
        <v>39843</v>
      </c>
      <c r="CI696" s="897">
        <f t="shared" si="1998"/>
        <v>0</v>
      </c>
      <c r="CQ696" s="664"/>
      <c r="CT696" s="896">
        <f t="shared" ref="CT696:CU696" si="1999">CT681</f>
        <v>39843</v>
      </c>
      <c r="CU696" s="897">
        <f t="shared" si="1999"/>
        <v>0</v>
      </c>
      <c r="DC696" s="664"/>
      <c r="DF696" s="896">
        <f t="shared" ref="DF696:DG696" si="2000">DF681</f>
        <v>39843</v>
      </c>
      <c r="DG696" s="897">
        <f t="shared" si="2000"/>
        <v>0</v>
      </c>
      <c r="DO696" s="664"/>
    </row>
    <row r="697" spans="2:119" hidden="1" x14ac:dyDescent="0.25">
      <c r="B697" s="896">
        <f t="shared" ref="B697:C697" si="2001">B682</f>
        <v>39843</v>
      </c>
      <c r="C697" s="897">
        <f t="shared" si="2001"/>
        <v>0</v>
      </c>
      <c r="K697" s="664"/>
      <c r="N697" s="896">
        <f t="shared" ref="N697:O697" si="2002">N682</f>
        <v>39843</v>
      </c>
      <c r="O697" s="897">
        <f t="shared" si="2002"/>
        <v>0</v>
      </c>
      <c r="U697" s="663"/>
      <c r="W697" s="664"/>
      <c r="Z697" s="896">
        <f t="shared" ref="Z697:AA697" si="2003">Z682</f>
        <v>39843</v>
      </c>
      <c r="AA697" s="897">
        <f t="shared" si="2003"/>
        <v>0</v>
      </c>
      <c r="AB697" s="663"/>
      <c r="AC697" s="663"/>
      <c r="AD697" s="663"/>
      <c r="AE697" s="663"/>
      <c r="AF697" s="663"/>
      <c r="AG697" s="663"/>
      <c r="AH697" s="663"/>
      <c r="AI697" s="664"/>
      <c r="AL697" s="896">
        <f t="shared" ref="AL697:AM697" si="2004">AL682</f>
        <v>39843</v>
      </c>
      <c r="AM697" s="897">
        <f t="shared" si="2004"/>
        <v>0</v>
      </c>
      <c r="AN697" s="663"/>
      <c r="AU697" s="664"/>
      <c r="AX697" s="896">
        <f t="shared" ref="AX697:AY697" si="2005">AX682</f>
        <v>39843</v>
      </c>
      <c r="AY697" s="897">
        <f t="shared" si="2005"/>
        <v>0</v>
      </c>
      <c r="BG697" s="664"/>
      <c r="BJ697" s="896">
        <f t="shared" ref="BJ697:BK697" si="2006">BJ682</f>
        <v>39843</v>
      </c>
      <c r="BK697" s="897">
        <f t="shared" si="2006"/>
        <v>0</v>
      </c>
      <c r="BS697" s="664"/>
      <c r="BV697" s="896">
        <f t="shared" ref="BV697:BW697" si="2007">BV682</f>
        <v>39843</v>
      </c>
      <c r="BW697" s="897">
        <f t="shared" si="2007"/>
        <v>0</v>
      </c>
      <c r="CE697" s="664"/>
      <c r="CH697" s="896">
        <f t="shared" ref="CH697:CI697" si="2008">CH682</f>
        <v>39843</v>
      </c>
      <c r="CI697" s="897">
        <f t="shared" si="2008"/>
        <v>0</v>
      </c>
      <c r="CQ697" s="664"/>
      <c r="CT697" s="896">
        <f t="shared" ref="CT697:CU697" si="2009">CT682</f>
        <v>39843</v>
      </c>
      <c r="CU697" s="897">
        <f t="shared" si="2009"/>
        <v>0</v>
      </c>
      <c r="DC697" s="664"/>
      <c r="DF697" s="896">
        <f t="shared" ref="DF697:DG697" si="2010">DF682</f>
        <v>39843</v>
      </c>
      <c r="DG697" s="897">
        <f t="shared" si="2010"/>
        <v>0</v>
      </c>
      <c r="DO697" s="664"/>
    </row>
    <row r="698" spans="2:119" hidden="1" x14ac:dyDescent="0.25">
      <c r="B698" s="896">
        <f t="shared" ref="B698:C698" si="2011">B683</f>
        <v>39843</v>
      </c>
      <c r="C698" s="897">
        <f t="shared" si="2011"/>
        <v>0</v>
      </c>
      <c r="K698" s="664"/>
      <c r="N698" s="896">
        <f t="shared" ref="N698:O698" si="2012">N683</f>
        <v>39843</v>
      </c>
      <c r="O698" s="897">
        <f t="shared" si="2012"/>
        <v>0</v>
      </c>
      <c r="U698" s="663"/>
      <c r="W698" s="664"/>
      <c r="Z698" s="896">
        <f t="shared" ref="Z698:AA698" si="2013">Z683</f>
        <v>39843</v>
      </c>
      <c r="AA698" s="897">
        <f t="shared" si="2013"/>
        <v>0</v>
      </c>
      <c r="AB698" s="663"/>
      <c r="AC698" s="663"/>
      <c r="AD698" s="663"/>
      <c r="AE698" s="663"/>
      <c r="AF698" s="663"/>
      <c r="AG698" s="663"/>
      <c r="AH698" s="663"/>
      <c r="AI698" s="664"/>
      <c r="AL698" s="896">
        <f t="shared" ref="AL698:AM698" si="2014">AL683</f>
        <v>39843</v>
      </c>
      <c r="AM698" s="897">
        <f t="shared" si="2014"/>
        <v>0</v>
      </c>
      <c r="AN698" s="663"/>
      <c r="AU698" s="664"/>
      <c r="AX698" s="896">
        <f t="shared" ref="AX698:AY698" si="2015">AX683</f>
        <v>39843</v>
      </c>
      <c r="AY698" s="897">
        <f t="shared" si="2015"/>
        <v>0</v>
      </c>
      <c r="BG698" s="664"/>
      <c r="BJ698" s="896">
        <f t="shared" ref="BJ698:BK698" si="2016">BJ683</f>
        <v>39843</v>
      </c>
      <c r="BK698" s="897">
        <f t="shared" si="2016"/>
        <v>0</v>
      </c>
      <c r="BS698" s="664"/>
      <c r="BV698" s="896">
        <f t="shared" ref="BV698:BW698" si="2017">BV683</f>
        <v>39843</v>
      </c>
      <c r="BW698" s="897">
        <f t="shared" si="2017"/>
        <v>0</v>
      </c>
      <c r="CE698" s="664"/>
      <c r="CH698" s="896">
        <f t="shared" ref="CH698:CI698" si="2018">CH683</f>
        <v>39843</v>
      </c>
      <c r="CI698" s="897">
        <f t="shared" si="2018"/>
        <v>0</v>
      </c>
      <c r="CQ698" s="664"/>
      <c r="CT698" s="896">
        <f t="shared" ref="CT698:CU698" si="2019">CT683</f>
        <v>39843</v>
      </c>
      <c r="CU698" s="897">
        <f t="shared" si="2019"/>
        <v>0</v>
      </c>
      <c r="DC698" s="664"/>
      <c r="DF698" s="896">
        <f t="shared" ref="DF698:DG698" si="2020">DF683</f>
        <v>39843</v>
      </c>
      <c r="DG698" s="897">
        <f t="shared" si="2020"/>
        <v>0</v>
      </c>
      <c r="DO698" s="664"/>
    </row>
    <row r="699" spans="2:119" hidden="1" x14ac:dyDescent="0.25">
      <c r="B699" s="896">
        <f t="shared" ref="B699:C699" si="2021">B684</f>
        <v>39843</v>
      </c>
      <c r="C699" s="897">
        <f t="shared" si="2021"/>
        <v>0</v>
      </c>
      <c r="K699" s="664"/>
      <c r="N699" s="896">
        <f t="shared" ref="N699:O699" si="2022">N684</f>
        <v>39843</v>
      </c>
      <c r="O699" s="897">
        <f t="shared" si="2022"/>
        <v>0</v>
      </c>
      <c r="U699" s="663"/>
      <c r="W699" s="664"/>
      <c r="Z699" s="896">
        <f t="shared" ref="Z699:AA699" si="2023">Z684</f>
        <v>39843</v>
      </c>
      <c r="AA699" s="897">
        <f t="shared" si="2023"/>
        <v>0</v>
      </c>
      <c r="AB699" s="663"/>
      <c r="AC699" s="663"/>
      <c r="AD699" s="663"/>
      <c r="AE699" s="663"/>
      <c r="AF699" s="663"/>
      <c r="AG699" s="663"/>
      <c r="AH699" s="663"/>
      <c r="AI699" s="664"/>
      <c r="AL699" s="896">
        <f t="shared" ref="AL699:AM699" si="2024">AL684</f>
        <v>39843</v>
      </c>
      <c r="AM699" s="897">
        <f t="shared" si="2024"/>
        <v>0</v>
      </c>
      <c r="AN699" s="663"/>
      <c r="AU699" s="664"/>
      <c r="AX699" s="896">
        <f t="shared" ref="AX699:AY699" si="2025">AX684</f>
        <v>39843</v>
      </c>
      <c r="AY699" s="897">
        <f t="shared" si="2025"/>
        <v>0</v>
      </c>
      <c r="BG699" s="664"/>
      <c r="BJ699" s="896">
        <f t="shared" ref="BJ699:BK699" si="2026">BJ684</f>
        <v>39843</v>
      </c>
      <c r="BK699" s="897">
        <f t="shared" si="2026"/>
        <v>0</v>
      </c>
      <c r="BS699" s="664"/>
      <c r="BV699" s="896">
        <f t="shared" ref="BV699:BW699" si="2027">BV684</f>
        <v>39843</v>
      </c>
      <c r="BW699" s="897">
        <f t="shared" si="2027"/>
        <v>0</v>
      </c>
      <c r="CE699" s="664"/>
      <c r="CH699" s="896">
        <f t="shared" ref="CH699:CI699" si="2028">CH684</f>
        <v>39843</v>
      </c>
      <c r="CI699" s="897">
        <f t="shared" si="2028"/>
        <v>0</v>
      </c>
      <c r="CQ699" s="664"/>
      <c r="CT699" s="896">
        <f t="shared" ref="CT699:CU699" si="2029">CT684</f>
        <v>39843</v>
      </c>
      <c r="CU699" s="897">
        <f t="shared" si="2029"/>
        <v>0</v>
      </c>
      <c r="DC699" s="664"/>
      <c r="DF699" s="896">
        <f t="shared" ref="DF699:DG699" si="2030">DF684</f>
        <v>39843</v>
      </c>
      <c r="DG699" s="897">
        <f t="shared" si="2030"/>
        <v>0</v>
      </c>
      <c r="DO699" s="664"/>
    </row>
    <row r="700" spans="2:119" hidden="1" x14ac:dyDescent="0.25">
      <c r="B700" s="896">
        <f t="shared" ref="B700" si="2031">B685</f>
        <v>39843</v>
      </c>
      <c r="C700" s="897">
        <f>C685</f>
        <v>0</v>
      </c>
      <c r="K700" s="664"/>
      <c r="N700" s="896">
        <f t="shared" ref="N700" si="2032">N685</f>
        <v>39843</v>
      </c>
      <c r="O700" s="897">
        <f>O685</f>
        <v>0</v>
      </c>
      <c r="U700" s="663"/>
      <c r="W700" s="664"/>
      <c r="Z700" s="896">
        <f t="shared" ref="Z700" si="2033">Z685</f>
        <v>39843</v>
      </c>
      <c r="AA700" s="897">
        <f>AA685</f>
        <v>0</v>
      </c>
      <c r="AB700" s="663"/>
      <c r="AC700" s="663"/>
      <c r="AD700" s="663"/>
      <c r="AE700" s="663"/>
      <c r="AF700" s="663"/>
      <c r="AG700" s="663"/>
      <c r="AH700" s="663"/>
      <c r="AI700" s="664"/>
      <c r="AL700" s="896">
        <f t="shared" ref="AL700" si="2034">AL685</f>
        <v>39843</v>
      </c>
      <c r="AM700" s="897">
        <f>AM685</f>
        <v>0</v>
      </c>
      <c r="AN700" s="663"/>
      <c r="AU700" s="664"/>
      <c r="AX700" s="896">
        <f t="shared" ref="AX700" si="2035">AX685</f>
        <v>39843</v>
      </c>
      <c r="AY700" s="897">
        <f>AY685</f>
        <v>0</v>
      </c>
      <c r="BG700" s="664"/>
      <c r="BJ700" s="896">
        <f t="shared" ref="BJ700" si="2036">BJ685</f>
        <v>39843</v>
      </c>
      <c r="BK700" s="897">
        <f>BK685</f>
        <v>0</v>
      </c>
      <c r="BS700" s="664"/>
      <c r="BV700" s="896">
        <f t="shared" ref="BV700" si="2037">BV685</f>
        <v>39843</v>
      </c>
      <c r="BW700" s="897">
        <f>BW685</f>
        <v>0</v>
      </c>
      <c r="CE700" s="664"/>
      <c r="CH700" s="896">
        <f t="shared" ref="CH700" si="2038">CH685</f>
        <v>39843</v>
      </c>
      <c r="CI700" s="897">
        <f>CI685</f>
        <v>0</v>
      </c>
      <c r="CQ700" s="664"/>
      <c r="CT700" s="896">
        <f t="shared" ref="CT700" si="2039">CT685</f>
        <v>39843</v>
      </c>
      <c r="CU700" s="897">
        <f>CU685</f>
        <v>0</v>
      </c>
      <c r="DC700" s="664"/>
      <c r="DF700" s="896">
        <f t="shared" ref="DF700" si="2040">DF685</f>
        <v>39843</v>
      </c>
      <c r="DG700" s="897">
        <f>DG685</f>
        <v>0</v>
      </c>
      <c r="DO700" s="664"/>
    </row>
    <row r="701" spans="2:119" hidden="1" x14ac:dyDescent="0.25">
      <c r="B701" s="896">
        <f t="shared" ref="B701:C701" si="2041">B686</f>
        <v>39843</v>
      </c>
      <c r="C701" s="897">
        <f t="shared" si="2041"/>
        <v>0</v>
      </c>
      <c r="K701" s="664"/>
      <c r="N701" s="896">
        <f t="shared" ref="N701:O701" si="2042">N686</f>
        <v>39843</v>
      </c>
      <c r="O701" s="897">
        <f t="shared" si="2042"/>
        <v>0</v>
      </c>
      <c r="U701" s="663"/>
      <c r="W701" s="664"/>
      <c r="Z701" s="896">
        <f t="shared" ref="Z701:AA701" si="2043">Z686</f>
        <v>39843</v>
      </c>
      <c r="AA701" s="897">
        <f t="shared" si="2043"/>
        <v>0</v>
      </c>
      <c r="AB701" s="663"/>
      <c r="AC701" s="663"/>
      <c r="AD701" s="663"/>
      <c r="AE701" s="663"/>
      <c r="AF701" s="663"/>
      <c r="AG701" s="663"/>
      <c r="AH701" s="663"/>
      <c r="AI701" s="664"/>
      <c r="AL701" s="896">
        <f t="shared" ref="AL701:AM701" si="2044">AL686</f>
        <v>39843</v>
      </c>
      <c r="AM701" s="897">
        <f t="shared" si="2044"/>
        <v>0</v>
      </c>
      <c r="AN701" s="663"/>
      <c r="AU701" s="664"/>
      <c r="AX701" s="896">
        <f t="shared" ref="AX701:AY701" si="2045">AX686</f>
        <v>39843</v>
      </c>
      <c r="AY701" s="897">
        <f t="shared" si="2045"/>
        <v>0</v>
      </c>
      <c r="BG701" s="664"/>
      <c r="BJ701" s="896">
        <f t="shared" ref="BJ701:BK701" si="2046">BJ686</f>
        <v>39843</v>
      </c>
      <c r="BK701" s="897">
        <f t="shared" si="2046"/>
        <v>0</v>
      </c>
      <c r="BS701" s="664"/>
      <c r="BV701" s="896">
        <f t="shared" ref="BV701:BW701" si="2047">BV686</f>
        <v>39843</v>
      </c>
      <c r="BW701" s="897">
        <f t="shared" si="2047"/>
        <v>0</v>
      </c>
      <c r="CE701" s="664"/>
      <c r="CH701" s="896">
        <f t="shared" ref="CH701:CI701" si="2048">CH686</f>
        <v>39843</v>
      </c>
      <c r="CI701" s="897">
        <f t="shared" si="2048"/>
        <v>0</v>
      </c>
      <c r="CQ701" s="664"/>
      <c r="CT701" s="896">
        <f t="shared" ref="CT701:CU701" si="2049">CT686</f>
        <v>39843</v>
      </c>
      <c r="CU701" s="897">
        <f t="shared" si="2049"/>
        <v>0</v>
      </c>
      <c r="DC701" s="664"/>
      <c r="DF701" s="896">
        <f t="shared" ref="DF701:DG701" si="2050">DF686</f>
        <v>39843</v>
      </c>
      <c r="DG701" s="897">
        <f t="shared" si="2050"/>
        <v>0</v>
      </c>
      <c r="DO701" s="664"/>
    </row>
    <row r="702" spans="2:119" hidden="1" x14ac:dyDescent="0.25">
      <c r="B702" s="896">
        <f>B687+$C$56</f>
        <v>41179</v>
      </c>
      <c r="C702" s="897">
        <f ca="1">C687</f>
        <v>0</v>
      </c>
      <c r="K702" s="664"/>
      <c r="N702" s="896">
        <f>N687+$C$56</f>
        <v>41179</v>
      </c>
      <c r="O702" s="897">
        <f ca="1">O687</f>
        <v>0</v>
      </c>
      <c r="U702" s="663"/>
      <c r="W702" s="664"/>
      <c r="Z702" s="896">
        <f>Z687+$C$56</f>
        <v>41179</v>
      </c>
      <c r="AA702" s="897">
        <f ca="1">AA687</f>
        <v>0</v>
      </c>
      <c r="AB702" s="663"/>
      <c r="AC702" s="663"/>
      <c r="AD702" s="663"/>
      <c r="AE702" s="663"/>
      <c r="AF702" s="663"/>
      <c r="AG702" s="663"/>
      <c r="AH702" s="663"/>
      <c r="AI702" s="664"/>
      <c r="AL702" s="896">
        <f>AL687+$C$56</f>
        <v>41179</v>
      </c>
      <c r="AM702" s="897">
        <f ca="1">AM687</f>
        <v>0</v>
      </c>
      <c r="AN702" s="663"/>
      <c r="AU702" s="664"/>
      <c r="AX702" s="896">
        <f>AX687+$C$56</f>
        <v>41179</v>
      </c>
      <c r="AY702" s="897">
        <f ca="1">AY687</f>
        <v>0</v>
      </c>
      <c r="BG702" s="664"/>
      <c r="BJ702" s="896">
        <f>BJ687+$C$56</f>
        <v>41179</v>
      </c>
      <c r="BK702" s="897">
        <f ca="1">BK687</f>
        <v>0</v>
      </c>
      <c r="BS702" s="664"/>
      <c r="BV702" s="896">
        <f>BV687+$C$56</f>
        <v>41179</v>
      </c>
      <c r="BW702" s="897">
        <f ca="1">BW687</f>
        <v>0</v>
      </c>
      <c r="CE702" s="664"/>
      <c r="CH702" s="896">
        <f>CH687+$C$56</f>
        <v>41179</v>
      </c>
      <c r="CI702" s="897">
        <f ca="1">CI687</f>
        <v>0</v>
      </c>
      <c r="CQ702" s="664"/>
      <c r="CT702" s="896">
        <f>CT687+$C$56</f>
        <v>41179</v>
      </c>
      <c r="CU702" s="897">
        <f ca="1">CU687</f>
        <v>0</v>
      </c>
      <c r="DC702" s="664"/>
      <c r="DF702" s="896">
        <f>DF687+$C$56</f>
        <v>41179</v>
      </c>
      <c r="DG702" s="897">
        <f ca="1">DG687</f>
        <v>0</v>
      </c>
      <c r="DO702" s="664"/>
    </row>
    <row r="703" spans="2:119" hidden="1" x14ac:dyDescent="0.25">
      <c r="B703" s="898">
        <f>IF(C692&lt;&gt;0,ROW(C692),IF(C693&lt;&gt;0,ROW(C693),IF(C694&lt;&gt;0,ROW(C694),IF(C695&lt;&gt;0,ROW(C695),IF(C696&lt;&gt;0,ROW(C696),IF(C697&lt;&gt;0,ROW(C697),IF(C698&lt;&gt;0,ROW(C698),IF(C699&lt;&gt;0,ROW(C699),IF(C700&lt;&gt;0,ROW(C700),IF(C701&lt;&gt;0,ROW(C701)))))))))))</f>
        <v>694</v>
      </c>
      <c r="C703" s="882" t="e">
        <f ca="1">IF(ISERROR(XIRR(INDIRECT(B705):C702,INDIRECT(B704):B702,-20%)),XIRR(INDIRECT(B705):C702,INDIRECT(B704):B702,20%),"N/A")</f>
        <v>#NUM!</v>
      </c>
      <c r="K703" s="664"/>
      <c r="N703" s="898">
        <f>IF(O692&lt;&gt;0,ROW(O692),IF(O693&lt;&gt;0,ROW(O693),IF(O694&lt;&gt;0,ROW(O694),IF(O695&lt;&gt;0,ROW(O695),IF(O696&lt;&gt;0,ROW(O696),IF(O697&lt;&gt;0,ROW(O697),IF(O698&lt;&gt;0,ROW(O698),IF(O699&lt;&gt;0,ROW(O699),IF(O700&lt;&gt;0,ROW(O700),IF(O701&lt;&gt;0,ROW(O701)))))))))))</f>
        <v>694</v>
      </c>
      <c r="O703" s="882" t="e">
        <f ca="1">IF(ISERROR(XIRR(INDIRECT(N705):O702,INDIRECT(N704):N702,-20%)),XIRR(INDIRECT(N705):O702,INDIRECT(N704):N702,20%),"N/A")</f>
        <v>#NUM!</v>
      </c>
      <c r="U703" s="663"/>
      <c r="W703" s="664"/>
      <c r="Z703" s="898">
        <f>IF(AA692&lt;&gt;0,ROW(AA692),IF(AA693&lt;&gt;0,ROW(AA693),IF(AA694&lt;&gt;0,ROW(AA694),IF(AA695&lt;&gt;0,ROW(AA695),IF(AA696&lt;&gt;0,ROW(AA696),IF(AA697&lt;&gt;0,ROW(AA697),IF(AA698&lt;&gt;0,ROW(AA698),IF(AA699&lt;&gt;0,ROW(AA699),IF(AA700&lt;&gt;0,ROW(AA700),IF(AA701&lt;&gt;0,ROW(AA701)))))))))))</f>
        <v>694</v>
      </c>
      <c r="AA703" s="882" t="e">
        <f ca="1">IF(ISERROR(XIRR(INDIRECT(Z705):AA702,INDIRECT(Z704):Z702,-20%)),XIRR(INDIRECT(Z705):AA702,INDIRECT(Z704):Z702,20%),"N/A")</f>
        <v>#NUM!</v>
      </c>
      <c r="AB703" s="663"/>
      <c r="AC703" s="663"/>
      <c r="AD703" s="663"/>
      <c r="AE703" s="663"/>
      <c r="AF703" s="663"/>
      <c r="AG703" s="663"/>
      <c r="AH703" s="663"/>
      <c r="AI703" s="664"/>
      <c r="AL703" s="898">
        <f>IF(AM692&lt;&gt;0,ROW(AM692),IF(AM693&lt;&gt;0,ROW(AM693),IF(AM694&lt;&gt;0,ROW(AM694),IF(AM695&lt;&gt;0,ROW(AM695),IF(AM696&lt;&gt;0,ROW(AM696),IF(AM697&lt;&gt;0,ROW(AM697),IF(AM698&lt;&gt;0,ROW(AM698),IF(AM699&lt;&gt;0,ROW(AM699),IF(AM700&lt;&gt;0,ROW(AM700),IF(AM701&lt;&gt;0,ROW(AM701)))))))))))</f>
        <v>694</v>
      </c>
      <c r="AM703" s="882" t="e">
        <f ca="1">IF(ISERROR(XIRR(INDIRECT(AL705):AM702,INDIRECT(AL704):AL702,-20%)),XIRR(INDIRECT(AL705):AM702,INDIRECT(AL704):AL702,20%),"N/A")</f>
        <v>#NUM!</v>
      </c>
      <c r="AN703" s="663"/>
      <c r="AU703" s="664"/>
      <c r="AX703" s="898">
        <f>IF(AY692&lt;&gt;0,ROW(AY692),IF(AY693&lt;&gt;0,ROW(AY693),IF(AY694&lt;&gt;0,ROW(AY694),IF(AY695&lt;&gt;0,ROW(AY695),IF(AY696&lt;&gt;0,ROW(AY696),IF(AY697&lt;&gt;0,ROW(AY697),IF(AY698&lt;&gt;0,ROW(AY698),IF(AY699&lt;&gt;0,ROW(AY699),IF(AY700&lt;&gt;0,ROW(AY700),IF(AY701&lt;&gt;0,ROW(AY701)))))))))))</f>
        <v>694</v>
      </c>
      <c r="AY703" s="882" t="e">
        <f ca="1">IF(ISERROR(XIRR(INDIRECT(AX705):AY702,INDIRECT(AX704):AX702,-20%)),XIRR(INDIRECT(AX705):AY702,INDIRECT(AX704):AX702,20%),"N/A")</f>
        <v>#NUM!</v>
      </c>
      <c r="BG703" s="664"/>
      <c r="BJ703" s="898">
        <f>IF(BK692&lt;&gt;0,ROW(BK692),IF(BK693&lt;&gt;0,ROW(BK693),IF(BK694&lt;&gt;0,ROW(BK694),IF(BK695&lt;&gt;0,ROW(BK695),IF(BK696&lt;&gt;0,ROW(BK696),IF(BK697&lt;&gt;0,ROW(BK697),IF(BK698&lt;&gt;0,ROW(BK698),IF(BK699&lt;&gt;0,ROW(BK699),IF(BK700&lt;&gt;0,ROW(BK700),IF(BK701&lt;&gt;0,ROW(BK701)))))))))))</f>
        <v>694</v>
      </c>
      <c r="BK703" s="882" t="e">
        <f ca="1">IF(ISERROR(XIRR(INDIRECT(BJ705):BK702,INDIRECT(BJ704):BJ702,-20%)),XIRR(INDIRECT(BJ705):BK702,INDIRECT(BJ704):BJ702,20%),"N/A")</f>
        <v>#NUM!</v>
      </c>
      <c r="BS703" s="664"/>
      <c r="BV703" s="898">
        <f>IF(BW692&lt;&gt;0,ROW(BW692),IF(BW693&lt;&gt;0,ROW(BW693),IF(BW694&lt;&gt;0,ROW(BW694),IF(BW695&lt;&gt;0,ROW(BW695),IF(BW696&lt;&gt;0,ROW(BW696),IF(BW697&lt;&gt;0,ROW(BW697),IF(BW698&lt;&gt;0,ROW(BW698),IF(BW699&lt;&gt;0,ROW(BW699),IF(BW700&lt;&gt;0,ROW(BW700),IF(BW701&lt;&gt;0,ROW(BW701)))))))))))</f>
        <v>694</v>
      </c>
      <c r="BW703" s="882" t="e">
        <f ca="1">IF(ISERROR(XIRR(INDIRECT(BV705):BW702,INDIRECT(BV704):BV702,-20%)),XIRR(INDIRECT(BV705):BW702,INDIRECT(BV704):BV702,20%),"N/A")</f>
        <v>#NUM!</v>
      </c>
      <c r="CE703" s="664"/>
      <c r="CH703" s="898">
        <f>IF(CI692&lt;&gt;0,ROW(CI692),IF(CI693&lt;&gt;0,ROW(CI693),IF(CI694&lt;&gt;0,ROW(CI694),IF(CI695&lt;&gt;0,ROW(CI695),IF(CI696&lt;&gt;0,ROW(CI696),IF(CI697&lt;&gt;0,ROW(CI697),IF(CI698&lt;&gt;0,ROW(CI698),IF(CI699&lt;&gt;0,ROW(CI699),IF(CI700&lt;&gt;0,ROW(CI700),IF(CI701&lt;&gt;0,ROW(CI701)))))))))))</f>
        <v>694</v>
      </c>
      <c r="CI703" s="882" t="e">
        <f ca="1">IF(ISERROR(XIRR(INDIRECT(CH705):CI702,INDIRECT(CH704):CH702,-20%)),XIRR(INDIRECT(CH705):CI702,INDIRECT(CH704):CH702,20%),"N/A")</f>
        <v>#NUM!</v>
      </c>
      <c r="CQ703" s="664"/>
      <c r="CT703" s="898">
        <f>IF(CU692&lt;&gt;0,ROW(CU692),IF(CU693&lt;&gt;0,ROW(CU693),IF(CU694&lt;&gt;0,ROW(CU694),IF(CU695&lt;&gt;0,ROW(CU695),IF(CU696&lt;&gt;0,ROW(CU696),IF(CU697&lt;&gt;0,ROW(CU697),IF(CU698&lt;&gt;0,ROW(CU698),IF(CU699&lt;&gt;0,ROW(CU699),IF(CU700&lt;&gt;0,ROW(CU700),IF(CU701&lt;&gt;0,ROW(CU701)))))))))))</f>
        <v>694</v>
      </c>
      <c r="CU703" s="882" t="e">
        <f ca="1">IF(ISERROR(XIRR(INDIRECT(CT705):CU702,INDIRECT(CT704):CT702,-20%)),XIRR(INDIRECT(CT705):CU702,INDIRECT(CT704):CT702,20%),"N/A")</f>
        <v>#NUM!</v>
      </c>
      <c r="DC703" s="664"/>
      <c r="DF703" s="898">
        <f>IF(DG692&lt;&gt;0,ROW(DG692),IF(DG693&lt;&gt;0,ROW(DG693),IF(DG694&lt;&gt;0,ROW(DG694),IF(DG695&lt;&gt;0,ROW(DG695),IF(DG696&lt;&gt;0,ROW(DG696),IF(DG697&lt;&gt;0,ROW(DG697),IF(DG698&lt;&gt;0,ROW(DG698),IF(DG699&lt;&gt;0,ROW(DG699),IF(DG700&lt;&gt;0,ROW(DG700),IF(DG701&lt;&gt;0,ROW(DG701)))))))))))</f>
        <v>694</v>
      </c>
      <c r="DG703" s="882" t="e">
        <f ca="1">IF(ISERROR(XIRR(INDIRECT(DF705):DG702,INDIRECT(DF704):DF702,-20%)),XIRR(INDIRECT(DF705):DG702,INDIRECT(DF704):DF702,20%),"N/A")</f>
        <v>#NUM!</v>
      </c>
      <c r="DO703" s="664"/>
    </row>
    <row r="704" spans="2:119" hidden="1" x14ac:dyDescent="0.25">
      <c r="B704" s="899" t="str">
        <f>CONCATENATE(CHAR(64+COLUMN(B703)),B703)</f>
        <v>B694</v>
      </c>
      <c r="C704" s="897"/>
      <c r="K704" s="664"/>
      <c r="N704" s="899" t="str">
        <f>CONCATENATE(CHAR(64+COLUMN(N703)),N703)</f>
        <v>N694</v>
      </c>
      <c r="O704" s="897"/>
      <c r="U704" s="663"/>
      <c r="W704" s="664"/>
      <c r="Z704" s="899" t="str">
        <f>CONCATENATE(IF(COLUMN(Z703)&lt;=26,CHAR(96+COLUMN(Z703)),(CHAR(96+(ROUNDDOWN((COLUMN(Z703)-1)/26,0)))&amp;CHAR(96+IF(MOD(COLUMN(Z703),26)=0,26,MOD(COLUMN(Z703),26))))),Z703)</f>
        <v>z694</v>
      </c>
      <c r="AA704" s="897"/>
      <c r="AB704" s="663"/>
      <c r="AC704" s="663"/>
      <c r="AD704" s="663"/>
      <c r="AE704" s="663"/>
      <c r="AF704" s="663"/>
      <c r="AG704" s="663"/>
      <c r="AH704" s="663"/>
      <c r="AI704" s="664"/>
      <c r="AL704" s="899" t="str">
        <f>CONCATENATE(IF(COLUMN(AL703)&lt;=26,CHAR(96+COLUMN(AL703)),(CHAR(96+(ROUNDDOWN((COLUMN(AL703)-1)/26,0)))&amp;CHAR(96+IF(MOD(COLUMN(AL703),26)=0,26,MOD(COLUMN(AL703),26))))),AL703)</f>
        <v>al694</v>
      </c>
      <c r="AM704" s="897"/>
      <c r="AN704" s="663"/>
      <c r="AU704" s="664"/>
      <c r="AX704" s="899" t="str">
        <f>CONCATENATE(IF(COLUMN(AX703)&lt;=26,CHAR(96+COLUMN(AX703)),(CHAR(96+(ROUNDDOWN((COLUMN(AX703)-1)/26,0)))&amp;CHAR(96+IF(MOD(COLUMN(AX703),26)=0,26,MOD(COLUMN(AX703),26))))),AX703)</f>
        <v>ax694</v>
      </c>
      <c r="AY704" s="897"/>
      <c r="BG704" s="664"/>
      <c r="BJ704" s="899" t="str">
        <f>CONCATENATE(IF(COLUMN(BJ703)&lt;=26,CHAR(96+COLUMN(BJ703)),(CHAR(96+(ROUNDDOWN((COLUMN(BJ703)-1)/26,0)))&amp;CHAR(96+IF(MOD(COLUMN(BJ703),26)=0,26,MOD(COLUMN(BJ703),26))))),BJ703)</f>
        <v>bj694</v>
      </c>
      <c r="BK704" s="897"/>
      <c r="BS704" s="664"/>
      <c r="BV704" s="899" t="str">
        <f>CONCATENATE(IF(COLUMN(BV703)&lt;=26,CHAR(96+COLUMN(BV703)),(CHAR(96+(ROUNDDOWN((COLUMN(BV703)-1)/26,0)))&amp;CHAR(96+IF(MOD(COLUMN(BV703),26)=0,26,MOD(COLUMN(BV703),26))))),BV703)</f>
        <v>bv694</v>
      </c>
      <c r="BW704" s="897"/>
      <c r="CE704" s="664"/>
      <c r="CH704" s="899" t="str">
        <f>CONCATENATE(IF(COLUMN(CH703)&lt;=26,CHAR(96+COLUMN(CH703)),(CHAR(96+(ROUNDDOWN((COLUMN(CH703)-1)/26,0)))&amp;CHAR(96+IF(MOD(COLUMN(CH703),26)=0,26,MOD(COLUMN(CH703),26))))),CH703)</f>
        <v>ch694</v>
      </c>
      <c r="CI704" s="897"/>
      <c r="CQ704" s="664"/>
      <c r="CT704" s="899" t="str">
        <f>CONCATENATE(IF(COLUMN(CT703)&lt;=26,CHAR(96+COLUMN(CT703)),(CHAR(96+(ROUNDDOWN((COLUMN(CT703)-1)/26,0)))&amp;CHAR(96+IF(MOD(COLUMN(CT703),26)=0,26,MOD(COLUMN(CT703),26))))),CT703)</f>
        <v>ct694</v>
      </c>
      <c r="CU704" s="897"/>
      <c r="DC704" s="664"/>
      <c r="DF704" s="899" t="str">
        <f>CONCATENATE(IF(COLUMN(DF703)&lt;=26,CHAR(96+COLUMN(DF703)),(CHAR(96+(ROUNDDOWN((COLUMN(DF703)-1)/26,0)))&amp;CHAR(96+IF(MOD(COLUMN(DF703),26)=0,26,MOD(COLUMN(DF703),26))))),DF703)</f>
        <v>df694</v>
      </c>
      <c r="DG704" s="897"/>
      <c r="DO704" s="664"/>
    </row>
    <row r="705" spans="2:119" hidden="1" x14ac:dyDescent="0.25">
      <c r="B705" s="899" t="str">
        <f>CONCATENATE(CHAR(64+COLUMN(C703)),B703)</f>
        <v>C694</v>
      </c>
      <c r="C705" s="897"/>
      <c r="K705" s="664"/>
      <c r="N705" s="899" t="str">
        <f>CONCATENATE(CHAR(64+COLUMN(O703)),N703)</f>
        <v>O694</v>
      </c>
      <c r="O705" s="897"/>
      <c r="U705" s="663"/>
      <c r="W705" s="664"/>
      <c r="Z705" s="899" t="str">
        <f>CONCATENATE(IF(COLUMN(AA703)&lt;=26,CHAR(96+COLUMN(AA703)),(CHAR(96+(ROUNDDOWN((COLUMN(AA703)-1)/26,0)))&amp;CHAR(96+IF(MOD(COLUMN(AA703),26)=0,26,MOD(COLUMN(AA703),26))))),Z703)</f>
        <v>aa694</v>
      </c>
      <c r="AA705" s="897"/>
      <c r="AB705" s="663"/>
      <c r="AC705" s="663"/>
      <c r="AD705" s="663"/>
      <c r="AE705" s="663"/>
      <c r="AF705" s="663"/>
      <c r="AG705" s="663"/>
      <c r="AH705" s="663"/>
      <c r="AI705" s="664"/>
      <c r="AL705" s="899" t="str">
        <f>CONCATENATE(IF(COLUMN(AM703)&lt;=26,CHAR(96+COLUMN(AM703)),(CHAR(96+(ROUNDDOWN((COLUMN(AM703)-1)/26,0)))&amp;CHAR(96+IF(MOD(COLUMN(AM703),26)=0,26,MOD(COLUMN(AM703),26))))),AL703)</f>
        <v>am694</v>
      </c>
      <c r="AM705" s="897"/>
      <c r="AN705" s="663"/>
      <c r="AU705" s="664"/>
      <c r="AX705" s="899" t="str">
        <f>CONCATENATE(IF(COLUMN(AY703)&lt;=26,CHAR(96+COLUMN(AY703)),(CHAR(96+(ROUNDDOWN((COLUMN(AY703)-1)/26,0)))&amp;CHAR(96+IF(MOD(COLUMN(AY703),26)=0,26,MOD(COLUMN(AY703),26))))),AX703)</f>
        <v>ay694</v>
      </c>
      <c r="AY705" s="897"/>
      <c r="BG705" s="664"/>
      <c r="BJ705" s="899" t="str">
        <f>CONCATENATE(IF(COLUMN(BK703)&lt;=26,CHAR(96+COLUMN(BK703)),(CHAR(96+(ROUNDDOWN((COLUMN(BK703)-1)/26,0)))&amp;CHAR(96+IF(MOD(COLUMN(BK703),26)=0,26,MOD(COLUMN(BK703),26))))),BJ703)</f>
        <v>bk694</v>
      </c>
      <c r="BK705" s="897"/>
      <c r="BS705" s="664"/>
      <c r="BV705" s="899" t="str">
        <f>CONCATENATE(IF(COLUMN(BW703)&lt;=26,CHAR(96+COLUMN(BW703)),(CHAR(96+(ROUNDDOWN((COLUMN(BW703)-1)/26,0)))&amp;CHAR(96+IF(MOD(COLUMN(BW703),26)=0,26,MOD(COLUMN(BW703),26))))),BV703)</f>
        <v>bw694</v>
      </c>
      <c r="BW705" s="897"/>
      <c r="CE705" s="664"/>
      <c r="CH705" s="899" t="str">
        <f>CONCATENATE(IF(COLUMN(CI703)&lt;=26,CHAR(96+COLUMN(CI703)),(CHAR(96+(ROUNDDOWN((COLUMN(CI703)-1)/26,0)))&amp;CHAR(96+IF(MOD(COLUMN(CI703),26)=0,26,MOD(COLUMN(CI703),26))))),CH703)</f>
        <v>ci694</v>
      </c>
      <c r="CI705" s="897"/>
      <c r="CQ705" s="664"/>
      <c r="CT705" s="899" t="str">
        <f>CONCATENATE(IF(COLUMN(CU703)&lt;=26,CHAR(96+COLUMN(CU703)),(CHAR(96+(ROUNDDOWN((COLUMN(CU703)-1)/26,0)))&amp;CHAR(96+IF(MOD(COLUMN(CU703),26)=0,26,MOD(COLUMN(CU703),26))))),CT703)</f>
        <v>cu694</v>
      </c>
      <c r="CU705" s="897"/>
      <c r="DC705" s="664"/>
      <c r="DF705" s="899" t="str">
        <f>CONCATENATE(IF(COLUMN(DG703)&lt;=26,CHAR(96+COLUMN(DG703)),(CHAR(96+(ROUNDDOWN((COLUMN(DG703)-1)/26,0)))&amp;CHAR(96+IF(MOD(COLUMN(DG703),26)=0,26,MOD(COLUMN(DG703),26))))),DF703)</f>
        <v>dg694</v>
      </c>
      <c r="DG705" s="897"/>
      <c r="DO705" s="664"/>
    </row>
    <row r="706" spans="2:119" hidden="1" x14ac:dyDescent="0.25">
      <c r="B706" s="899"/>
      <c r="C706" s="897"/>
      <c r="K706" s="664"/>
      <c r="N706" s="899"/>
      <c r="O706" s="897"/>
      <c r="U706" s="663"/>
      <c r="W706" s="664"/>
      <c r="Z706" s="899"/>
      <c r="AA706" s="897"/>
      <c r="AB706" s="663"/>
      <c r="AC706" s="663"/>
      <c r="AD706" s="663"/>
      <c r="AE706" s="663"/>
      <c r="AF706" s="663"/>
      <c r="AG706" s="663"/>
      <c r="AH706" s="663"/>
      <c r="AI706" s="664"/>
      <c r="AL706" s="899"/>
      <c r="AM706" s="897"/>
      <c r="AN706" s="663"/>
      <c r="AU706" s="664"/>
      <c r="AX706" s="899"/>
      <c r="AY706" s="897"/>
      <c r="BG706" s="664"/>
      <c r="BJ706" s="899"/>
      <c r="BK706" s="897"/>
      <c r="BS706" s="664"/>
      <c r="BV706" s="899"/>
      <c r="BW706" s="897"/>
      <c r="CE706" s="664"/>
      <c r="CH706" s="899"/>
      <c r="CI706" s="897"/>
      <c r="CQ706" s="664"/>
      <c r="CT706" s="899"/>
      <c r="CU706" s="897"/>
      <c r="DC706" s="664"/>
      <c r="DF706" s="899"/>
      <c r="DG706" s="897"/>
      <c r="DO706" s="664"/>
    </row>
    <row r="707" spans="2:119" hidden="1" x14ac:dyDescent="0.25">
      <c r="B707" s="900">
        <f>B692</f>
        <v>39113</v>
      </c>
      <c r="C707" s="897">
        <f>C692</f>
        <v>0</v>
      </c>
      <c r="K707" s="664"/>
      <c r="N707" s="900">
        <f>N692</f>
        <v>39113</v>
      </c>
      <c r="O707" s="897">
        <f>O692</f>
        <v>0</v>
      </c>
      <c r="U707" s="663"/>
      <c r="W707" s="664"/>
      <c r="Z707" s="900">
        <f>Z692</f>
        <v>39113</v>
      </c>
      <c r="AA707" s="897">
        <f>AA692</f>
        <v>0</v>
      </c>
      <c r="AB707" s="663"/>
      <c r="AC707" s="663"/>
      <c r="AD707" s="663"/>
      <c r="AE707" s="663"/>
      <c r="AF707" s="663"/>
      <c r="AG707" s="663"/>
      <c r="AH707" s="663"/>
      <c r="AI707" s="664"/>
      <c r="AL707" s="900">
        <f>AL692</f>
        <v>39113</v>
      </c>
      <c r="AM707" s="897">
        <f>AM692</f>
        <v>0</v>
      </c>
      <c r="AN707" s="663"/>
      <c r="AU707" s="664"/>
      <c r="AX707" s="900">
        <f>AX692</f>
        <v>39113</v>
      </c>
      <c r="AY707" s="897">
        <f>AY692</f>
        <v>0</v>
      </c>
      <c r="BG707" s="664"/>
      <c r="BJ707" s="900">
        <f>BJ692</f>
        <v>39113</v>
      </c>
      <c r="BK707" s="897">
        <f>BK692</f>
        <v>0</v>
      </c>
      <c r="BS707" s="664"/>
      <c r="BV707" s="900">
        <f>BV692</f>
        <v>39113</v>
      </c>
      <c r="BW707" s="897">
        <f>BW692</f>
        <v>0</v>
      </c>
      <c r="CE707" s="664"/>
      <c r="CH707" s="900">
        <f>CH692</f>
        <v>39113</v>
      </c>
      <c r="CI707" s="897">
        <f>CI692</f>
        <v>0</v>
      </c>
      <c r="CQ707" s="664"/>
      <c r="CT707" s="900">
        <f>CT692</f>
        <v>39113</v>
      </c>
      <c r="CU707" s="897">
        <f>CU692</f>
        <v>0</v>
      </c>
      <c r="DC707" s="664"/>
      <c r="DF707" s="900">
        <f>DF692</f>
        <v>39113</v>
      </c>
      <c r="DG707" s="897">
        <f>DG692</f>
        <v>0</v>
      </c>
      <c r="DO707" s="664"/>
    </row>
    <row r="708" spans="2:119" hidden="1" x14ac:dyDescent="0.25">
      <c r="B708" s="900">
        <f t="shared" ref="B708:C708" si="2051">B693</f>
        <v>39478</v>
      </c>
      <c r="C708" s="897">
        <f t="shared" si="2051"/>
        <v>0</v>
      </c>
      <c r="K708" s="664"/>
      <c r="N708" s="900">
        <f t="shared" ref="N708:O708" si="2052">N693</f>
        <v>39478</v>
      </c>
      <c r="O708" s="897">
        <f t="shared" si="2052"/>
        <v>0</v>
      </c>
      <c r="U708" s="663"/>
      <c r="W708" s="664"/>
      <c r="Z708" s="900">
        <f t="shared" ref="Z708:AA708" si="2053">Z693</f>
        <v>39478</v>
      </c>
      <c r="AA708" s="897">
        <f t="shared" si="2053"/>
        <v>0</v>
      </c>
      <c r="AB708" s="663"/>
      <c r="AC708" s="663"/>
      <c r="AD708" s="663"/>
      <c r="AE708" s="663"/>
      <c r="AF708" s="663"/>
      <c r="AG708" s="663"/>
      <c r="AH708" s="663"/>
      <c r="AI708" s="664"/>
      <c r="AL708" s="900">
        <f t="shared" ref="AL708:AM708" si="2054">AL693</f>
        <v>39478</v>
      </c>
      <c r="AM708" s="897">
        <f t="shared" si="2054"/>
        <v>0</v>
      </c>
      <c r="AN708" s="663"/>
      <c r="AU708" s="664"/>
      <c r="AX708" s="900">
        <f t="shared" ref="AX708:AY708" si="2055">AX693</f>
        <v>39478</v>
      </c>
      <c r="AY708" s="897">
        <f t="shared" si="2055"/>
        <v>0</v>
      </c>
      <c r="BG708" s="664"/>
      <c r="BJ708" s="900">
        <f t="shared" ref="BJ708:BK708" si="2056">BJ693</f>
        <v>39478</v>
      </c>
      <c r="BK708" s="897">
        <f t="shared" si="2056"/>
        <v>0</v>
      </c>
      <c r="BS708" s="664"/>
      <c r="BV708" s="900">
        <f t="shared" ref="BV708:BW708" si="2057">BV693</f>
        <v>39478</v>
      </c>
      <c r="BW708" s="897">
        <f t="shared" si="2057"/>
        <v>0</v>
      </c>
      <c r="CE708" s="664"/>
      <c r="CH708" s="900">
        <f t="shared" ref="CH708:CI708" si="2058">CH693</f>
        <v>39478</v>
      </c>
      <c r="CI708" s="897">
        <f t="shared" si="2058"/>
        <v>0</v>
      </c>
      <c r="CQ708" s="664"/>
      <c r="CT708" s="900">
        <f t="shared" ref="CT708:CU708" si="2059">CT693</f>
        <v>39478</v>
      </c>
      <c r="CU708" s="897">
        <f t="shared" si="2059"/>
        <v>0</v>
      </c>
      <c r="DC708" s="664"/>
      <c r="DF708" s="900">
        <f t="shared" ref="DF708:DG708" si="2060">DF693</f>
        <v>39478</v>
      </c>
      <c r="DG708" s="897">
        <f t="shared" si="2060"/>
        <v>0</v>
      </c>
      <c r="DO708" s="664"/>
    </row>
    <row r="709" spans="2:119" hidden="1" x14ac:dyDescent="0.25">
      <c r="B709" s="900">
        <f t="shared" ref="B709:C709" si="2061">B694</f>
        <v>39843</v>
      </c>
      <c r="C709" s="897">
        <f t="shared" si="2061"/>
        <v>-2500000</v>
      </c>
      <c r="K709" s="664"/>
      <c r="N709" s="900">
        <f t="shared" ref="N709:O709" si="2062">N694</f>
        <v>39843</v>
      </c>
      <c r="O709" s="897">
        <f t="shared" si="2062"/>
        <v>-2500000</v>
      </c>
      <c r="U709" s="663"/>
      <c r="W709" s="664"/>
      <c r="Z709" s="900">
        <f t="shared" ref="Z709:AA709" si="2063">Z694</f>
        <v>39843</v>
      </c>
      <c r="AA709" s="897">
        <f t="shared" si="2063"/>
        <v>-2500000</v>
      </c>
      <c r="AB709" s="663"/>
      <c r="AC709" s="663"/>
      <c r="AD709" s="663"/>
      <c r="AE709" s="663"/>
      <c r="AF709" s="663"/>
      <c r="AG709" s="663"/>
      <c r="AH709" s="663"/>
      <c r="AI709" s="664"/>
      <c r="AL709" s="900">
        <f t="shared" ref="AL709:AM709" si="2064">AL694</f>
        <v>39843</v>
      </c>
      <c r="AM709" s="897">
        <f t="shared" si="2064"/>
        <v>-2500000</v>
      </c>
      <c r="AN709" s="663"/>
      <c r="AU709" s="664"/>
      <c r="AX709" s="900">
        <f t="shared" ref="AX709:AY709" si="2065">AX694</f>
        <v>39843</v>
      </c>
      <c r="AY709" s="897">
        <f t="shared" si="2065"/>
        <v>-2500000</v>
      </c>
      <c r="BG709" s="664"/>
      <c r="BJ709" s="900">
        <f t="shared" ref="BJ709:BK709" si="2066">BJ694</f>
        <v>39843</v>
      </c>
      <c r="BK709" s="897">
        <f t="shared" si="2066"/>
        <v>-2500000</v>
      </c>
      <c r="BS709" s="664"/>
      <c r="BV709" s="900">
        <f t="shared" ref="BV709:BW709" si="2067">BV694</f>
        <v>39843</v>
      </c>
      <c r="BW709" s="897">
        <f t="shared" si="2067"/>
        <v>-2500000</v>
      </c>
      <c r="CE709" s="664"/>
      <c r="CH709" s="900">
        <f t="shared" ref="CH709:CI709" si="2068">CH694</f>
        <v>39843</v>
      </c>
      <c r="CI709" s="897">
        <f t="shared" si="2068"/>
        <v>-2500000</v>
      </c>
      <c r="CQ709" s="664"/>
      <c r="CT709" s="900">
        <f t="shared" ref="CT709:CU709" si="2069">CT694</f>
        <v>39843</v>
      </c>
      <c r="CU709" s="897">
        <f t="shared" si="2069"/>
        <v>-2500000</v>
      </c>
      <c r="DC709" s="664"/>
      <c r="DF709" s="900">
        <f t="shared" ref="DF709:DG709" si="2070">DF694</f>
        <v>39843</v>
      </c>
      <c r="DG709" s="897">
        <f t="shared" si="2070"/>
        <v>-2500000</v>
      </c>
      <c r="DO709" s="664"/>
    </row>
    <row r="710" spans="2:119" hidden="1" x14ac:dyDescent="0.25">
      <c r="B710" s="900">
        <f t="shared" ref="B710:C710" si="2071">B695</f>
        <v>39843</v>
      </c>
      <c r="C710" s="897">
        <f t="shared" si="2071"/>
        <v>-6666666.666666667</v>
      </c>
      <c r="K710" s="664"/>
      <c r="N710" s="900">
        <f t="shared" ref="N710:O710" si="2072">N695</f>
        <v>39843</v>
      </c>
      <c r="O710" s="897">
        <f t="shared" si="2072"/>
        <v>-6666666.666666667</v>
      </c>
      <c r="U710" s="663"/>
      <c r="W710" s="664"/>
      <c r="Z710" s="900">
        <f t="shared" ref="Z710:AA710" si="2073">Z695</f>
        <v>39843</v>
      </c>
      <c r="AA710" s="897">
        <f t="shared" si="2073"/>
        <v>-6666666.666666667</v>
      </c>
      <c r="AB710" s="663"/>
      <c r="AC710" s="663"/>
      <c r="AD710" s="663"/>
      <c r="AE710" s="663"/>
      <c r="AF710" s="663"/>
      <c r="AG710" s="663"/>
      <c r="AH710" s="663"/>
      <c r="AI710" s="664"/>
      <c r="AL710" s="900">
        <f t="shared" ref="AL710:AM710" si="2074">AL695</f>
        <v>39843</v>
      </c>
      <c r="AM710" s="897">
        <f t="shared" si="2074"/>
        <v>-6666666.666666667</v>
      </c>
      <c r="AN710" s="663"/>
      <c r="AU710" s="664"/>
      <c r="AX710" s="900">
        <f t="shared" ref="AX710:AY710" si="2075">AX695</f>
        <v>39843</v>
      </c>
      <c r="AY710" s="897">
        <f t="shared" si="2075"/>
        <v>-6666666.666666667</v>
      </c>
      <c r="BG710" s="664"/>
      <c r="BJ710" s="900">
        <f t="shared" ref="BJ710:BK710" si="2076">BJ695</f>
        <v>39843</v>
      </c>
      <c r="BK710" s="897">
        <f t="shared" si="2076"/>
        <v>-6666666.666666667</v>
      </c>
      <c r="BS710" s="664"/>
      <c r="BV710" s="900">
        <f t="shared" ref="BV710:BW710" si="2077">BV695</f>
        <v>39843</v>
      </c>
      <c r="BW710" s="897">
        <f t="shared" si="2077"/>
        <v>-6666666.666666667</v>
      </c>
      <c r="CE710" s="664"/>
      <c r="CH710" s="900">
        <f t="shared" ref="CH710:CI710" si="2078">CH695</f>
        <v>39843</v>
      </c>
      <c r="CI710" s="897">
        <f t="shared" si="2078"/>
        <v>-6666666.666666667</v>
      </c>
      <c r="CQ710" s="664"/>
      <c r="CT710" s="900">
        <f t="shared" ref="CT710:CU710" si="2079">CT695</f>
        <v>39843</v>
      </c>
      <c r="CU710" s="897">
        <f t="shared" si="2079"/>
        <v>-6666666.666666667</v>
      </c>
      <c r="DC710" s="664"/>
      <c r="DF710" s="900">
        <f t="shared" ref="DF710:DG710" si="2080">DF695</f>
        <v>39843</v>
      </c>
      <c r="DG710" s="897">
        <f t="shared" si="2080"/>
        <v>-6666666.666666667</v>
      </c>
      <c r="DO710" s="664"/>
    </row>
    <row r="711" spans="2:119" hidden="1" x14ac:dyDescent="0.25">
      <c r="B711" s="900">
        <f t="shared" ref="B711:C711" si="2081">B696</f>
        <v>39843</v>
      </c>
      <c r="C711" s="897">
        <f t="shared" si="2081"/>
        <v>0</v>
      </c>
      <c r="K711" s="664"/>
      <c r="N711" s="900">
        <f t="shared" ref="N711:O711" si="2082">N696</f>
        <v>39843</v>
      </c>
      <c r="O711" s="897">
        <f t="shared" si="2082"/>
        <v>0</v>
      </c>
      <c r="U711" s="663"/>
      <c r="W711" s="664"/>
      <c r="Z711" s="900">
        <f t="shared" ref="Z711:AA711" si="2083">Z696</f>
        <v>39843</v>
      </c>
      <c r="AA711" s="897">
        <f t="shared" si="2083"/>
        <v>0</v>
      </c>
      <c r="AB711" s="663"/>
      <c r="AC711" s="663"/>
      <c r="AD711" s="663"/>
      <c r="AE711" s="663"/>
      <c r="AF711" s="663"/>
      <c r="AG711" s="663"/>
      <c r="AH711" s="663"/>
      <c r="AI711" s="664"/>
      <c r="AL711" s="900">
        <f t="shared" ref="AL711:AM711" si="2084">AL696</f>
        <v>39843</v>
      </c>
      <c r="AM711" s="897">
        <f t="shared" si="2084"/>
        <v>0</v>
      </c>
      <c r="AN711" s="663"/>
      <c r="AU711" s="664"/>
      <c r="AX711" s="900">
        <f t="shared" ref="AX711:AY711" si="2085">AX696</f>
        <v>39843</v>
      </c>
      <c r="AY711" s="897">
        <f t="shared" si="2085"/>
        <v>0</v>
      </c>
      <c r="BG711" s="664"/>
      <c r="BJ711" s="900">
        <f t="shared" ref="BJ711:BK711" si="2086">BJ696</f>
        <v>39843</v>
      </c>
      <c r="BK711" s="897">
        <f t="shared" si="2086"/>
        <v>0</v>
      </c>
      <c r="BS711" s="664"/>
      <c r="BV711" s="900">
        <f t="shared" ref="BV711:BW711" si="2087">BV696</f>
        <v>39843</v>
      </c>
      <c r="BW711" s="897">
        <f t="shared" si="2087"/>
        <v>0</v>
      </c>
      <c r="CE711" s="664"/>
      <c r="CH711" s="900">
        <f t="shared" ref="CH711:CI711" si="2088">CH696</f>
        <v>39843</v>
      </c>
      <c r="CI711" s="897">
        <f t="shared" si="2088"/>
        <v>0</v>
      </c>
      <c r="CQ711" s="664"/>
      <c r="CT711" s="900">
        <f t="shared" ref="CT711:CU711" si="2089">CT696</f>
        <v>39843</v>
      </c>
      <c r="CU711" s="897">
        <f t="shared" si="2089"/>
        <v>0</v>
      </c>
      <c r="DC711" s="664"/>
      <c r="DF711" s="900">
        <f t="shared" ref="DF711:DG711" si="2090">DF696</f>
        <v>39843</v>
      </c>
      <c r="DG711" s="897">
        <f t="shared" si="2090"/>
        <v>0</v>
      </c>
      <c r="DO711" s="664"/>
    </row>
    <row r="712" spans="2:119" hidden="1" x14ac:dyDescent="0.25">
      <c r="B712" s="900">
        <f t="shared" ref="B712:C712" si="2091">B697</f>
        <v>39843</v>
      </c>
      <c r="C712" s="897">
        <f t="shared" si="2091"/>
        <v>0</v>
      </c>
      <c r="K712" s="664"/>
      <c r="N712" s="900">
        <f t="shared" ref="N712:O712" si="2092">N697</f>
        <v>39843</v>
      </c>
      <c r="O712" s="897">
        <f t="shared" si="2092"/>
        <v>0</v>
      </c>
      <c r="U712" s="663"/>
      <c r="W712" s="664"/>
      <c r="Z712" s="900">
        <f t="shared" ref="Z712:AA712" si="2093">Z697</f>
        <v>39843</v>
      </c>
      <c r="AA712" s="897">
        <f t="shared" si="2093"/>
        <v>0</v>
      </c>
      <c r="AB712" s="663"/>
      <c r="AC712" s="663"/>
      <c r="AD712" s="663"/>
      <c r="AE712" s="663"/>
      <c r="AF712" s="663"/>
      <c r="AG712" s="663"/>
      <c r="AH712" s="663"/>
      <c r="AI712" s="664"/>
      <c r="AL712" s="900">
        <f t="shared" ref="AL712:AM712" si="2094">AL697</f>
        <v>39843</v>
      </c>
      <c r="AM712" s="897">
        <f t="shared" si="2094"/>
        <v>0</v>
      </c>
      <c r="AN712" s="663"/>
      <c r="AU712" s="664"/>
      <c r="AX712" s="900">
        <f t="shared" ref="AX712:AY712" si="2095">AX697</f>
        <v>39843</v>
      </c>
      <c r="AY712" s="897">
        <f t="shared" si="2095"/>
        <v>0</v>
      </c>
      <c r="BG712" s="664"/>
      <c r="BJ712" s="900">
        <f t="shared" ref="BJ712:BK712" si="2096">BJ697</f>
        <v>39843</v>
      </c>
      <c r="BK712" s="897">
        <f t="shared" si="2096"/>
        <v>0</v>
      </c>
      <c r="BS712" s="664"/>
      <c r="BV712" s="900">
        <f t="shared" ref="BV712:BW712" si="2097">BV697</f>
        <v>39843</v>
      </c>
      <c r="BW712" s="897">
        <f t="shared" si="2097"/>
        <v>0</v>
      </c>
      <c r="CE712" s="664"/>
      <c r="CH712" s="900">
        <f t="shared" ref="CH712:CI712" si="2098">CH697</f>
        <v>39843</v>
      </c>
      <c r="CI712" s="897">
        <f t="shared" si="2098"/>
        <v>0</v>
      </c>
      <c r="CQ712" s="664"/>
      <c r="CT712" s="900">
        <f t="shared" ref="CT712:CU712" si="2099">CT697</f>
        <v>39843</v>
      </c>
      <c r="CU712" s="897">
        <f t="shared" si="2099"/>
        <v>0</v>
      </c>
      <c r="DC712" s="664"/>
      <c r="DF712" s="900">
        <f t="shared" ref="DF712:DG712" si="2100">DF697</f>
        <v>39843</v>
      </c>
      <c r="DG712" s="897">
        <f t="shared" si="2100"/>
        <v>0</v>
      </c>
      <c r="DO712" s="664"/>
    </row>
    <row r="713" spans="2:119" hidden="1" x14ac:dyDescent="0.25">
      <c r="B713" s="900">
        <f t="shared" ref="B713:C713" si="2101">B698</f>
        <v>39843</v>
      </c>
      <c r="C713" s="897">
        <f t="shared" si="2101"/>
        <v>0</v>
      </c>
      <c r="K713" s="664"/>
      <c r="N713" s="900">
        <f t="shared" ref="N713:O713" si="2102">N698</f>
        <v>39843</v>
      </c>
      <c r="O713" s="897">
        <f t="shared" si="2102"/>
        <v>0</v>
      </c>
      <c r="U713" s="663"/>
      <c r="W713" s="664"/>
      <c r="Z713" s="900">
        <f t="shared" ref="Z713:AA713" si="2103">Z698</f>
        <v>39843</v>
      </c>
      <c r="AA713" s="897">
        <f t="shared" si="2103"/>
        <v>0</v>
      </c>
      <c r="AB713" s="663"/>
      <c r="AC713" s="663"/>
      <c r="AD713" s="663"/>
      <c r="AE713" s="663"/>
      <c r="AF713" s="663"/>
      <c r="AG713" s="663"/>
      <c r="AH713" s="663"/>
      <c r="AI713" s="664"/>
      <c r="AL713" s="900">
        <f t="shared" ref="AL713:AM713" si="2104">AL698</f>
        <v>39843</v>
      </c>
      <c r="AM713" s="897">
        <f t="shared" si="2104"/>
        <v>0</v>
      </c>
      <c r="AN713" s="663"/>
      <c r="AU713" s="664"/>
      <c r="AX713" s="900">
        <f t="shared" ref="AX713:AY713" si="2105">AX698</f>
        <v>39843</v>
      </c>
      <c r="AY713" s="897">
        <f t="shared" si="2105"/>
        <v>0</v>
      </c>
      <c r="BG713" s="664"/>
      <c r="BJ713" s="900">
        <f t="shared" ref="BJ713:BK713" si="2106">BJ698</f>
        <v>39843</v>
      </c>
      <c r="BK713" s="897">
        <f t="shared" si="2106"/>
        <v>0</v>
      </c>
      <c r="BS713" s="664"/>
      <c r="BV713" s="900">
        <f t="shared" ref="BV713:BW713" si="2107">BV698</f>
        <v>39843</v>
      </c>
      <c r="BW713" s="897">
        <f t="shared" si="2107"/>
        <v>0</v>
      </c>
      <c r="CE713" s="664"/>
      <c r="CH713" s="900">
        <f t="shared" ref="CH713:CI713" si="2108">CH698</f>
        <v>39843</v>
      </c>
      <c r="CI713" s="897">
        <f t="shared" si="2108"/>
        <v>0</v>
      </c>
      <c r="CQ713" s="664"/>
      <c r="CT713" s="900">
        <f t="shared" ref="CT713:CU713" si="2109">CT698</f>
        <v>39843</v>
      </c>
      <c r="CU713" s="897">
        <f t="shared" si="2109"/>
        <v>0</v>
      </c>
      <c r="DC713" s="664"/>
      <c r="DF713" s="900">
        <f t="shared" ref="DF713:DG713" si="2110">DF698</f>
        <v>39843</v>
      </c>
      <c r="DG713" s="897">
        <f t="shared" si="2110"/>
        <v>0</v>
      </c>
      <c r="DO713" s="664"/>
    </row>
    <row r="714" spans="2:119" hidden="1" x14ac:dyDescent="0.25">
      <c r="B714" s="900">
        <f t="shared" ref="B714:C714" si="2111">B699</f>
        <v>39843</v>
      </c>
      <c r="C714" s="897">
        <f t="shared" si="2111"/>
        <v>0</v>
      </c>
      <c r="K714" s="664"/>
      <c r="N714" s="900">
        <f t="shared" ref="N714:O714" si="2112">N699</f>
        <v>39843</v>
      </c>
      <c r="O714" s="897">
        <f t="shared" si="2112"/>
        <v>0</v>
      </c>
      <c r="U714" s="663"/>
      <c r="W714" s="664"/>
      <c r="Z714" s="900">
        <f t="shared" ref="Z714:AA714" si="2113">Z699</f>
        <v>39843</v>
      </c>
      <c r="AA714" s="897">
        <f t="shared" si="2113"/>
        <v>0</v>
      </c>
      <c r="AB714" s="663"/>
      <c r="AC714" s="663"/>
      <c r="AD714" s="663"/>
      <c r="AE714" s="663"/>
      <c r="AF714" s="663"/>
      <c r="AG714" s="663"/>
      <c r="AH714" s="663"/>
      <c r="AI714" s="664"/>
      <c r="AL714" s="900">
        <f t="shared" ref="AL714:AM714" si="2114">AL699</f>
        <v>39843</v>
      </c>
      <c r="AM714" s="897">
        <f t="shared" si="2114"/>
        <v>0</v>
      </c>
      <c r="AN714" s="663"/>
      <c r="AU714" s="664"/>
      <c r="AX714" s="900">
        <f t="shared" ref="AX714:AY714" si="2115">AX699</f>
        <v>39843</v>
      </c>
      <c r="AY714" s="897">
        <f t="shared" si="2115"/>
        <v>0</v>
      </c>
      <c r="BG714" s="664"/>
      <c r="BJ714" s="900">
        <f t="shared" ref="BJ714:BK714" si="2116">BJ699</f>
        <v>39843</v>
      </c>
      <c r="BK714" s="897">
        <f t="shared" si="2116"/>
        <v>0</v>
      </c>
      <c r="BS714" s="664"/>
      <c r="BV714" s="900">
        <f t="shared" ref="BV714:BW714" si="2117">BV699</f>
        <v>39843</v>
      </c>
      <c r="BW714" s="897">
        <f t="shared" si="2117"/>
        <v>0</v>
      </c>
      <c r="CE714" s="664"/>
      <c r="CH714" s="900">
        <f t="shared" ref="CH714:CI714" si="2118">CH699</f>
        <v>39843</v>
      </c>
      <c r="CI714" s="897">
        <f t="shared" si="2118"/>
        <v>0</v>
      </c>
      <c r="CQ714" s="664"/>
      <c r="CT714" s="900">
        <f t="shared" ref="CT714:CU714" si="2119">CT699</f>
        <v>39843</v>
      </c>
      <c r="CU714" s="897">
        <f t="shared" si="2119"/>
        <v>0</v>
      </c>
      <c r="DC714" s="664"/>
      <c r="DF714" s="900">
        <f t="shared" ref="DF714:DG714" si="2120">DF699</f>
        <v>39843</v>
      </c>
      <c r="DG714" s="897">
        <f t="shared" si="2120"/>
        <v>0</v>
      </c>
      <c r="DO714" s="664"/>
    </row>
    <row r="715" spans="2:119" hidden="1" x14ac:dyDescent="0.25">
      <c r="B715" s="900">
        <f t="shared" ref="B715:C715" si="2121">B700</f>
        <v>39843</v>
      </c>
      <c r="C715" s="897">
        <f t="shared" si="2121"/>
        <v>0</v>
      </c>
      <c r="K715" s="664"/>
      <c r="N715" s="900">
        <f t="shared" ref="N715:O715" si="2122">N700</f>
        <v>39843</v>
      </c>
      <c r="O715" s="897">
        <f t="shared" si="2122"/>
        <v>0</v>
      </c>
      <c r="U715" s="663"/>
      <c r="W715" s="664"/>
      <c r="Z715" s="900">
        <f t="shared" ref="Z715:AA715" si="2123">Z700</f>
        <v>39843</v>
      </c>
      <c r="AA715" s="897">
        <f t="shared" si="2123"/>
        <v>0</v>
      </c>
      <c r="AB715" s="663"/>
      <c r="AC715" s="663"/>
      <c r="AD715" s="663"/>
      <c r="AE715" s="663"/>
      <c r="AF715" s="663"/>
      <c r="AG715" s="663"/>
      <c r="AH715" s="663"/>
      <c r="AI715" s="664"/>
      <c r="AL715" s="900">
        <f t="shared" ref="AL715:AM715" si="2124">AL700</f>
        <v>39843</v>
      </c>
      <c r="AM715" s="897">
        <f t="shared" si="2124"/>
        <v>0</v>
      </c>
      <c r="AN715" s="663"/>
      <c r="AU715" s="664"/>
      <c r="AX715" s="900">
        <f t="shared" ref="AX715:AY715" si="2125">AX700</f>
        <v>39843</v>
      </c>
      <c r="AY715" s="897">
        <f t="shared" si="2125"/>
        <v>0</v>
      </c>
      <c r="BG715" s="664"/>
      <c r="BJ715" s="900">
        <f t="shared" ref="BJ715:BK715" si="2126">BJ700</f>
        <v>39843</v>
      </c>
      <c r="BK715" s="897">
        <f t="shared" si="2126"/>
        <v>0</v>
      </c>
      <c r="BS715" s="664"/>
      <c r="BV715" s="900">
        <f t="shared" ref="BV715:BW715" si="2127">BV700</f>
        <v>39843</v>
      </c>
      <c r="BW715" s="897">
        <f t="shared" si="2127"/>
        <v>0</v>
      </c>
      <c r="CE715" s="664"/>
      <c r="CH715" s="900">
        <f t="shared" ref="CH715:CI715" si="2128">CH700</f>
        <v>39843</v>
      </c>
      <c r="CI715" s="897">
        <f t="shared" si="2128"/>
        <v>0</v>
      </c>
      <c r="CQ715" s="664"/>
      <c r="CT715" s="900">
        <f t="shared" ref="CT715:CU715" si="2129">CT700</f>
        <v>39843</v>
      </c>
      <c r="CU715" s="897">
        <f t="shared" si="2129"/>
        <v>0</v>
      </c>
      <c r="DC715" s="664"/>
      <c r="DF715" s="900">
        <f t="shared" ref="DF715:DG715" si="2130">DF700</f>
        <v>39843</v>
      </c>
      <c r="DG715" s="897">
        <f t="shared" si="2130"/>
        <v>0</v>
      </c>
      <c r="DO715" s="664"/>
    </row>
    <row r="716" spans="2:119" hidden="1" x14ac:dyDescent="0.25">
      <c r="B716" s="900">
        <f t="shared" ref="B716:C716" si="2131">B701</f>
        <v>39843</v>
      </c>
      <c r="C716" s="897">
        <f t="shared" si="2131"/>
        <v>0</v>
      </c>
      <c r="K716" s="664"/>
      <c r="N716" s="900">
        <f t="shared" ref="N716:O716" si="2132">N701</f>
        <v>39843</v>
      </c>
      <c r="O716" s="897">
        <f t="shared" si="2132"/>
        <v>0</v>
      </c>
      <c r="U716" s="663"/>
      <c r="W716" s="664"/>
      <c r="Z716" s="900">
        <f t="shared" ref="Z716:AA716" si="2133">Z701</f>
        <v>39843</v>
      </c>
      <c r="AA716" s="897">
        <f t="shared" si="2133"/>
        <v>0</v>
      </c>
      <c r="AB716" s="663"/>
      <c r="AC716" s="663"/>
      <c r="AD716" s="663"/>
      <c r="AE716" s="663"/>
      <c r="AF716" s="663"/>
      <c r="AG716" s="663"/>
      <c r="AH716" s="663"/>
      <c r="AI716" s="664"/>
      <c r="AL716" s="900">
        <f t="shared" ref="AL716:AM716" si="2134">AL701</f>
        <v>39843</v>
      </c>
      <c r="AM716" s="897">
        <f t="shared" si="2134"/>
        <v>0</v>
      </c>
      <c r="AN716" s="663"/>
      <c r="AU716" s="664"/>
      <c r="AX716" s="900">
        <f t="shared" ref="AX716:AY716" si="2135">AX701</f>
        <v>39843</v>
      </c>
      <c r="AY716" s="897">
        <f t="shared" si="2135"/>
        <v>0</v>
      </c>
      <c r="BG716" s="664"/>
      <c r="BJ716" s="900">
        <f t="shared" ref="BJ716:BK716" si="2136">BJ701</f>
        <v>39843</v>
      </c>
      <c r="BK716" s="897">
        <f t="shared" si="2136"/>
        <v>0</v>
      </c>
      <c r="BS716" s="664"/>
      <c r="BV716" s="900">
        <f t="shared" ref="BV716:BW716" si="2137">BV701</f>
        <v>39843</v>
      </c>
      <c r="BW716" s="897">
        <f t="shared" si="2137"/>
        <v>0</v>
      </c>
      <c r="CE716" s="664"/>
      <c r="CH716" s="900">
        <f t="shared" ref="CH716:CI716" si="2138">CH701</f>
        <v>39843</v>
      </c>
      <c r="CI716" s="897">
        <f t="shared" si="2138"/>
        <v>0</v>
      </c>
      <c r="CQ716" s="664"/>
      <c r="CT716" s="900">
        <f t="shared" ref="CT716:CU716" si="2139">CT701</f>
        <v>39843</v>
      </c>
      <c r="CU716" s="897">
        <f t="shared" si="2139"/>
        <v>0</v>
      </c>
      <c r="DC716" s="664"/>
      <c r="DF716" s="900">
        <f t="shared" ref="DF716:DG716" si="2140">DF701</f>
        <v>39843</v>
      </c>
      <c r="DG716" s="897">
        <f t="shared" si="2140"/>
        <v>0</v>
      </c>
      <c r="DO716" s="664"/>
    </row>
    <row r="717" spans="2:119" hidden="1" x14ac:dyDescent="0.25">
      <c r="B717" s="896">
        <f>B702+$C$56</f>
        <v>41359</v>
      </c>
      <c r="C717" s="897">
        <f ca="1">C702</f>
        <v>0</v>
      </c>
      <c r="K717" s="664"/>
      <c r="N717" s="896">
        <f>N702+$C$56</f>
        <v>41359</v>
      </c>
      <c r="O717" s="897">
        <f ca="1">O702</f>
        <v>0</v>
      </c>
      <c r="U717" s="663"/>
      <c r="W717" s="664"/>
      <c r="Z717" s="896">
        <f>Z702+$C$56</f>
        <v>41359</v>
      </c>
      <c r="AA717" s="897">
        <f ca="1">AA702</f>
        <v>0</v>
      </c>
      <c r="AB717" s="663"/>
      <c r="AC717" s="663"/>
      <c r="AD717" s="663"/>
      <c r="AE717" s="663"/>
      <c r="AF717" s="663"/>
      <c r="AG717" s="663"/>
      <c r="AH717" s="663"/>
      <c r="AI717" s="664"/>
      <c r="AL717" s="896">
        <f>AL702+$C$56</f>
        <v>41359</v>
      </c>
      <c r="AM717" s="897">
        <f ca="1">AM702</f>
        <v>0</v>
      </c>
      <c r="AN717" s="663"/>
      <c r="AU717" s="664"/>
      <c r="AX717" s="896">
        <f>AX702+$C$56</f>
        <v>41359</v>
      </c>
      <c r="AY717" s="897">
        <f ca="1">AY702</f>
        <v>0</v>
      </c>
      <c r="BG717" s="664"/>
      <c r="BJ717" s="896">
        <f>BJ702+$C$56</f>
        <v>41359</v>
      </c>
      <c r="BK717" s="897">
        <f ca="1">BK702</f>
        <v>0</v>
      </c>
      <c r="BS717" s="664"/>
      <c r="BV717" s="896">
        <f>BV702+$C$56</f>
        <v>41359</v>
      </c>
      <c r="BW717" s="897">
        <f ca="1">BW702</f>
        <v>0</v>
      </c>
      <c r="CE717" s="664"/>
      <c r="CH717" s="896">
        <f>CH702+$C$56</f>
        <v>41359</v>
      </c>
      <c r="CI717" s="897">
        <f ca="1">CI702</f>
        <v>0</v>
      </c>
      <c r="CQ717" s="664"/>
      <c r="CT717" s="896">
        <f>CT702+$C$56</f>
        <v>41359</v>
      </c>
      <c r="CU717" s="897">
        <f ca="1">CU702</f>
        <v>0</v>
      </c>
      <c r="DC717" s="664"/>
      <c r="DF717" s="896">
        <f>DF702+$C$56</f>
        <v>41359</v>
      </c>
      <c r="DG717" s="897">
        <f ca="1">DG702</f>
        <v>0</v>
      </c>
      <c r="DO717" s="664"/>
    </row>
    <row r="718" spans="2:119" hidden="1" x14ac:dyDescent="0.25">
      <c r="B718" s="898">
        <f>IF(C707&lt;&gt;0,ROW(C707),IF(C708&lt;&gt;0,ROW(C708),IF(C709&lt;&gt;0,ROW(C709),IF(C710&lt;&gt;0,ROW(C710),IF(C711&lt;&gt;0,ROW(C711),IF(C712&lt;&gt;0,ROW(C712),IF(C713&lt;&gt;0,ROW(C713),IF(C714&lt;&gt;0,ROW(C714),IF(C715&lt;&gt;0,ROW(C715),IF(C716&lt;&gt;0,ROW(C716)))))))))))</f>
        <v>709</v>
      </c>
      <c r="C718" s="882" t="e">
        <f ca="1">IF(ISERROR(XIRR(INDIRECT(B720):C717,INDIRECT(B719):B717,-20%)),XIRR(INDIRECT(B720):C717,INDIRECT(B719):B717,20%),"N/A")</f>
        <v>#NUM!</v>
      </c>
      <c r="K718" s="664"/>
      <c r="N718" s="898">
        <f>IF(O707&lt;&gt;0,ROW(O707),IF(O708&lt;&gt;0,ROW(O708),IF(O709&lt;&gt;0,ROW(O709),IF(O710&lt;&gt;0,ROW(O710),IF(O711&lt;&gt;0,ROW(O711),IF(O712&lt;&gt;0,ROW(O712),IF(O713&lt;&gt;0,ROW(O713),IF(O714&lt;&gt;0,ROW(O714),IF(O715&lt;&gt;0,ROW(O715),IF(O716&lt;&gt;0,ROW(O716)))))))))))</f>
        <v>709</v>
      </c>
      <c r="O718" s="882" t="e">
        <f ca="1">IF(ISERROR(XIRR(INDIRECT(N720):O717,INDIRECT(N719):N717,-20%)),XIRR(INDIRECT(N720):O717,INDIRECT(N719):N717,20%),"N/A")</f>
        <v>#NUM!</v>
      </c>
      <c r="U718" s="663"/>
      <c r="W718" s="664"/>
      <c r="Z718" s="898">
        <f>IF(AA707&lt;&gt;0,ROW(AA707),IF(AA708&lt;&gt;0,ROW(AA708),IF(AA709&lt;&gt;0,ROW(AA709),IF(AA710&lt;&gt;0,ROW(AA710),IF(AA711&lt;&gt;0,ROW(AA711),IF(AA712&lt;&gt;0,ROW(AA712),IF(AA713&lt;&gt;0,ROW(AA713),IF(AA714&lt;&gt;0,ROW(AA714),IF(AA715&lt;&gt;0,ROW(AA715),IF(AA716&lt;&gt;0,ROW(AA716)))))))))))</f>
        <v>709</v>
      </c>
      <c r="AA718" s="882" t="e">
        <f ca="1">IF(ISERROR(XIRR(INDIRECT(Z720):AA717,INDIRECT(Z719):Z717,-20%)),XIRR(INDIRECT(Z720):AA717,INDIRECT(Z719):Z717,20%),"N/A")</f>
        <v>#NUM!</v>
      </c>
      <c r="AB718" s="663"/>
      <c r="AC718" s="663"/>
      <c r="AD718" s="663"/>
      <c r="AE718" s="663"/>
      <c r="AF718" s="663"/>
      <c r="AG718" s="663"/>
      <c r="AH718" s="663"/>
      <c r="AI718" s="664"/>
      <c r="AL718" s="898">
        <f>IF(AM707&lt;&gt;0,ROW(AM707),IF(AM708&lt;&gt;0,ROW(AM708),IF(AM709&lt;&gt;0,ROW(AM709),IF(AM710&lt;&gt;0,ROW(AM710),IF(AM711&lt;&gt;0,ROW(AM711),IF(AM712&lt;&gt;0,ROW(AM712),IF(AM713&lt;&gt;0,ROW(AM713),IF(AM714&lt;&gt;0,ROW(AM714),IF(AM715&lt;&gt;0,ROW(AM715),IF(AM716&lt;&gt;0,ROW(AM716)))))))))))</f>
        <v>709</v>
      </c>
      <c r="AM718" s="882" t="e">
        <f ca="1">IF(ISERROR(XIRR(INDIRECT(AL720):AM717,INDIRECT(AL719):AL717,-20%)),XIRR(INDIRECT(AL720):AM717,INDIRECT(AL719):AL717,20%),"N/A")</f>
        <v>#NUM!</v>
      </c>
      <c r="AN718" s="663"/>
      <c r="AU718" s="664"/>
      <c r="AX718" s="898">
        <f>IF(AY707&lt;&gt;0,ROW(AY707),IF(AY708&lt;&gt;0,ROW(AY708),IF(AY709&lt;&gt;0,ROW(AY709),IF(AY710&lt;&gt;0,ROW(AY710),IF(AY711&lt;&gt;0,ROW(AY711),IF(AY712&lt;&gt;0,ROW(AY712),IF(AY713&lt;&gt;0,ROW(AY713),IF(AY714&lt;&gt;0,ROW(AY714),IF(AY715&lt;&gt;0,ROW(AY715),IF(AY716&lt;&gt;0,ROW(AY716)))))))))))</f>
        <v>709</v>
      </c>
      <c r="AY718" s="882" t="e">
        <f ca="1">IF(ISERROR(XIRR(INDIRECT(AX720):AY717,INDIRECT(AX719):AX717,-20%)),XIRR(INDIRECT(AX720):AY717,INDIRECT(AX719):AX717,20%),"N/A")</f>
        <v>#NUM!</v>
      </c>
      <c r="BG718" s="664"/>
      <c r="BJ718" s="898">
        <f>IF(BK707&lt;&gt;0,ROW(BK707),IF(BK708&lt;&gt;0,ROW(BK708),IF(BK709&lt;&gt;0,ROW(BK709),IF(BK710&lt;&gt;0,ROW(BK710),IF(BK711&lt;&gt;0,ROW(BK711),IF(BK712&lt;&gt;0,ROW(BK712),IF(BK713&lt;&gt;0,ROW(BK713),IF(BK714&lt;&gt;0,ROW(BK714),IF(BK715&lt;&gt;0,ROW(BK715),IF(BK716&lt;&gt;0,ROW(BK716)))))))))))</f>
        <v>709</v>
      </c>
      <c r="BK718" s="882" t="e">
        <f ca="1">IF(ISERROR(XIRR(INDIRECT(BJ720):BK717,INDIRECT(BJ719):BJ717,-20%)),XIRR(INDIRECT(BJ720):BK717,INDIRECT(BJ719):BJ717,20%),"N/A")</f>
        <v>#NUM!</v>
      </c>
      <c r="BS718" s="664"/>
      <c r="BV718" s="898">
        <f>IF(BW707&lt;&gt;0,ROW(BW707),IF(BW708&lt;&gt;0,ROW(BW708),IF(BW709&lt;&gt;0,ROW(BW709),IF(BW710&lt;&gt;0,ROW(BW710),IF(BW711&lt;&gt;0,ROW(BW711),IF(BW712&lt;&gt;0,ROW(BW712),IF(BW713&lt;&gt;0,ROW(BW713),IF(BW714&lt;&gt;0,ROW(BW714),IF(BW715&lt;&gt;0,ROW(BW715),IF(BW716&lt;&gt;0,ROW(BW716)))))))))))</f>
        <v>709</v>
      </c>
      <c r="BW718" s="882" t="e">
        <f ca="1">IF(ISERROR(XIRR(INDIRECT(BV720):BW717,INDIRECT(BV719):BV717,-20%)),XIRR(INDIRECT(BV720):BW717,INDIRECT(BV719):BV717,20%),"N/A")</f>
        <v>#NUM!</v>
      </c>
      <c r="CE718" s="664"/>
      <c r="CH718" s="898">
        <f>IF(CI707&lt;&gt;0,ROW(CI707),IF(CI708&lt;&gt;0,ROW(CI708),IF(CI709&lt;&gt;0,ROW(CI709),IF(CI710&lt;&gt;0,ROW(CI710),IF(CI711&lt;&gt;0,ROW(CI711),IF(CI712&lt;&gt;0,ROW(CI712),IF(CI713&lt;&gt;0,ROW(CI713),IF(CI714&lt;&gt;0,ROW(CI714),IF(CI715&lt;&gt;0,ROW(CI715),IF(CI716&lt;&gt;0,ROW(CI716)))))))))))</f>
        <v>709</v>
      </c>
      <c r="CI718" s="882" t="e">
        <f ca="1">IF(ISERROR(XIRR(INDIRECT(CH720):CI717,INDIRECT(CH719):CH717,-20%)),XIRR(INDIRECT(CH720):CI717,INDIRECT(CH719):CH717,20%),"N/A")</f>
        <v>#NUM!</v>
      </c>
      <c r="CQ718" s="664"/>
      <c r="CT718" s="898">
        <f>IF(CU707&lt;&gt;0,ROW(CU707),IF(CU708&lt;&gt;0,ROW(CU708),IF(CU709&lt;&gt;0,ROW(CU709),IF(CU710&lt;&gt;0,ROW(CU710),IF(CU711&lt;&gt;0,ROW(CU711),IF(CU712&lt;&gt;0,ROW(CU712),IF(CU713&lt;&gt;0,ROW(CU713),IF(CU714&lt;&gt;0,ROW(CU714),IF(CU715&lt;&gt;0,ROW(CU715),IF(CU716&lt;&gt;0,ROW(CU716)))))))))))</f>
        <v>709</v>
      </c>
      <c r="CU718" s="882" t="e">
        <f ca="1">IF(ISERROR(XIRR(INDIRECT(CT720):CU717,INDIRECT(CT719):CT717,-20%)),XIRR(INDIRECT(CT720):CU717,INDIRECT(CT719):CT717,20%),"N/A")</f>
        <v>#NUM!</v>
      </c>
      <c r="DC718" s="664"/>
      <c r="DF718" s="898">
        <f>IF(DG707&lt;&gt;0,ROW(DG707),IF(DG708&lt;&gt;0,ROW(DG708),IF(DG709&lt;&gt;0,ROW(DG709),IF(DG710&lt;&gt;0,ROW(DG710),IF(DG711&lt;&gt;0,ROW(DG711),IF(DG712&lt;&gt;0,ROW(DG712),IF(DG713&lt;&gt;0,ROW(DG713),IF(DG714&lt;&gt;0,ROW(DG714),IF(DG715&lt;&gt;0,ROW(DG715),IF(DG716&lt;&gt;0,ROW(DG716)))))))))))</f>
        <v>709</v>
      </c>
      <c r="DG718" s="882" t="e">
        <f ca="1">IF(ISERROR(XIRR(INDIRECT(DF720):DG717,INDIRECT(DF719):DF717,-20%)),XIRR(INDIRECT(DF720):DG717,INDIRECT(DF719):DF717,20%),"N/A")</f>
        <v>#NUM!</v>
      </c>
      <c r="DO718" s="664"/>
    </row>
    <row r="719" spans="2:119" hidden="1" x14ac:dyDescent="0.25">
      <c r="B719" s="899" t="str">
        <f>CONCATENATE(CHAR(64+COLUMN(B718)),B718)</f>
        <v>B709</v>
      </c>
      <c r="C719" s="897"/>
      <c r="K719" s="664"/>
      <c r="N719" s="899" t="str">
        <f>CONCATENATE(CHAR(64+COLUMN(N718)),N718)</f>
        <v>N709</v>
      </c>
      <c r="O719" s="897"/>
      <c r="U719" s="663"/>
      <c r="W719" s="664"/>
      <c r="Z719" s="899" t="str">
        <f>CONCATENATE(IF(COLUMN(Z718)&lt;=26,CHAR(96+COLUMN(Z718)),(CHAR(96+(ROUNDDOWN((COLUMN(Z718)-1)/26,0)))&amp;CHAR(96+IF(MOD(COLUMN(Z718),26)=0,26,MOD(COLUMN(Z718),26))))),Z718)</f>
        <v>z709</v>
      </c>
      <c r="AA719" s="897"/>
      <c r="AB719" s="663"/>
      <c r="AC719" s="663"/>
      <c r="AD719" s="663"/>
      <c r="AE719" s="663"/>
      <c r="AF719" s="663"/>
      <c r="AG719" s="663"/>
      <c r="AH719" s="663"/>
      <c r="AI719" s="664"/>
      <c r="AL719" s="899" t="str">
        <f>CONCATENATE(IF(COLUMN(AL718)&lt;=26,CHAR(96+COLUMN(AL718)),(CHAR(96+(ROUNDDOWN((COLUMN(AL718)-1)/26,0)))&amp;CHAR(96+IF(MOD(COLUMN(AL718),26)=0,26,MOD(COLUMN(AL718),26))))),AL718)</f>
        <v>al709</v>
      </c>
      <c r="AM719" s="897"/>
      <c r="AN719" s="663"/>
      <c r="AU719" s="664"/>
      <c r="AX719" s="899" t="str">
        <f>CONCATENATE(IF(COLUMN(AX718)&lt;=26,CHAR(96+COLUMN(AX718)),(CHAR(96+(ROUNDDOWN((COLUMN(AX718)-1)/26,0)))&amp;CHAR(96+IF(MOD(COLUMN(AX718),26)=0,26,MOD(COLUMN(AX718),26))))),AX718)</f>
        <v>ax709</v>
      </c>
      <c r="AY719" s="897"/>
      <c r="BG719" s="664"/>
      <c r="BJ719" s="899" t="str">
        <f>CONCATENATE(IF(COLUMN(BJ718)&lt;=26,CHAR(96+COLUMN(BJ718)),(CHAR(96+(ROUNDDOWN((COLUMN(BJ718)-1)/26,0)))&amp;CHAR(96+IF(MOD(COLUMN(BJ718),26)=0,26,MOD(COLUMN(BJ718),26))))),BJ718)</f>
        <v>bj709</v>
      </c>
      <c r="BK719" s="897"/>
      <c r="BS719" s="664"/>
      <c r="BV719" s="899" t="str">
        <f>CONCATENATE(IF(COLUMN(BV718)&lt;=26,CHAR(96+COLUMN(BV718)),(CHAR(96+(ROUNDDOWN((COLUMN(BV718)-1)/26,0)))&amp;CHAR(96+IF(MOD(COLUMN(BV718),26)=0,26,MOD(COLUMN(BV718),26))))),BV718)</f>
        <v>bv709</v>
      </c>
      <c r="BW719" s="897"/>
      <c r="CE719" s="664"/>
      <c r="CH719" s="899" t="str">
        <f>CONCATENATE(IF(COLUMN(CH718)&lt;=26,CHAR(96+COLUMN(CH718)),(CHAR(96+(ROUNDDOWN((COLUMN(CH718)-1)/26,0)))&amp;CHAR(96+IF(MOD(COLUMN(CH718),26)=0,26,MOD(COLUMN(CH718),26))))),CH718)</f>
        <v>ch709</v>
      </c>
      <c r="CI719" s="897"/>
      <c r="CQ719" s="664"/>
      <c r="CT719" s="899" t="str">
        <f>CONCATENATE(IF(COLUMN(CT718)&lt;=26,CHAR(96+COLUMN(CT718)),(CHAR(96+(ROUNDDOWN((COLUMN(CT718)-1)/26,0)))&amp;CHAR(96+IF(MOD(COLUMN(CT718),26)=0,26,MOD(COLUMN(CT718),26))))),CT718)</f>
        <v>ct709</v>
      </c>
      <c r="CU719" s="897"/>
      <c r="DC719" s="664"/>
      <c r="DF719" s="899" t="str">
        <f>CONCATENATE(IF(COLUMN(DF718)&lt;=26,CHAR(96+COLUMN(DF718)),(CHAR(96+(ROUNDDOWN((COLUMN(DF718)-1)/26,0)))&amp;CHAR(96+IF(MOD(COLUMN(DF718),26)=0,26,MOD(COLUMN(DF718),26))))),DF718)</f>
        <v>df709</v>
      </c>
      <c r="DG719" s="897"/>
      <c r="DO719" s="664"/>
    </row>
    <row r="720" spans="2:119" hidden="1" x14ac:dyDescent="0.25">
      <c r="B720" s="899" t="str">
        <f>CONCATENATE(CHAR(64+COLUMN(C718)),B718)</f>
        <v>C709</v>
      </c>
      <c r="C720" s="897"/>
      <c r="K720" s="664"/>
      <c r="N720" s="899" t="str">
        <f>CONCATENATE(CHAR(64+COLUMN(O718)),N718)</f>
        <v>O709</v>
      </c>
      <c r="O720" s="897"/>
      <c r="U720" s="663"/>
      <c r="W720" s="664"/>
      <c r="Z720" s="899" t="str">
        <f>CONCATENATE(IF(COLUMN(AA718)&lt;=26,CHAR(96+COLUMN(AA718)),(CHAR(96+(ROUNDDOWN((COLUMN(AA718)-1)/26,0)))&amp;CHAR(96+IF(MOD(COLUMN(AA718),26)=0,26,MOD(COLUMN(AA718),26))))),Z718)</f>
        <v>aa709</v>
      </c>
      <c r="AA720" s="897"/>
      <c r="AB720" s="663"/>
      <c r="AC720" s="663"/>
      <c r="AD720" s="663"/>
      <c r="AE720" s="663"/>
      <c r="AF720" s="663"/>
      <c r="AG720" s="663"/>
      <c r="AH720" s="663"/>
      <c r="AI720" s="664"/>
      <c r="AL720" s="899" t="str">
        <f>CONCATENATE(IF(COLUMN(AM718)&lt;=26,CHAR(96+COLUMN(AM718)),(CHAR(96+(ROUNDDOWN((COLUMN(AM718)-1)/26,0)))&amp;CHAR(96+IF(MOD(COLUMN(AM718),26)=0,26,MOD(COLUMN(AM718),26))))),AL718)</f>
        <v>am709</v>
      </c>
      <c r="AM720" s="897"/>
      <c r="AN720" s="663"/>
      <c r="AU720" s="664"/>
      <c r="AX720" s="899" t="str">
        <f>CONCATENATE(IF(COLUMN(AY718)&lt;=26,CHAR(96+COLUMN(AY718)),(CHAR(96+(ROUNDDOWN((COLUMN(AY718)-1)/26,0)))&amp;CHAR(96+IF(MOD(COLUMN(AY718),26)=0,26,MOD(COLUMN(AY718),26))))),AX718)</f>
        <v>ay709</v>
      </c>
      <c r="AY720" s="897"/>
      <c r="BG720" s="664"/>
      <c r="BJ720" s="899" t="str">
        <f>CONCATENATE(IF(COLUMN(BK718)&lt;=26,CHAR(96+COLUMN(BK718)),(CHAR(96+(ROUNDDOWN((COLUMN(BK718)-1)/26,0)))&amp;CHAR(96+IF(MOD(COLUMN(BK718),26)=0,26,MOD(COLUMN(BK718),26))))),BJ718)</f>
        <v>bk709</v>
      </c>
      <c r="BK720" s="897"/>
      <c r="BS720" s="664"/>
      <c r="BV720" s="899" t="str">
        <f>CONCATENATE(IF(COLUMN(BW718)&lt;=26,CHAR(96+COLUMN(BW718)),(CHAR(96+(ROUNDDOWN((COLUMN(BW718)-1)/26,0)))&amp;CHAR(96+IF(MOD(COLUMN(BW718),26)=0,26,MOD(COLUMN(BW718),26))))),BV718)</f>
        <v>bw709</v>
      </c>
      <c r="BW720" s="897"/>
      <c r="CE720" s="664"/>
      <c r="CH720" s="899" t="str">
        <f>CONCATENATE(IF(COLUMN(CI718)&lt;=26,CHAR(96+COLUMN(CI718)),(CHAR(96+(ROUNDDOWN((COLUMN(CI718)-1)/26,0)))&amp;CHAR(96+IF(MOD(COLUMN(CI718),26)=0,26,MOD(COLUMN(CI718),26))))),CH718)</f>
        <v>ci709</v>
      </c>
      <c r="CI720" s="897"/>
      <c r="CQ720" s="664"/>
      <c r="CT720" s="899" t="str">
        <f>CONCATENATE(IF(COLUMN(CU718)&lt;=26,CHAR(96+COLUMN(CU718)),(CHAR(96+(ROUNDDOWN((COLUMN(CU718)-1)/26,0)))&amp;CHAR(96+IF(MOD(COLUMN(CU718),26)=0,26,MOD(COLUMN(CU718),26))))),CT718)</f>
        <v>cu709</v>
      </c>
      <c r="CU720" s="897"/>
      <c r="DC720" s="664"/>
      <c r="DF720" s="899" t="str">
        <f>CONCATENATE(IF(COLUMN(DG718)&lt;=26,CHAR(96+COLUMN(DG718)),(CHAR(96+(ROUNDDOWN((COLUMN(DG718)-1)/26,0)))&amp;CHAR(96+IF(MOD(COLUMN(DG718),26)=0,26,MOD(COLUMN(DG718),26))))),DF718)</f>
        <v>dg709</v>
      </c>
      <c r="DG720" s="897"/>
      <c r="DO720" s="664"/>
    </row>
    <row r="721" spans="2:119" hidden="1" x14ac:dyDescent="0.25">
      <c r="B721" s="896"/>
      <c r="C721" s="897"/>
      <c r="K721" s="664"/>
      <c r="N721" s="896"/>
      <c r="O721" s="897"/>
      <c r="U721" s="663"/>
      <c r="W721" s="664"/>
      <c r="Z721" s="896"/>
      <c r="AA721" s="897"/>
      <c r="AB721" s="663"/>
      <c r="AC721" s="663"/>
      <c r="AD721" s="663"/>
      <c r="AE721" s="663"/>
      <c r="AF721" s="663"/>
      <c r="AG721" s="663"/>
      <c r="AH721" s="663"/>
      <c r="AI721" s="664"/>
      <c r="AL721" s="896"/>
      <c r="AM721" s="897"/>
      <c r="AN721" s="663"/>
      <c r="AU721" s="664"/>
      <c r="AX721" s="896"/>
      <c r="AY721" s="897"/>
      <c r="BG721" s="664"/>
      <c r="BJ721" s="896"/>
      <c r="BK721" s="897"/>
      <c r="BS721" s="664"/>
      <c r="BV721" s="896"/>
      <c r="BW721" s="897"/>
      <c r="CE721" s="664"/>
      <c r="CH721" s="896"/>
      <c r="CI721" s="897"/>
      <c r="CQ721" s="664"/>
      <c r="CT721" s="896"/>
      <c r="CU721" s="897"/>
      <c r="DC721" s="664"/>
      <c r="DF721" s="896"/>
      <c r="DG721" s="897"/>
      <c r="DO721" s="664"/>
    </row>
    <row r="722" spans="2:119" hidden="1" x14ac:dyDescent="0.25">
      <c r="B722" s="896">
        <f>B707</f>
        <v>39113</v>
      </c>
      <c r="C722" s="897">
        <f>C707</f>
        <v>0</v>
      </c>
      <c r="K722" s="664"/>
      <c r="N722" s="896">
        <f>N707</f>
        <v>39113</v>
      </c>
      <c r="O722" s="897">
        <f>O707</f>
        <v>0</v>
      </c>
      <c r="U722" s="663"/>
      <c r="W722" s="664"/>
      <c r="Z722" s="896">
        <f>Z707</f>
        <v>39113</v>
      </c>
      <c r="AA722" s="897">
        <f>AA707</f>
        <v>0</v>
      </c>
      <c r="AB722" s="663"/>
      <c r="AC722" s="663"/>
      <c r="AD722" s="663"/>
      <c r="AE722" s="663"/>
      <c r="AF722" s="663"/>
      <c r="AG722" s="663"/>
      <c r="AH722" s="663"/>
      <c r="AI722" s="664"/>
      <c r="AL722" s="896">
        <f>AL707</f>
        <v>39113</v>
      </c>
      <c r="AM722" s="897">
        <f>AM707</f>
        <v>0</v>
      </c>
      <c r="AN722" s="663"/>
      <c r="AU722" s="664"/>
      <c r="AX722" s="896">
        <f>AX707</f>
        <v>39113</v>
      </c>
      <c r="AY722" s="897">
        <f>AY707</f>
        <v>0</v>
      </c>
      <c r="BG722" s="664"/>
      <c r="BJ722" s="896">
        <f>BJ707</f>
        <v>39113</v>
      </c>
      <c r="BK722" s="897">
        <f>BK707</f>
        <v>0</v>
      </c>
      <c r="BS722" s="664"/>
      <c r="BV722" s="896">
        <f>BV707</f>
        <v>39113</v>
      </c>
      <c r="BW722" s="897">
        <f>BW707</f>
        <v>0</v>
      </c>
      <c r="CE722" s="664"/>
      <c r="CH722" s="896">
        <f>CH707</f>
        <v>39113</v>
      </c>
      <c r="CI722" s="897">
        <f>CI707</f>
        <v>0</v>
      </c>
      <c r="CQ722" s="664"/>
      <c r="CT722" s="896">
        <f>CT707</f>
        <v>39113</v>
      </c>
      <c r="CU722" s="897">
        <f>CU707</f>
        <v>0</v>
      </c>
      <c r="DC722" s="664"/>
      <c r="DF722" s="896">
        <f>DF707</f>
        <v>39113</v>
      </c>
      <c r="DG722" s="897">
        <f>DG707</f>
        <v>0</v>
      </c>
      <c r="DO722" s="664"/>
    </row>
    <row r="723" spans="2:119" hidden="1" x14ac:dyDescent="0.25">
      <c r="B723" s="896">
        <f t="shared" ref="B723:C723" si="2141">B708</f>
        <v>39478</v>
      </c>
      <c r="C723" s="897">
        <f t="shared" si="2141"/>
        <v>0</v>
      </c>
      <c r="K723" s="664"/>
      <c r="N723" s="896">
        <f t="shared" ref="N723:O723" si="2142">N708</f>
        <v>39478</v>
      </c>
      <c r="O723" s="897">
        <f t="shared" si="2142"/>
        <v>0</v>
      </c>
      <c r="U723" s="663"/>
      <c r="W723" s="664"/>
      <c r="Z723" s="896">
        <f t="shared" ref="Z723:AA723" si="2143">Z708</f>
        <v>39478</v>
      </c>
      <c r="AA723" s="897">
        <f t="shared" si="2143"/>
        <v>0</v>
      </c>
      <c r="AB723" s="663"/>
      <c r="AC723" s="663"/>
      <c r="AD723" s="663"/>
      <c r="AE723" s="663"/>
      <c r="AF723" s="663"/>
      <c r="AG723" s="663"/>
      <c r="AH723" s="663"/>
      <c r="AI723" s="664"/>
      <c r="AL723" s="896">
        <f t="shared" ref="AL723:AM723" si="2144">AL708</f>
        <v>39478</v>
      </c>
      <c r="AM723" s="897">
        <f t="shared" si="2144"/>
        <v>0</v>
      </c>
      <c r="AN723" s="663"/>
      <c r="AU723" s="664"/>
      <c r="AX723" s="896">
        <f t="shared" ref="AX723:AY723" si="2145">AX708</f>
        <v>39478</v>
      </c>
      <c r="AY723" s="897">
        <f t="shared" si="2145"/>
        <v>0</v>
      </c>
      <c r="BG723" s="664"/>
      <c r="BJ723" s="896">
        <f t="shared" ref="BJ723:BK723" si="2146">BJ708</f>
        <v>39478</v>
      </c>
      <c r="BK723" s="897">
        <f t="shared" si="2146"/>
        <v>0</v>
      </c>
      <c r="BS723" s="664"/>
      <c r="BV723" s="896">
        <f t="shared" ref="BV723:BW723" si="2147">BV708</f>
        <v>39478</v>
      </c>
      <c r="BW723" s="897">
        <f t="shared" si="2147"/>
        <v>0</v>
      </c>
      <c r="CE723" s="664"/>
      <c r="CH723" s="896">
        <f t="shared" ref="CH723:CI723" si="2148">CH708</f>
        <v>39478</v>
      </c>
      <c r="CI723" s="897">
        <f t="shared" si="2148"/>
        <v>0</v>
      </c>
      <c r="CQ723" s="664"/>
      <c r="CT723" s="896">
        <f t="shared" ref="CT723:CU723" si="2149">CT708</f>
        <v>39478</v>
      </c>
      <c r="CU723" s="897">
        <f t="shared" si="2149"/>
        <v>0</v>
      </c>
      <c r="DC723" s="664"/>
      <c r="DF723" s="896">
        <f t="shared" ref="DF723:DG723" si="2150">DF708</f>
        <v>39478</v>
      </c>
      <c r="DG723" s="897">
        <f t="shared" si="2150"/>
        <v>0</v>
      </c>
      <c r="DO723" s="664"/>
    </row>
    <row r="724" spans="2:119" hidden="1" x14ac:dyDescent="0.25">
      <c r="B724" s="896">
        <f t="shared" ref="B724:C724" si="2151">B709</f>
        <v>39843</v>
      </c>
      <c r="C724" s="897">
        <f t="shared" si="2151"/>
        <v>-2500000</v>
      </c>
      <c r="K724" s="664"/>
      <c r="N724" s="896">
        <f t="shared" ref="N724:O724" si="2152">N709</f>
        <v>39843</v>
      </c>
      <c r="O724" s="897">
        <f t="shared" si="2152"/>
        <v>-2500000</v>
      </c>
      <c r="U724" s="663"/>
      <c r="W724" s="664"/>
      <c r="Z724" s="896">
        <f t="shared" ref="Z724:AA724" si="2153">Z709</f>
        <v>39843</v>
      </c>
      <c r="AA724" s="897">
        <f t="shared" si="2153"/>
        <v>-2500000</v>
      </c>
      <c r="AB724" s="663"/>
      <c r="AC724" s="663"/>
      <c r="AD724" s="663"/>
      <c r="AE724" s="663"/>
      <c r="AF724" s="663"/>
      <c r="AG724" s="663"/>
      <c r="AH724" s="663"/>
      <c r="AI724" s="664"/>
      <c r="AL724" s="896">
        <f t="shared" ref="AL724:AM724" si="2154">AL709</f>
        <v>39843</v>
      </c>
      <c r="AM724" s="897">
        <f t="shared" si="2154"/>
        <v>-2500000</v>
      </c>
      <c r="AN724" s="663"/>
      <c r="AU724" s="664"/>
      <c r="AX724" s="896">
        <f t="shared" ref="AX724:AY724" si="2155">AX709</f>
        <v>39843</v>
      </c>
      <c r="AY724" s="897">
        <f t="shared" si="2155"/>
        <v>-2500000</v>
      </c>
      <c r="BG724" s="664"/>
      <c r="BJ724" s="896">
        <f t="shared" ref="BJ724:BK724" si="2156">BJ709</f>
        <v>39843</v>
      </c>
      <c r="BK724" s="897">
        <f t="shared" si="2156"/>
        <v>-2500000</v>
      </c>
      <c r="BS724" s="664"/>
      <c r="BV724" s="896">
        <f t="shared" ref="BV724:BW724" si="2157">BV709</f>
        <v>39843</v>
      </c>
      <c r="BW724" s="897">
        <f t="shared" si="2157"/>
        <v>-2500000</v>
      </c>
      <c r="CE724" s="664"/>
      <c r="CH724" s="896">
        <f t="shared" ref="CH724:CI724" si="2158">CH709</f>
        <v>39843</v>
      </c>
      <c r="CI724" s="897">
        <f t="shared" si="2158"/>
        <v>-2500000</v>
      </c>
      <c r="CQ724" s="664"/>
      <c r="CT724" s="896">
        <f t="shared" ref="CT724:CU724" si="2159">CT709</f>
        <v>39843</v>
      </c>
      <c r="CU724" s="897">
        <f t="shared" si="2159"/>
        <v>-2500000</v>
      </c>
      <c r="DC724" s="664"/>
      <c r="DF724" s="896">
        <f t="shared" ref="DF724:DG724" si="2160">DF709</f>
        <v>39843</v>
      </c>
      <c r="DG724" s="897">
        <f t="shared" si="2160"/>
        <v>-2500000</v>
      </c>
      <c r="DO724" s="664"/>
    </row>
    <row r="725" spans="2:119" hidden="1" x14ac:dyDescent="0.25">
      <c r="B725" s="896">
        <f t="shared" ref="B725:C725" si="2161">B710</f>
        <v>39843</v>
      </c>
      <c r="C725" s="897">
        <f t="shared" si="2161"/>
        <v>-6666666.666666667</v>
      </c>
      <c r="K725" s="664"/>
      <c r="N725" s="896">
        <f t="shared" ref="N725:O725" si="2162">N710</f>
        <v>39843</v>
      </c>
      <c r="O725" s="897">
        <f t="shared" si="2162"/>
        <v>-6666666.666666667</v>
      </c>
      <c r="U725" s="663"/>
      <c r="W725" s="664"/>
      <c r="Z725" s="896">
        <f t="shared" ref="Z725:AA725" si="2163">Z710</f>
        <v>39843</v>
      </c>
      <c r="AA725" s="897">
        <f t="shared" si="2163"/>
        <v>-6666666.666666667</v>
      </c>
      <c r="AB725" s="663"/>
      <c r="AC725" s="663"/>
      <c r="AD725" s="663"/>
      <c r="AE725" s="663"/>
      <c r="AF725" s="663"/>
      <c r="AG725" s="663"/>
      <c r="AH725" s="663"/>
      <c r="AI725" s="664"/>
      <c r="AL725" s="896">
        <f t="shared" ref="AL725:AM725" si="2164">AL710</f>
        <v>39843</v>
      </c>
      <c r="AM725" s="897">
        <f t="shared" si="2164"/>
        <v>-6666666.666666667</v>
      </c>
      <c r="AN725" s="663"/>
      <c r="AU725" s="664"/>
      <c r="AX725" s="896">
        <f t="shared" ref="AX725:AY725" si="2165">AX710</f>
        <v>39843</v>
      </c>
      <c r="AY725" s="897">
        <f t="shared" si="2165"/>
        <v>-6666666.666666667</v>
      </c>
      <c r="BG725" s="664"/>
      <c r="BJ725" s="896">
        <f t="shared" ref="BJ725:BK725" si="2166">BJ710</f>
        <v>39843</v>
      </c>
      <c r="BK725" s="897">
        <f t="shared" si="2166"/>
        <v>-6666666.666666667</v>
      </c>
      <c r="BS725" s="664"/>
      <c r="BV725" s="896">
        <f t="shared" ref="BV725:BW725" si="2167">BV710</f>
        <v>39843</v>
      </c>
      <c r="BW725" s="897">
        <f t="shared" si="2167"/>
        <v>-6666666.666666667</v>
      </c>
      <c r="CE725" s="664"/>
      <c r="CH725" s="896">
        <f t="shared" ref="CH725:CI725" si="2168">CH710</f>
        <v>39843</v>
      </c>
      <c r="CI725" s="897">
        <f t="shared" si="2168"/>
        <v>-6666666.666666667</v>
      </c>
      <c r="CQ725" s="664"/>
      <c r="CT725" s="896">
        <f t="shared" ref="CT725:CU725" si="2169">CT710</f>
        <v>39843</v>
      </c>
      <c r="CU725" s="897">
        <f t="shared" si="2169"/>
        <v>-6666666.666666667</v>
      </c>
      <c r="DC725" s="664"/>
      <c r="DF725" s="896">
        <f t="shared" ref="DF725:DG725" si="2170">DF710</f>
        <v>39843</v>
      </c>
      <c r="DG725" s="897">
        <f t="shared" si="2170"/>
        <v>-6666666.666666667</v>
      </c>
      <c r="DO725" s="664"/>
    </row>
    <row r="726" spans="2:119" hidden="1" x14ac:dyDescent="0.25">
      <c r="B726" s="896">
        <f t="shared" ref="B726:C726" si="2171">B711</f>
        <v>39843</v>
      </c>
      <c r="C726" s="897">
        <f t="shared" si="2171"/>
        <v>0</v>
      </c>
      <c r="K726" s="664"/>
      <c r="N726" s="896">
        <f t="shared" ref="N726:O726" si="2172">N711</f>
        <v>39843</v>
      </c>
      <c r="O726" s="897">
        <f t="shared" si="2172"/>
        <v>0</v>
      </c>
      <c r="U726" s="663"/>
      <c r="W726" s="664"/>
      <c r="Z726" s="896">
        <f t="shared" ref="Z726:AA726" si="2173">Z711</f>
        <v>39843</v>
      </c>
      <c r="AA726" s="897">
        <f t="shared" si="2173"/>
        <v>0</v>
      </c>
      <c r="AB726" s="663"/>
      <c r="AC726" s="663"/>
      <c r="AD726" s="663"/>
      <c r="AE726" s="663"/>
      <c r="AF726" s="663"/>
      <c r="AG726" s="663"/>
      <c r="AH726" s="663"/>
      <c r="AI726" s="664"/>
      <c r="AL726" s="896">
        <f t="shared" ref="AL726:AM726" si="2174">AL711</f>
        <v>39843</v>
      </c>
      <c r="AM726" s="897">
        <f t="shared" si="2174"/>
        <v>0</v>
      </c>
      <c r="AN726" s="663"/>
      <c r="AU726" s="664"/>
      <c r="AX726" s="896">
        <f t="shared" ref="AX726:AY726" si="2175">AX711</f>
        <v>39843</v>
      </c>
      <c r="AY726" s="897">
        <f t="shared" si="2175"/>
        <v>0</v>
      </c>
      <c r="BG726" s="664"/>
      <c r="BJ726" s="896">
        <f t="shared" ref="BJ726:BK726" si="2176">BJ711</f>
        <v>39843</v>
      </c>
      <c r="BK726" s="897">
        <f t="shared" si="2176"/>
        <v>0</v>
      </c>
      <c r="BS726" s="664"/>
      <c r="BV726" s="896">
        <f t="shared" ref="BV726:BW726" si="2177">BV711</f>
        <v>39843</v>
      </c>
      <c r="BW726" s="897">
        <f t="shared" si="2177"/>
        <v>0</v>
      </c>
      <c r="CE726" s="664"/>
      <c r="CH726" s="896">
        <f t="shared" ref="CH726:CI726" si="2178">CH711</f>
        <v>39843</v>
      </c>
      <c r="CI726" s="897">
        <f t="shared" si="2178"/>
        <v>0</v>
      </c>
      <c r="CQ726" s="664"/>
      <c r="CT726" s="896">
        <f t="shared" ref="CT726:CU726" si="2179">CT711</f>
        <v>39843</v>
      </c>
      <c r="CU726" s="897">
        <f t="shared" si="2179"/>
        <v>0</v>
      </c>
      <c r="DC726" s="664"/>
      <c r="DF726" s="896">
        <f t="shared" ref="DF726:DG726" si="2180">DF711</f>
        <v>39843</v>
      </c>
      <c r="DG726" s="897">
        <f t="shared" si="2180"/>
        <v>0</v>
      </c>
      <c r="DO726" s="664"/>
    </row>
    <row r="727" spans="2:119" hidden="1" x14ac:dyDescent="0.25">
      <c r="B727" s="896">
        <f t="shared" ref="B727:C727" si="2181">B712</f>
        <v>39843</v>
      </c>
      <c r="C727" s="897">
        <f t="shared" si="2181"/>
        <v>0</v>
      </c>
      <c r="K727" s="664"/>
      <c r="N727" s="896">
        <f t="shared" ref="N727:O727" si="2182">N712</f>
        <v>39843</v>
      </c>
      <c r="O727" s="897">
        <f t="shared" si="2182"/>
        <v>0</v>
      </c>
      <c r="U727" s="663"/>
      <c r="W727" s="664"/>
      <c r="Z727" s="896">
        <f t="shared" ref="Z727:AA727" si="2183">Z712</f>
        <v>39843</v>
      </c>
      <c r="AA727" s="897">
        <f t="shared" si="2183"/>
        <v>0</v>
      </c>
      <c r="AB727" s="663"/>
      <c r="AC727" s="663"/>
      <c r="AD727" s="663"/>
      <c r="AE727" s="663"/>
      <c r="AF727" s="663"/>
      <c r="AG727" s="663"/>
      <c r="AH727" s="663"/>
      <c r="AI727" s="664"/>
      <c r="AL727" s="896">
        <f t="shared" ref="AL727:AM727" si="2184">AL712</f>
        <v>39843</v>
      </c>
      <c r="AM727" s="897">
        <f t="shared" si="2184"/>
        <v>0</v>
      </c>
      <c r="AN727" s="663"/>
      <c r="AU727" s="664"/>
      <c r="AX727" s="896">
        <f t="shared" ref="AX727:AY727" si="2185">AX712</f>
        <v>39843</v>
      </c>
      <c r="AY727" s="897">
        <f t="shared" si="2185"/>
        <v>0</v>
      </c>
      <c r="BG727" s="664"/>
      <c r="BJ727" s="896">
        <f t="shared" ref="BJ727:BK727" si="2186">BJ712</f>
        <v>39843</v>
      </c>
      <c r="BK727" s="897">
        <f t="shared" si="2186"/>
        <v>0</v>
      </c>
      <c r="BS727" s="664"/>
      <c r="BV727" s="896">
        <f t="shared" ref="BV727:BW727" si="2187">BV712</f>
        <v>39843</v>
      </c>
      <c r="BW727" s="897">
        <f t="shared" si="2187"/>
        <v>0</v>
      </c>
      <c r="CE727" s="664"/>
      <c r="CH727" s="896">
        <f t="shared" ref="CH727:CI727" si="2188">CH712</f>
        <v>39843</v>
      </c>
      <c r="CI727" s="897">
        <f t="shared" si="2188"/>
        <v>0</v>
      </c>
      <c r="CQ727" s="664"/>
      <c r="CT727" s="896">
        <f t="shared" ref="CT727:CU727" si="2189">CT712</f>
        <v>39843</v>
      </c>
      <c r="CU727" s="897">
        <f t="shared" si="2189"/>
        <v>0</v>
      </c>
      <c r="DC727" s="664"/>
      <c r="DF727" s="896">
        <f t="shared" ref="DF727:DG727" si="2190">DF712</f>
        <v>39843</v>
      </c>
      <c r="DG727" s="897">
        <f t="shared" si="2190"/>
        <v>0</v>
      </c>
      <c r="DO727" s="664"/>
    </row>
    <row r="728" spans="2:119" hidden="1" x14ac:dyDescent="0.25">
      <c r="B728" s="896">
        <f t="shared" ref="B728:C728" si="2191">B713</f>
        <v>39843</v>
      </c>
      <c r="C728" s="897">
        <f t="shared" si="2191"/>
        <v>0</v>
      </c>
      <c r="K728" s="664"/>
      <c r="N728" s="896">
        <f t="shared" ref="N728:O728" si="2192">N713</f>
        <v>39843</v>
      </c>
      <c r="O728" s="897">
        <f t="shared" si="2192"/>
        <v>0</v>
      </c>
      <c r="U728" s="663"/>
      <c r="W728" s="664"/>
      <c r="Z728" s="896">
        <f t="shared" ref="Z728:AA728" si="2193">Z713</f>
        <v>39843</v>
      </c>
      <c r="AA728" s="897">
        <f t="shared" si="2193"/>
        <v>0</v>
      </c>
      <c r="AB728" s="663"/>
      <c r="AC728" s="663"/>
      <c r="AD728" s="663"/>
      <c r="AE728" s="663"/>
      <c r="AF728" s="663"/>
      <c r="AG728" s="663"/>
      <c r="AH728" s="663"/>
      <c r="AI728" s="664"/>
      <c r="AL728" s="896">
        <f t="shared" ref="AL728:AM728" si="2194">AL713</f>
        <v>39843</v>
      </c>
      <c r="AM728" s="897">
        <f t="shared" si="2194"/>
        <v>0</v>
      </c>
      <c r="AN728" s="663"/>
      <c r="AU728" s="664"/>
      <c r="AX728" s="896">
        <f t="shared" ref="AX728:AY728" si="2195">AX713</f>
        <v>39843</v>
      </c>
      <c r="AY728" s="897">
        <f t="shared" si="2195"/>
        <v>0</v>
      </c>
      <c r="BG728" s="664"/>
      <c r="BJ728" s="896">
        <f t="shared" ref="BJ728:BK728" si="2196">BJ713</f>
        <v>39843</v>
      </c>
      <c r="BK728" s="897">
        <f t="shared" si="2196"/>
        <v>0</v>
      </c>
      <c r="BS728" s="664"/>
      <c r="BV728" s="896">
        <f t="shared" ref="BV728:BW728" si="2197">BV713</f>
        <v>39843</v>
      </c>
      <c r="BW728" s="897">
        <f t="shared" si="2197"/>
        <v>0</v>
      </c>
      <c r="CE728" s="664"/>
      <c r="CH728" s="896">
        <f t="shared" ref="CH728:CI728" si="2198">CH713</f>
        <v>39843</v>
      </c>
      <c r="CI728" s="897">
        <f t="shared" si="2198"/>
        <v>0</v>
      </c>
      <c r="CQ728" s="664"/>
      <c r="CT728" s="896">
        <f t="shared" ref="CT728:CU728" si="2199">CT713</f>
        <v>39843</v>
      </c>
      <c r="CU728" s="897">
        <f t="shared" si="2199"/>
        <v>0</v>
      </c>
      <c r="DC728" s="664"/>
      <c r="DF728" s="896">
        <f t="shared" ref="DF728:DG728" si="2200">DF713</f>
        <v>39843</v>
      </c>
      <c r="DG728" s="897">
        <f t="shared" si="2200"/>
        <v>0</v>
      </c>
      <c r="DO728" s="664"/>
    </row>
    <row r="729" spans="2:119" hidden="1" x14ac:dyDescent="0.25">
      <c r="B729" s="896">
        <f t="shared" ref="B729:C729" si="2201">B714</f>
        <v>39843</v>
      </c>
      <c r="C729" s="897">
        <f t="shared" si="2201"/>
        <v>0</v>
      </c>
      <c r="K729" s="664"/>
      <c r="N729" s="896">
        <f t="shared" ref="N729:O729" si="2202">N714</f>
        <v>39843</v>
      </c>
      <c r="O729" s="897">
        <f t="shared" si="2202"/>
        <v>0</v>
      </c>
      <c r="U729" s="663"/>
      <c r="W729" s="664"/>
      <c r="Z729" s="896">
        <f t="shared" ref="Z729:AA729" si="2203">Z714</f>
        <v>39843</v>
      </c>
      <c r="AA729" s="897">
        <f t="shared" si="2203"/>
        <v>0</v>
      </c>
      <c r="AB729" s="663"/>
      <c r="AC729" s="663"/>
      <c r="AD729" s="663"/>
      <c r="AE729" s="663"/>
      <c r="AF729" s="663"/>
      <c r="AG729" s="663"/>
      <c r="AH729" s="663"/>
      <c r="AI729" s="664"/>
      <c r="AL729" s="896">
        <f t="shared" ref="AL729:AM729" si="2204">AL714</f>
        <v>39843</v>
      </c>
      <c r="AM729" s="897">
        <f t="shared" si="2204"/>
        <v>0</v>
      </c>
      <c r="AN729" s="663"/>
      <c r="AU729" s="664"/>
      <c r="AX729" s="896">
        <f t="shared" ref="AX729:AY729" si="2205">AX714</f>
        <v>39843</v>
      </c>
      <c r="AY729" s="897">
        <f t="shared" si="2205"/>
        <v>0</v>
      </c>
      <c r="BG729" s="664"/>
      <c r="BJ729" s="896">
        <f t="shared" ref="BJ729:BK729" si="2206">BJ714</f>
        <v>39843</v>
      </c>
      <c r="BK729" s="897">
        <f t="shared" si="2206"/>
        <v>0</v>
      </c>
      <c r="BS729" s="664"/>
      <c r="BV729" s="896">
        <f t="shared" ref="BV729:BW729" si="2207">BV714</f>
        <v>39843</v>
      </c>
      <c r="BW729" s="897">
        <f t="shared" si="2207"/>
        <v>0</v>
      </c>
      <c r="CE729" s="664"/>
      <c r="CH729" s="896">
        <f t="shared" ref="CH729:CI729" si="2208">CH714</f>
        <v>39843</v>
      </c>
      <c r="CI729" s="897">
        <f t="shared" si="2208"/>
        <v>0</v>
      </c>
      <c r="CQ729" s="664"/>
      <c r="CT729" s="896">
        <f t="shared" ref="CT729:CU729" si="2209">CT714</f>
        <v>39843</v>
      </c>
      <c r="CU729" s="897">
        <f t="shared" si="2209"/>
        <v>0</v>
      </c>
      <c r="DC729" s="664"/>
      <c r="DF729" s="896">
        <f t="shared" ref="DF729:DG729" si="2210">DF714</f>
        <v>39843</v>
      </c>
      <c r="DG729" s="897">
        <f t="shared" si="2210"/>
        <v>0</v>
      </c>
      <c r="DO729" s="664"/>
    </row>
    <row r="730" spans="2:119" hidden="1" x14ac:dyDescent="0.25">
      <c r="B730" s="896">
        <f t="shared" ref="B730:C730" si="2211">B715</f>
        <v>39843</v>
      </c>
      <c r="C730" s="897">
        <f t="shared" si="2211"/>
        <v>0</v>
      </c>
      <c r="K730" s="664"/>
      <c r="N730" s="896">
        <f t="shared" ref="N730:O730" si="2212">N715</f>
        <v>39843</v>
      </c>
      <c r="O730" s="897">
        <f t="shared" si="2212"/>
        <v>0</v>
      </c>
      <c r="U730" s="663"/>
      <c r="W730" s="664"/>
      <c r="Z730" s="896">
        <f t="shared" ref="Z730:AA730" si="2213">Z715</f>
        <v>39843</v>
      </c>
      <c r="AA730" s="897">
        <f t="shared" si="2213"/>
        <v>0</v>
      </c>
      <c r="AB730" s="663"/>
      <c r="AC730" s="663"/>
      <c r="AD730" s="663"/>
      <c r="AE730" s="663"/>
      <c r="AF730" s="663"/>
      <c r="AG730" s="663"/>
      <c r="AH730" s="663"/>
      <c r="AI730" s="664"/>
      <c r="AL730" s="896">
        <f t="shared" ref="AL730:AM730" si="2214">AL715</f>
        <v>39843</v>
      </c>
      <c r="AM730" s="897">
        <f t="shared" si="2214"/>
        <v>0</v>
      </c>
      <c r="AN730" s="663"/>
      <c r="AU730" s="664"/>
      <c r="AX730" s="896">
        <f t="shared" ref="AX730:AY730" si="2215">AX715</f>
        <v>39843</v>
      </c>
      <c r="AY730" s="897">
        <f t="shared" si="2215"/>
        <v>0</v>
      </c>
      <c r="BG730" s="664"/>
      <c r="BJ730" s="896">
        <f t="shared" ref="BJ730:BK730" si="2216">BJ715</f>
        <v>39843</v>
      </c>
      <c r="BK730" s="897">
        <f t="shared" si="2216"/>
        <v>0</v>
      </c>
      <c r="BS730" s="664"/>
      <c r="BV730" s="896">
        <f t="shared" ref="BV730:BW730" si="2217">BV715</f>
        <v>39843</v>
      </c>
      <c r="BW730" s="897">
        <f t="shared" si="2217"/>
        <v>0</v>
      </c>
      <c r="CE730" s="664"/>
      <c r="CH730" s="896">
        <f t="shared" ref="CH730:CI730" si="2218">CH715</f>
        <v>39843</v>
      </c>
      <c r="CI730" s="897">
        <f t="shared" si="2218"/>
        <v>0</v>
      </c>
      <c r="CQ730" s="664"/>
      <c r="CT730" s="896">
        <f t="shared" ref="CT730:CU730" si="2219">CT715</f>
        <v>39843</v>
      </c>
      <c r="CU730" s="897">
        <f t="shared" si="2219"/>
        <v>0</v>
      </c>
      <c r="DC730" s="664"/>
      <c r="DF730" s="896">
        <f t="shared" ref="DF730:DG730" si="2220">DF715</f>
        <v>39843</v>
      </c>
      <c r="DG730" s="897">
        <f t="shared" si="2220"/>
        <v>0</v>
      </c>
      <c r="DO730" s="664"/>
    </row>
    <row r="731" spans="2:119" hidden="1" x14ac:dyDescent="0.25">
      <c r="B731" s="896">
        <f t="shared" ref="B731:C731" si="2221">B716</f>
        <v>39843</v>
      </c>
      <c r="C731" s="897">
        <f t="shared" si="2221"/>
        <v>0</v>
      </c>
      <c r="K731" s="664"/>
      <c r="N731" s="896">
        <f t="shared" ref="N731:O731" si="2222">N716</f>
        <v>39843</v>
      </c>
      <c r="O731" s="897">
        <f t="shared" si="2222"/>
        <v>0</v>
      </c>
      <c r="U731" s="663"/>
      <c r="W731" s="664"/>
      <c r="Z731" s="896">
        <f t="shared" ref="Z731:AA731" si="2223">Z716</f>
        <v>39843</v>
      </c>
      <c r="AA731" s="897">
        <f t="shared" si="2223"/>
        <v>0</v>
      </c>
      <c r="AB731" s="663"/>
      <c r="AC731" s="663"/>
      <c r="AD731" s="663"/>
      <c r="AE731" s="663"/>
      <c r="AF731" s="663"/>
      <c r="AG731" s="663"/>
      <c r="AH731" s="663"/>
      <c r="AI731" s="664"/>
      <c r="AL731" s="896">
        <f t="shared" ref="AL731:AM731" si="2224">AL716</f>
        <v>39843</v>
      </c>
      <c r="AM731" s="897">
        <f t="shared" si="2224"/>
        <v>0</v>
      </c>
      <c r="AN731" s="663"/>
      <c r="AU731" s="664"/>
      <c r="AX731" s="896">
        <f t="shared" ref="AX731:AY731" si="2225">AX716</f>
        <v>39843</v>
      </c>
      <c r="AY731" s="897">
        <f t="shared" si="2225"/>
        <v>0</v>
      </c>
      <c r="BG731" s="664"/>
      <c r="BJ731" s="896">
        <f t="shared" ref="BJ731:BK731" si="2226">BJ716</f>
        <v>39843</v>
      </c>
      <c r="BK731" s="897">
        <f t="shared" si="2226"/>
        <v>0</v>
      </c>
      <c r="BS731" s="664"/>
      <c r="BV731" s="896">
        <f t="shared" ref="BV731:BW731" si="2227">BV716</f>
        <v>39843</v>
      </c>
      <c r="BW731" s="897">
        <f t="shared" si="2227"/>
        <v>0</v>
      </c>
      <c r="CE731" s="664"/>
      <c r="CH731" s="896">
        <f t="shared" ref="CH731:CI731" si="2228">CH716</f>
        <v>39843</v>
      </c>
      <c r="CI731" s="897">
        <f t="shared" si="2228"/>
        <v>0</v>
      </c>
      <c r="CQ731" s="664"/>
      <c r="CT731" s="896">
        <f t="shared" ref="CT731:CU731" si="2229">CT716</f>
        <v>39843</v>
      </c>
      <c r="CU731" s="897">
        <f t="shared" si="2229"/>
        <v>0</v>
      </c>
      <c r="DC731" s="664"/>
      <c r="DF731" s="896">
        <f t="shared" ref="DF731:DG731" si="2230">DF716</f>
        <v>39843</v>
      </c>
      <c r="DG731" s="897">
        <f t="shared" si="2230"/>
        <v>0</v>
      </c>
      <c r="DO731" s="664"/>
    </row>
    <row r="732" spans="2:119" hidden="1" x14ac:dyDescent="0.25">
      <c r="B732" s="896">
        <f>B717+$C$56</f>
        <v>41539</v>
      </c>
      <c r="C732" s="897">
        <f ca="1">C717</f>
        <v>0</v>
      </c>
      <c r="K732" s="664"/>
      <c r="N732" s="896">
        <f>N717+$C$56</f>
        <v>41539</v>
      </c>
      <c r="O732" s="897">
        <f ca="1">O717</f>
        <v>0</v>
      </c>
      <c r="U732" s="663"/>
      <c r="W732" s="664"/>
      <c r="Z732" s="896">
        <f>Z717+$C$56</f>
        <v>41539</v>
      </c>
      <c r="AA732" s="897">
        <f ca="1">AA717</f>
        <v>0</v>
      </c>
      <c r="AB732" s="663"/>
      <c r="AC732" s="663"/>
      <c r="AD732" s="663"/>
      <c r="AE732" s="663"/>
      <c r="AF732" s="663"/>
      <c r="AG732" s="663"/>
      <c r="AH732" s="663"/>
      <c r="AI732" s="664"/>
      <c r="AL732" s="896">
        <f>AL717+$C$56</f>
        <v>41539</v>
      </c>
      <c r="AM732" s="897">
        <f ca="1">AM717</f>
        <v>0</v>
      </c>
      <c r="AN732" s="663"/>
      <c r="AU732" s="664"/>
      <c r="AX732" s="896">
        <f>AX717+$C$56</f>
        <v>41539</v>
      </c>
      <c r="AY732" s="897">
        <f ca="1">AY717</f>
        <v>0</v>
      </c>
      <c r="BG732" s="664"/>
      <c r="BJ732" s="896">
        <f>BJ717+$C$56</f>
        <v>41539</v>
      </c>
      <c r="BK732" s="897">
        <f ca="1">BK717</f>
        <v>0</v>
      </c>
      <c r="BS732" s="664"/>
      <c r="BV732" s="896">
        <f>BV717+$C$56</f>
        <v>41539</v>
      </c>
      <c r="BW732" s="897">
        <f ca="1">BW717</f>
        <v>0</v>
      </c>
      <c r="CE732" s="664"/>
      <c r="CH732" s="896">
        <f>CH717+$C$56</f>
        <v>41539</v>
      </c>
      <c r="CI732" s="897">
        <f ca="1">CI717</f>
        <v>0</v>
      </c>
      <c r="CQ732" s="664"/>
      <c r="CT732" s="896">
        <f>CT717+$C$56</f>
        <v>41539</v>
      </c>
      <c r="CU732" s="897">
        <f ca="1">CU717</f>
        <v>0</v>
      </c>
      <c r="DC732" s="664"/>
      <c r="DF732" s="896">
        <f>DF717+$C$56</f>
        <v>41539</v>
      </c>
      <c r="DG732" s="897">
        <f ca="1">DG717</f>
        <v>0</v>
      </c>
      <c r="DO732" s="664"/>
    </row>
    <row r="733" spans="2:119" hidden="1" x14ac:dyDescent="0.25">
      <c r="B733" s="898">
        <f>IF(C722&lt;&gt;0,ROW(C722),IF(C723&lt;&gt;0,ROW(C723),IF(C724&lt;&gt;0,ROW(C724),IF(C725&lt;&gt;0,ROW(C725),IF(C726&lt;&gt;0,ROW(C726),IF(C727&lt;&gt;0,ROW(C727),IF(C728&lt;&gt;0,ROW(C728),IF(C729&lt;&gt;0,ROW(C729),IF(C730&lt;&gt;0,ROW(C730),IF(C731&lt;&gt;0,ROW(C731)))))))))))</f>
        <v>724</v>
      </c>
      <c r="C733" s="882" t="e">
        <f ca="1">IF(ISERROR(XIRR(INDIRECT(B735):C732,INDIRECT(B734):B732,-20%)),XIRR(INDIRECT(B735):C732,INDIRECT(B734):B732,20%),"N/A")</f>
        <v>#NUM!</v>
      </c>
      <c r="K733" s="664"/>
      <c r="N733" s="898">
        <f>IF(O722&lt;&gt;0,ROW(O722),IF(O723&lt;&gt;0,ROW(O723),IF(O724&lt;&gt;0,ROW(O724),IF(O725&lt;&gt;0,ROW(O725),IF(O726&lt;&gt;0,ROW(O726),IF(O727&lt;&gt;0,ROW(O727),IF(O728&lt;&gt;0,ROW(O728),IF(O729&lt;&gt;0,ROW(O729),IF(O730&lt;&gt;0,ROW(O730),IF(O731&lt;&gt;0,ROW(O731)))))))))))</f>
        <v>724</v>
      </c>
      <c r="O733" s="882" t="e">
        <f ca="1">IF(ISERROR(XIRR(INDIRECT(N735):O732,INDIRECT(N734):N732,-20%)),XIRR(INDIRECT(N735):O732,INDIRECT(N734):N732,20%),"N/A")</f>
        <v>#NUM!</v>
      </c>
      <c r="U733" s="663"/>
      <c r="W733" s="664"/>
      <c r="Z733" s="898">
        <f>IF(AA722&lt;&gt;0,ROW(AA722),IF(AA723&lt;&gt;0,ROW(AA723),IF(AA724&lt;&gt;0,ROW(AA724),IF(AA725&lt;&gt;0,ROW(AA725),IF(AA726&lt;&gt;0,ROW(AA726),IF(AA727&lt;&gt;0,ROW(AA727),IF(AA728&lt;&gt;0,ROW(AA728),IF(AA729&lt;&gt;0,ROW(AA729),IF(AA730&lt;&gt;0,ROW(AA730),IF(AA731&lt;&gt;0,ROW(AA731)))))))))))</f>
        <v>724</v>
      </c>
      <c r="AA733" s="882" t="e">
        <f ca="1">IF(ISERROR(XIRR(INDIRECT(Z735):AA732,INDIRECT(Z734):Z732,-20%)),XIRR(INDIRECT(Z735):AA732,INDIRECT(Z734):Z732,20%),"N/A")</f>
        <v>#NUM!</v>
      </c>
      <c r="AB733" s="663"/>
      <c r="AC733" s="663"/>
      <c r="AD733" s="663"/>
      <c r="AE733" s="663"/>
      <c r="AF733" s="663"/>
      <c r="AG733" s="663"/>
      <c r="AH733" s="663"/>
      <c r="AI733" s="664"/>
      <c r="AL733" s="898">
        <f>IF(AM722&lt;&gt;0,ROW(AM722),IF(AM723&lt;&gt;0,ROW(AM723),IF(AM724&lt;&gt;0,ROW(AM724),IF(AM725&lt;&gt;0,ROW(AM725),IF(AM726&lt;&gt;0,ROW(AM726),IF(AM727&lt;&gt;0,ROW(AM727),IF(AM728&lt;&gt;0,ROW(AM728),IF(AM729&lt;&gt;0,ROW(AM729),IF(AM730&lt;&gt;0,ROW(AM730),IF(AM731&lt;&gt;0,ROW(AM731)))))))))))</f>
        <v>724</v>
      </c>
      <c r="AM733" s="882" t="e">
        <f ca="1">IF(ISERROR(XIRR(INDIRECT(AL735):AM732,INDIRECT(AL734):AL732,-20%)),XIRR(INDIRECT(AL735):AM732,INDIRECT(AL734):AL732,20%),"N/A")</f>
        <v>#NUM!</v>
      </c>
      <c r="AN733" s="663"/>
      <c r="AU733" s="664"/>
      <c r="AX733" s="898">
        <f>IF(AY722&lt;&gt;0,ROW(AY722),IF(AY723&lt;&gt;0,ROW(AY723),IF(AY724&lt;&gt;0,ROW(AY724),IF(AY725&lt;&gt;0,ROW(AY725),IF(AY726&lt;&gt;0,ROW(AY726),IF(AY727&lt;&gt;0,ROW(AY727),IF(AY728&lt;&gt;0,ROW(AY728),IF(AY729&lt;&gt;0,ROW(AY729),IF(AY730&lt;&gt;0,ROW(AY730),IF(AY731&lt;&gt;0,ROW(AY731)))))))))))</f>
        <v>724</v>
      </c>
      <c r="AY733" s="882" t="e">
        <f ca="1">IF(ISERROR(XIRR(INDIRECT(AX735):AY732,INDIRECT(AX734):AX732,-20%)),XIRR(INDIRECT(AX735):AY732,INDIRECT(AX734):AX732,20%),"N/A")</f>
        <v>#NUM!</v>
      </c>
      <c r="BG733" s="664"/>
      <c r="BJ733" s="898">
        <f>IF(BK722&lt;&gt;0,ROW(BK722),IF(BK723&lt;&gt;0,ROW(BK723),IF(BK724&lt;&gt;0,ROW(BK724),IF(BK725&lt;&gt;0,ROW(BK725),IF(BK726&lt;&gt;0,ROW(BK726),IF(BK727&lt;&gt;0,ROW(BK727),IF(BK728&lt;&gt;0,ROW(BK728),IF(BK729&lt;&gt;0,ROW(BK729),IF(BK730&lt;&gt;0,ROW(BK730),IF(BK731&lt;&gt;0,ROW(BK731)))))))))))</f>
        <v>724</v>
      </c>
      <c r="BK733" s="882" t="e">
        <f ca="1">IF(ISERROR(XIRR(INDIRECT(BJ735):BK732,INDIRECT(BJ734):BJ732,-20%)),XIRR(INDIRECT(BJ735):BK732,INDIRECT(BJ734):BJ732,20%),"N/A")</f>
        <v>#NUM!</v>
      </c>
      <c r="BS733" s="664"/>
      <c r="BV733" s="898">
        <f>IF(BW722&lt;&gt;0,ROW(BW722),IF(BW723&lt;&gt;0,ROW(BW723),IF(BW724&lt;&gt;0,ROW(BW724),IF(BW725&lt;&gt;0,ROW(BW725),IF(BW726&lt;&gt;0,ROW(BW726),IF(BW727&lt;&gt;0,ROW(BW727),IF(BW728&lt;&gt;0,ROW(BW728),IF(BW729&lt;&gt;0,ROW(BW729),IF(BW730&lt;&gt;0,ROW(BW730),IF(BW731&lt;&gt;0,ROW(BW731)))))))))))</f>
        <v>724</v>
      </c>
      <c r="BW733" s="882" t="e">
        <f ca="1">IF(ISERROR(XIRR(INDIRECT(BV735):BW732,INDIRECT(BV734):BV732,-20%)),XIRR(INDIRECT(BV735):BW732,INDIRECT(BV734):BV732,20%),"N/A")</f>
        <v>#NUM!</v>
      </c>
      <c r="CE733" s="664"/>
      <c r="CH733" s="898">
        <f>IF(CI722&lt;&gt;0,ROW(CI722),IF(CI723&lt;&gt;0,ROW(CI723),IF(CI724&lt;&gt;0,ROW(CI724),IF(CI725&lt;&gt;0,ROW(CI725),IF(CI726&lt;&gt;0,ROW(CI726),IF(CI727&lt;&gt;0,ROW(CI727),IF(CI728&lt;&gt;0,ROW(CI728),IF(CI729&lt;&gt;0,ROW(CI729),IF(CI730&lt;&gt;0,ROW(CI730),IF(CI731&lt;&gt;0,ROW(CI731)))))))))))</f>
        <v>724</v>
      </c>
      <c r="CI733" s="882" t="e">
        <f ca="1">IF(ISERROR(XIRR(INDIRECT(CH735):CI732,INDIRECT(CH734):CH732,-20%)),XIRR(INDIRECT(CH735):CI732,INDIRECT(CH734):CH732,20%),"N/A")</f>
        <v>#NUM!</v>
      </c>
      <c r="CQ733" s="664"/>
      <c r="CT733" s="898">
        <f>IF(CU722&lt;&gt;0,ROW(CU722),IF(CU723&lt;&gt;0,ROW(CU723),IF(CU724&lt;&gt;0,ROW(CU724),IF(CU725&lt;&gt;0,ROW(CU725),IF(CU726&lt;&gt;0,ROW(CU726),IF(CU727&lt;&gt;0,ROW(CU727),IF(CU728&lt;&gt;0,ROW(CU728),IF(CU729&lt;&gt;0,ROW(CU729),IF(CU730&lt;&gt;0,ROW(CU730),IF(CU731&lt;&gt;0,ROW(CU731)))))))))))</f>
        <v>724</v>
      </c>
      <c r="CU733" s="882" t="e">
        <f ca="1">IF(ISERROR(XIRR(INDIRECT(CT735):CU732,INDIRECT(CT734):CT732,-20%)),XIRR(INDIRECT(CT735):CU732,INDIRECT(CT734):CT732,20%),"N/A")</f>
        <v>#NUM!</v>
      </c>
      <c r="DC733" s="664"/>
      <c r="DF733" s="898">
        <f>IF(DG722&lt;&gt;0,ROW(DG722),IF(DG723&lt;&gt;0,ROW(DG723),IF(DG724&lt;&gt;0,ROW(DG724),IF(DG725&lt;&gt;0,ROW(DG725),IF(DG726&lt;&gt;0,ROW(DG726),IF(DG727&lt;&gt;0,ROW(DG727),IF(DG728&lt;&gt;0,ROW(DG728),IF(DG729&lt;&gt;0,ROW(DG729),IF(DG730&lt;&gt;0,ROW(DG730),IF(DG731&lt;&gt;0,ROW(DG731)))))))))))</f>
        <v>724</v>
      </c>
      <c r="DG733" s="882" t="e">
        <f ca="1">IF(ISERROR(XIRR(INDIRECT(DF735):DG732,INDIRECT(DF734):DF732,-20%)),XIRR(INDIRECT(DF735):DG732,INDIRECT(DF734):DF732,20%),"N/A")</f>
        <v>#NUM!</v>
      </c>
      <c r="DO733" s="664"/>
    </row>
    <row r="734" spans="2:119" hidden="1" x14ac:dyDescent="0.25">
      <c r="B734" s="899" t="str">
        <f>CONCATENATE(CHAR(64+COLUMN(B733)),B733)</f>
        <v>B724</v>
      </c>
      <c r="C734" s="897"/>
      <c r="K734" s="664"/>
      <c r="N734" s="899" t="str">
        <f>CONCATENATE(CHAR(64+COLUMN(N733)),N733)</f>
        <v>N724</v>
      </c>
      <c r="O734" s="897"/>
      <c r="U734" s="663"/>
      <c r="W734" s="664"/>
      <c r="Z734" s="899" t="str">
        <f>CONCATENATE(IF(COLUMN(Z733)&lt;=26,CHAR(96+COLUMN(Z733)),(CHAR(96+(ROUNDDOWN((COLUMN(Z733)-1)/26,0)))&amp;CHAR(96+IF(MOD(COLUMN(Z733),26)=0,26,MOD(COLUMN(Z733),26))))),Z733)</f>
        <v>z724</v>
      </c>
      <c r="AA734" s="897"/>
      <c r="AB734" s="663"/>
      <c r="AC734" s="663"/>
      <c r="AD734" s="663"/>
      <c r="AE734" s="663"/>
      <c r="AF734" s="663"/>
      <c r="AG734" s="663"/>
      <c r="AH734" s="663"/>
      <c r="AI734" s="664"/>
      <c r="AL734" s="899" t="str">
        <f>CONCATENATE(IF(COLUMN(AL733)&lt;=26,CHAR(96+COLUMN(AL733)),(CHAR(96+(ROUNDDOWN((COLUMN(AL733)-1)/26,0)))&amp;CHAR(96+IF(MOD(COLUMN(AL733),26)=0,26,MOD(COLUMN(AL733),26))))),AL733)</f>
        <v>al724</v>
      </c>
      <c r="AM734" s="897"/>
      <c r="AN734" s="663"/>
      <c r="AU734" s="664"/>
      <c r="AX734" s="899" t="str">
        <f>CONCATENATE(IF(COLUMN(AX733)&lt;=26,CHAR(96+COLUMN(AX733)),(CHAR(96+(ROUNDDOWN((COLUMN(AX733)-1)/26,0)))&amp;CHAR(96+IF(MOD(COLUMN(AX733),26)=0,26,MOD(COLUMN(AX733),26))))),AX733)</f>
        <v>ax724</v>
      </c>
      <c r="AY734" s="897"/>
      <c r="BG734" s="664"/>
      <c r="BJ734" s="899" t="str">
        <f>CONCATENATE(IF(COLUMN(BJ733)&lt;=26,CHAR(96+COLUMN(BJ733)),(CHAR(96+(ROUNDDOWN((COLUMN(BJ733)-1)/26,0)))&amp;CHAR(96+IF(MOD(COLUMN(BJ733),26)=0,26,MOD(COLUMN(BJ733),26))))),BJ733)</f>
        <v>bj724</v>
      </c>
      <c r="BK734" s="897"/>
      <c r="BS734" s="664"/>
      <c r="BV734" s="899" t="str">
        <f>CONCATENATE(IF(COLUMN(BV733)&lt;=26,CHAR(96+COLUMN(BV733)),(CHAR(96+(ROUNDDOWN((COLUMN(BV733)-1)/26,0)))&amp;CHAR(96+IF(MOD(COLUMN(BV733),26)=0,26,MOD(COLUMN(BV733),26))))),BV733)</f>
        <v>bv724</v>
      </c>
      <c r="BW734" s="897"/>
      <c r="CE734" s="664"/>
      <c r="CH734" s="899" t="str">
        <f>CONCATENATE(IF(COLUMN(CH733)&lt;=26,CHAR(96+COLUMN(CH733)),(CHAR(96+(ROUNDDOWN((COLUMN(CH733)-1)/26,0)))&amp;CHAR(96+IF(MOD(COLUMN(CH733),26)=0,26,MOD(COLUMN(CH733),26))))),CH733)</f>
        <v>ch724</v>
      </c>
      <c r="CI734" s="897"/>
      <c r="CQ734" s="664"/>
      <c r="CT734" s="899" t="str">
        <f>CONCATENATE(IF(COLUMN(CT733)&lt;=26,CHAR(96+COLUMN(CT733)),(CHAR(96+(ROUNDDOWN((COLUMN(CT733)-1)/26,0)))&amp;CHAR(96+IF(MOD(COLUMN(CT733),26)=0,26,MOD(COLUMN(CT733),26))))),CT733)</f>
        <v>ct724</v>
      </c>
      <c r="CU734" s="897"/>
      <c r="DC734" s="664"/>
      <c r="DF734" s="899" t="str">
        <f>CONCATENATE(IF(COLUMN(DF733)&lt;=26,CHAR(96+COLUMN(DF733)),(CHAR(96+(ROUNDDOWN((COLUMN(DF733)-1)/26,0)))&amp;CHAR(96+IF(MOD(COLUMN(DF733),26)=0,26,MOD(COLUMN(DF733),26))))),DF733)</f>
        <v>df724</v>
      </c>
      <c r="DG734" s="897"/>
      <c r="DO734" s="664"/>
    </row>
    <row r="735" spans="2:119" hidden="1" x14ac:dyDescent="0.25">
      <c r="B735" s="899" t="str">
        <f>CONCATENATE(CHAR(64+COLUMN(C733)),B733)</f>
        <v>C724</v>
      </c>
      <c r="C735" s="897"/>
      <c r="K735" s="664"/>
      <c r="N735" s="899" t="str">
        <f>CONCATENATE(CHAR(64+COLUMN(O733)),N733)</f>
        <v>O724</v>
      </c>
      <c r="O735" s="897"/>
      <c r="U735" s="663"/>
      <c r="W735" s="664"/>
      <c r="Z735" s="899" t="str">
        <f>CONCATENATE(IF(COLUMN(AA733)&lt;=26,CHAR(96+COLUMN(AA733)),(CHAR(96+(ROUNDDOWN((COLUMN(AA733)-1)/26,0)))&amp;CHAR(96+IF(MOD(COLUMN(AA733),26)=0,26,MOD(COLUMN(AA733),26))))),Z733)</f>
        <v>aa724</v>
      </c>
      <c r="AA735" s="897"/>
      <c r="AB735" s="663"/>
      <c r="AC735" s="663"/>
      <c r="AD735" s="663"/>
      <c r="AE735" s="663"/>
      <c r="AF735" s="663"/>
      <c r="AG735" s="663"/>
      <c r="AH735" s="663"/>
      <c r="AI735" s="664"/>
      <c r="AL735" s="899" t="str">
        <f>CONCATENATE(IF(COLUMN(AM733)&lt;=26,CHAR(96+COLUMN(AM733)),(CHAR(96+(ROUNDDOWN((COLUMN(AM733)-1)/26,0)))&amp;CHAR(96+IF(MOD(COLUMN(AM733),26)=0,26,MOD(COLUMN(AM733),26))))),AL733)</f>
        <v>am724</v>
      </c>
      <c r="AM735" s="897"/>
      <c r="AN735" s="663"/>
      <c r="AU735" s="664"/>
      <c r="AX735" s="899" t="str">
        <f>CONCATENATE(IF(COLUMN(AY733)&lt;=26,CHAR(96+COLUMN(AY733)),(CHAR(96+(ROUNDDOWN((COLUMN(AY733)-1)/26,0)))&amp;CHAR(96+IF(MOD(COLUMN(AY733),26)=0,26,MOD(COLUMN(AY733),26))))),AX733)</f>
        <v>ay724</v>
      </c>
      <c r="AY735" s="897"/>
      <c r="BG735" s="664"/>
      <c r="BJ735" s="899" t="str">
        <f>CONCATENATE(IF(COLUMN(BK733)&lt;=26,CHAR(96+COLUMN(BK733)),(CHAR(96+(ROUNDDOWN((COLUMN(BK733)-1)/26,0)))&amp;CHAR(96+IF(MOD(COLUMN(BK733),26)=0,26,MOD(COLUMN(BK733),26))))),BJ733)</f>
        <v>bk724</v>
      </c>
      <c r="BK735" s="897"/>
      <c r="BS735" s="664"/>
      <c r="BV735" s="899" t="str">
        <f>CONCATENATE(IF(COLUMN(BW733)&lt;=26,CHAR(96+COLUMN(BW733)),(CHAR(96+(ROUNDDOWN((COLUMN(BW733)-1)/26,0)))&amp;CHAR(96+IF(MOD(COLUMN(BW733),26)=0,26,MOD(COLUMN(BW733),26))))),BV733)</f>
        <v>bw724</v>
      </c>
      <c r="BW735" s="897"/>
      <c r="CE735" s="664"/>
      <c r="CH735" s="899" t="str">
        <f>CONCATENATE(IF(COLUMN(CI733)&lt;=26,CHAR(96+COLUMN(CI733)),(CHAR(96+(ROUNDDOWN((COLUMN(CI733)-1)/26,0)))&amp;CHAR(96+IF(MOD(COLUMN(CI733),26)=0,26,MOD(COLUMN(CI733),26))))),CH733)</f>
        <v>ci724</v>
      </c>
      <c r="CI735" s="897"/>
      <c r="CQ735" s="664"/>
      <c r="CT735" s="899" t="str">
        <f>CONCATENATE(IF(COLUMN(CU733)&lt;=26,CHAR(96+COLUMN(CU733)),(CHAR(96+(ROUNDDOWN((COLUMN(CU733)-1)/26,0)))&amp;CHAR(96+IF(MOD(COLUMN(CU733),26)=0,26,MOD(COLUMN(CU733),26))))),CT733)</f>
        <v>cu724</v>
      </c>
      <c r="CU735" s="897"/>
      <c r="DC735" s="664"/>
      <c r="DF735" s="899" t="str">
        <f>CONCATENATE(IF(COLUMN(DG733)&lt;=26,CHAR(96+COLUMN(DG733)),(CHAR(96+(ROUNDDOWN((COLUMN(DG733)-1)/26,0)))&amp;CHAR(96+IF(MOD(COLUMN(DG733),26)=0,26,MOD(COLUMN(DG733),26))))),DF733)</f>
        <v>dg724</v>
      </c>
      <c r="DG735" s="897"/>
      <c r="DO735" s="664"/>
    </row>
    <row r="736" spans="2:119" hidden="1" x14ac:dyDescent="0.25">
      <c r="B736" s="668"/>
      <c r="C736" s="895"/>
      <c r="K736" s="664"/>
      <c r="N736" s="668"/>
      <c r="O736" s="895"/>
      <c r="U736" s="663"/>
      <c r="W736" s="664"/>
      <c r="Z736" s="668"/>
      <c r="AA736" s="895"/>
      <c r="AB736" s="663"/>
      <c r="AC736" s="663"/>
      <c r="AD736" s="663"/>
      <c r="AE736" s="663"/>
      <c r="AF736" s="663"/>
      <c r="AG736" s="663"/>
      <c r="AH736" s="663"/>
      <c r="AI736" s="664"/>
      <c r="AL736" s="668"/>
      <c r="AM736" s="895"/>
      <c r="AN736" s="663"/>
      <c r="AU736" s="664"/>
      <c r="AX736" s="668"/>
      <c r="AY736" s="895"/>
      <c r="BG736" s="664"/>
      <c r="BJ736" s="668"/>
      <c r="BK736" s="895"/>
      <c r="BS736" s="664"/>
      <c r="BV736" s="668"/>
      <c r="BW736" s="895"/>
      <c r="CE736" s="664"/>
      <c r="CH736" s="668"/>
      <c r="CI736" s="895"/>
      <c r="CQ736" s="664"/>
      <c r="CT736" s="668"/>
      <c r="CU736" s="895"/>
      <c r="DC736" s="664"/>
      <c r="DF736" s="668"/>
      <c r="DG736" s="895"/>
      <c r="DO736" s="664"/>
    </row>
    <row r="737" spans="2:119" hidden="1" x14ac:dyDescent="0.25">
      <c r="B737" s="668"/>
      <c r="C737" s="895"/>
      <c r="K737" s="664"/>
      <c r="N737" s="668"/>
      <c r="O737" s="895"/>
      <c r="U737" s="663"/>
      <c r="W737" s="664"/>
      <c r="Z737" s="668"/>
      <c r="AA737" s="895"/>
      <c r="AB737" s="663"/>
      <c r="AC737" s="663"/>
      <c r="AD737" s="663"/>
      <c r="AE737" s="663"/>
      <c r="AF737" s="663"/>
      <c r="AG737" s="663"/>
      <c r="AH737" s="663"/>
      <c r="AI737" s="664"/>
      <c r="AL737" s="668"/>
      <c r="AM737" s="895"/>
      <c r="AN737" s="663"/>
      <c r="AU737" s="664"/>
      <c r="AX737" s="668"/>
      <c r="AY737" s="895"/>
      <c r="BG737" s="664"/>
      <c r="BJ737" s="668"/>
      <c r="BK737" s="895"/>
      <c r="BS737" s="664"/>
      <c r="BV737" s="668"/>
      <c r="BW737" s="895"/>
      <c r="CE737" s="664"/>
      <c r="CH737" s="668"/>
      <c r="CI737" s="895"/>
      <c r="CQ737" s="664"/>
      <c r="CT737" s="668"/>
      <c r="CU737" s="895"/>
      <c r="DC737" s="664"/>
      <c r="DF737" s="668"/>
      <c r="DG737" s="895"/>
      <c r="DO737" s="664"/>
    </row>
    <row r="738" spans="2:119" hidden="1" x14ac:dyDescent="0.25">
      <c r="B738" s="894" t="str">
        <f>CONCATENATE(B210," Gross Return Analysis")</f>
        <v>Other Investors Gross Return Analysis</v>
      </c>
      <c r="C738" s="666"/>
      <c r="K738" s="664"/>
      <c r="N738" s="894" t="str">
        <f>CONCATENATE(N210," Gross Return Analysis")</f>
        <v>Other Investors Gross Return Analysis</v>
      </c>
      <c r="O738" s="666"/>
      <c r="U738" s="663"/>
      <c r="W738" s="664"/>
      <c r="Z738" s="894" t="str">
        <f>CONCATENATE(Z210," Gross Return Analysis")</f>
        <v>Other Investors Gross Return Analysis</v>
      </c>
      <c r="AA738" s="666"/>
      <c r="AB738" s="663"/>
      <c r="AC738" s="663"/>
      <c r="AD738" s="663"/>
      <c r="AE738" s="663"/>
      <c r="AF738" s="663"/>
      <c r="AG738" s="663"/>
      <c r="AH738" s="663"/>
      <c r="AI738" s="664"/>
      <c r="AL738" s="894" t="str">
        <f>CONCATENATE(AL210," Gross Return Analysis")</f>
        <v>Other Investors Gross Return Analysis</v>
      </c>
      <c r="AM738" s="666"/>
      <c r="AN738" s="663"/>
      <c r="AU738" s="664"/>
      <c r="AX738" s="894" t="str">
        <f>CONCATENATE(AX210," Gross Return Analysis")</f>
        <v>Other Investors Gross Return Analysis</v>
      </c>
      <c r="AY738" s="666"/>
      <c r="BG738" s="664"/>
      <c r="BJ738" s="894" t="str">
        <f>CONCATENATE(BJ210," Gross Return Analysis")</f>
        <v>Other Investors Gross Return Analysis</v>
      </c>
      <c r="BK738" s="666"/>
      <c r="BS738" s="664"/>
      <c r="BV738" s="894" t="str">
        <f>CONCATENATE(BV210," Gross Return Analysis")</f>
        <v>Other Investors Gross Return Analysis</v>
      </c>
      <c r="BW738" s="666"/>
      <c r="CE738" s="664"/>
      <c r="CH738" s="894" t="str">
        <f>CONCATENATE(CH210," Gross Return Analysis")</f>
        <v>Other Investors Gross Return Analysis</v>
      </c>
      <c r="CI738" s="666"/>
      <c r="CQ738" s="664"/>
      <c r="CT738" s="894" t="str">
        <f>CONCATENATE(CT210," Gross Return Analysis")</f>
        <v>Other Investors Gross Return Analysis</v>
      </c>
      <c r="CU738" s="666"/>
      <c r="DC738" s="664"/>
      <c r="DF738" s="894" t="str">
        <f>CONCATENATE(DF210," Gross Return Analysis")</f>
        <v>Other Investors Gross Return Analysis</v>
      </c>
      <c r="DG738" s="666"/>
      <c r="DO738" s="664"/>
    </row>
    <row r="739" spans="2:119" hidden="1" x14ac:dyDescent="0.25">
      <c r="B739" s="668" t="s">
        <v>114</v>
      </c>
      <c r="C739" s="666">
        <f ca="1">C210</f>
        <v>0</v>
      </c>
      <c r="K739" s="664"/>
      <c r="N739" s="668" t="s">
        <v>114</v>
      </c>
      <c r="O739" s="666">
        <f ca="1">O210</f>
        <v>0</v>
      </c>
      <c r="U739" s="663"/>
      <c r="W739" s="664"/>
      <c r="Z739" s="668" t="s">
        <v>114</v>
      </c>
      <c r="AA739" s="666">
        <f ca="1">AA210</f>
        <v>0</v>
      </c>
      <c r="AB739" s="663"/>
      <c r="AC739" s="663"/>
      <c r="AD739" s="663"/>
      <c r="AE739" s="663"/>
      <c r="AF739" s="663"/>
      <c r="AG739" s="663"/>
      <c r="AH739" s="663"/>
      <c r="AI739" s="664"/>
      <c r="AL739" s="668" t="s">
        <v>114</v>
      </c>
      <c r="AM739" s="666">
        <f ca="1">AM210</f>
        <v>0</v>
      </c>
      <c r="AN739" s="663"/>
      <c r="AU739" s="664"/>
      <c r="AX739" s="668" t="s">
        <v>114</v>
      </c>
      <c r="AY739" s="666">
        <f ca="1">AY210</f>
        <v>0</v>
      </c>
      <c r="BG739" s="664"/>
      <c r="BJ739" s="668" t="s">
        <v>114</v>
      </c>
      <c r="BK739" s="666">
        <f ca="1">BK210</f>
        <v>0</v>
      </c>
      <c r="BS739" s="664"/>
      <c r="BV739" s="668" t="s">
        <v>114</v>
      </c>
      <c r="BW739" s="666">
        <f ca="1">BW210</f>
        <v>0</v>
      </c>
      <c r="CE739" s="664"/>
      <c r="CH739" s="668" t="s">
        <v>114</v>
      </c>
      <c r="CI739" s="666">
        <f ca="1">CI210</f>
        <v>0</v>
      </c>
      <c r="CQ739" s="664"/>
      <c r="CT739" s="668" t="s">
        <v>114</v>
      </c>
      <c r="CU739" s="666">
        <f ca="1">CU210</f>
        <v>0</v>
      </c>
      <c r="DC739" s="664"/>
      <c r="DF739" s="668" t="s">
        <v>114</v>
      </c>
      <c r="DG739" s="666">
        <f ca="1">DG210</f>
        <v>0</v>
      </c>
      <c r="DO739" s="664"/>
    </row>
    <row r="740" spans="2:119" hidden="1" x14ac:dyDescent="0.25">
      <c r="B740" s="668" t="s">
        <v>115</v>
      </c>
      <c r="C740" s="895">
        <f>IF($P$37=0,0,C210/$P$37)</f>
        <v>0</v>
      </c>
      <c r="K740" s="664"/>
      <c r="N740" s="668" t="s">
        <v>115</v>
      </c>
      <c r="O740" s="895">
        <f>IF($P$37=0,0,O210/$P$37)</f>
        <v>0</v>
      </c>
      <c r="U740" s="663"/>
      <c r="W740" s="664"/>
      <c r="Z740" s="668" t="s">
        <v>115</v>
      </c>
      <c r="AA740" s="895">
        <f>IF($P$37=0,0,AA210/$P$37)</f>
        <v>0</v>
      </c>
      <c r="AB740" s="663"/>
      <c r="AC740" s="663"/>
      <c r="AD740" s="663"/>
      <c r="AE740" s="663"/>
      <c r="AF740" s="663"/>
      <c r="AG740" s="663"/>
      <c r="AH740" s="663"/>
      <c r="AI740" s="664"/>
      <c r="AL740" s="668" t="s">
        <v>115</v>
      </c>
      <c r="AM740" s="895">
        <f>IF($P$37=0,0,AM210/$P$37)</f>
        <v>0</v>
      </c>
      <c r="AN740" s="663"/>
      <c r="AU740" s="664"/>
      <c r="AX740" s="668" t="s">
        <v>115</v>
      </c>
      <c r="AY740" s="895">
        <f>IF($P$37=0,0,AY210/$P$37)</f>
        <v>0</v>
      </c>
      <c r="BG740" s="664"/>
      <c r="BJ740" s="668" t="s">
        <v>115</v>
      </c>
      <c r="BK740" s="895">
        <f>IF($P$37=0,0,BK210/$P$37)</f>
        <v>0</v>
      </c>
      <c r="BS740" s="664"/>
      <c r="BV740" s="668" t="s">
        <v>115</v>
      </c>
      <c r="BW740" s="895">
        <f>IF($P$37=0,0,BW210/$P$37)</f>
        <v>0</v>
      </c>
      <c r="CE740" s="664"/>
      <c r="CH740" s="668" t="s">
        <v>115</v>
      </c>
      <c r="CI740" s="895">
        <f>IF($P$37=0,0,CI210/$P$37)</f>
        <v>0</v>
      </c>
      <c r="CQ740" s="664"/>
      <c r="CT740" s="668" t="s">
        <v>115</v>
      </c>
      <c r="CU740" s="895">
        <f>IF($P$37=0,0,CU210/$P$37)</f>
        <v>0</v>
      </c>
      <c r="DC740" s="664"/>
      <c r="DF740" s="668" t="s">
        <v>115</v>
      </c>
      <c r="DG740" s="895">
        <f>IF($P$37=0,0,DG210/$P$37)</f>
        <v>0</v>
      </c>
      <c r="DO740" s="664"/>
    </row>
    <row r="741" spans="2:119" hidden="1" x14ac:dyDescent="0.25">
      <c r="B741" s="896">
        <f>$F$5</f>
        <v>39113</v>
      </c>
      <c r="C741" s="897">
        <f>-$F$37</f>
        <v>0</v>
      </c>
      <c r="K741" s="664"/>
      <c r="N741" s="896">
        <f>$F$5</f>
        <v>39113</v>
      </c>
      <c r="O741" s="897">
        <f>-$F$37</f>
        <v>0</v>
      </c>
      <c r="U741" s="663"/>
      <c r="W741" s="664"/>
      <c r="Z741" s="896">
        <f>$F$5</f>
        <v>39113</v>
      </c>
      <c r="AA741" s="897">
        <f>-$F$37</f>
        <v>0</v>
      </c>
      <c r="AB741" s="663"/>
      <c r="AC741" s="663"/>
      <c r="AD741" s="663"/>
      <c r="AE741" s="663"/>
      <c r="AF741" s="663"/>
      <c r="AG741" s="663"/>
      <c r="AH741" s="663"/>
      <c r="AI741" s="664"/>
      <c r="AL741" s="896">
        <f>$F$5</f>
        <v>39113</v>
      </c>
      <c r="AM741" s="897">
        <f>-$F$37</f>
        <v>0</v>
      </c>
      <c r="AN741" s="663"/>
      <c r="AU741" s="664"/>
      <c r="AX741" s="896">
        <f>$F$5</f>
        <v>39113</v>
      </c>
      <c r="AY741" s="897">
        <f>-$F$37</f>
        <v>0</v>
      </c>
      <c r="BG741" s="664"/>
      <c r="BJ741" s="896">
        <f>$F$5</f>
        <v>39113</v>
      </c>
      <c r="BK741" s="897">
        <f>-$F$37</f>
        <v>0</v>
      </c>
      <c r="BS741" s="664"/>
      <c r="BV741" s="896">
        <f>$F$5</f>
        <v>39113</v>
      </c>
      <c r="BW741" s="897">
        <f>-$F$37</f>
        <v>0</v>
      </c>
      <c r="CE741" s="664"/>
      <c r="CH741" s="896">
        <f>$F$5</f>
        <v>39113</v>
      </c>
      <c r="CI741" s="897">
        <f>-$F$37</f>
        <v>0</v>
      </c>
      <c r="CQ741" s="664"/>
      <c r="CT741" s="896">
        <f>$F$5</f>
        <v>39113</v>
      </c>
      <c r="CU741" s="897">
        <f>-$F$37</f>
        <v>0</v>
      </c>
      <c r="DC741" s="664"/>
      <c r="DF741" s="896">
        <f>$F$5</f>
        <v>39113</v>
      </c>
      <c r="DG741" s="897">
        <f>-$F$37</f>
        <v>0</v>
      </c>
      <c r="DO741" s="664"/>
    </row>
    <row r="742" spans="2:119" hidden="1" x14ac:dyDescent="0.25">
      <c r="B742" s="896">
        <f>$G$5</f>
        <v>39478</v>
      </c>
      <c r="C742" s="897">
        <f>-$G$37</f>
        <v>0</v>
      </c>
      <c r="K742" s="664"/>
      <c r="N742" s="896">
        <f>$G$5</f>
        <v>39478</v>
      </c>
      <c r="O742" s="897">
        <f>-$G$37</f>
        <v>0</v>
      </c>
      <c r="U742" s="663"/>
      <c r="W742" s="664"/>
      <c r="Z742" s="896">
        <f>$G$5</f>
        <v>39478</v>
      </c>
      <c r="AA742" s="897">
        <f>-$G$37</f>
        <v>0</v>
      </c>
      <c r="AB742" s="663"/>
      <c r="AC742" s="663"/>
      <c r="AD742" s="663"/>
      <c r="AE742" s="663"/>
      <c r="AF742" s="663"/>
      <c r="AG742" s="663"/>
      <c r="AH742" s="663"/>
      <c r="AI742" s="664"/>
      <c r="AL742" s="896">
        <f>$G$5</f>
        <v>39478</v>
      </c>
      <c r="AM742" s="897">
        <f>-$G$37</f>
        <v>0</v>
      </c>
      <c r="AN742" s="663"/>
      <c r="AU742" s="664"/>
      <c r="AX742" s="896">
        <f>$G$5</f>
        <v>39478</v>
      </c>
      <c r="AY742" s="897">
        <f>-$G$37</f>
        <v>0</v>
      </c>
      <c r="BG742" s="664"/>
      <c r="BJ742" s="896">
        <f>$G$5</f>
        <v>39478</v>
      </c>
      <c r="BK742" s="897">
        <f>-$G$37</f>
        <v>0</v>
      </c>
      <c r="BS742" s="664"/>
      <c r="BV742" s="896">
        <f>$G$5</f>
        <v>39478</v>
      </c>
      <c r="BW742" s="897">
        <f>-$G$37</f>
        <v>0</v>
      </c>
      <c r="CE742" s="664"/>
      <c r="CH742" s="896">
        <f>$G$5</f>
        <v>39478</v>
      </c>
      <c r="CI742" s="897">
        <f>-$G$37</f>
        <v>0</v>
      </c>
      <c r="CQ742" s="664"/>
      <c r="CT742" s="896">
        <f>$G$5</f>
        <v>39478</v>
      </c>
      <c r="CU742" s="897">
        <f>-$G$37</f>
        <v>0</v>
      </c>
      <c r="DC742" s="664"/>
      <c r="DF742" s="896">
        <f>$G$5</f>
        <v>39478</v>
      </c>
      <c r="DG742" s="897">
        <f>-$G$37</f>
        <v>0</v>
      </c>
      <c r="DO742" s="664"/>
    </row>
    <row r="743" spans="2:119" hidden="1" x14ac:dyDescent="0.25">
      <c r="B743" s="896">
        <f>$H$5</f>
        <v>39843</v>
      </c>
      <c r="C743" s="897">
        <f>-$H$37</f>
        <v>0</v>
      </c>
      <c r="K743" s="664"/>
      <c r="N743" s="896">
        <f>$H$5</f>
        <v>39843</v>
      </c>
      <c r="O743" s="897">
        <f>-$H$37</f>
        <v>0</v>
      </c>
      <c r="U743" s="663"/>
      <c r="W743" s="664"/>
      <c r="Z743" s="896">
        <f>$H$5</f>
        <v>39843</v>
      </c>
      <c r="AA743" s="897">
        <f>-$H$37</f>
        <v>0</v>
      </c>
      <c r="AB743" s="663"/>
      <c r="AC743" s="663"/>
      <c r="AD743" s="663"/>
      <c r="AE743" s="663"/>
      <c r="AF743" s="663"/>
      <c r="AG743" s="663"/>
      <c r="AH743" s="663"/>
      <c r="AI743" s="664"/>
      <c r="AL743" s="896">
        <f>$H$5</f>
        <v>39843</v>
      </c>
      <c r="AM743" s="897">
        <f>-$H$37</f>
        <v>0</v>
      </c>
      <c r="AN743" s="663"/>
      <c r="AU743" s="664"/>
      <c r="AX743" s="896">
        <f>$H$5</f>
        <v>39843</v>
      </c>
      <c r="AY743" s="897">
        <f>-$H$37</f>
        <v>0</v>
      </c>
      <c r="BG743" s="664"/>
      <c r="BJ743" s="896">
        <f>$H$5</f>
        <v>39843</v>
      </c>
      <c r="BK743" s="897">
        <f>-$H$37</f>
        <v>0</v>
      </c>
      <c r="BS743" s="664"/>
      <c r="BV743" s="896">
        <f>$H$5</f>
        <v>39843</v>
      </c>
      <c r="BW743" s="897">
        <f>-$H$37</f>
        <v>0</v>
      </c>
      <c r="CE743" s="664"/>
      <c r="CH743" s="896">
        <f>$H$5</f>
        <v>39843</v>
      </c>
      <c r="CI743" s="897">
        <f>-$H$37</f>
        <v>0</v>
      </c>
      <c r="CQ743" s="664"/>
      <c r="CT743" s="896">
        <f>$H$5</f>
        <v>39843</v>
      </c>
      <c r="CU743" s="897">
        <f>-$H$37</f>
        <v>0</v>
      </c>
      <c r="DC743" s="664"/>
      <c r="DF743" s="896">
        <f>$H$5</f>
        <v>39843</v>
      </c>
      <c r="DG743" s="897">
        <f>-$H$37</f>
        <v>0</v>
      </c>
      <c r="DO743" s="664"/>
    </row>
    <row r="744" spans="2:119" hidden="1" x14ac:dyDescent="0.25">
      <c r="B744" s="896">
        <f>$I$5</f>
        <v>39843</v>
      </c>
      <c r="C744" s="897">
        <f>-$I$37</f>
        <v>0</v>
      </c>
      <c r="K744" s="664"/>
      <c r="N744" s="896">
        <f>$I$5</f>
        <v>39843</v>
      </c>
      <c r="O744" s="897">
        <f>-$I$37</f>
        <v>0</v>
      </c>
      <c r="U744" s="663"/>
      <c r="W744" s="664"/>
      <c r="Z744" s="896">
        <f>$I$5</f>
        <v>39843</v>
      </c>
      <c r="AA744" s="897">
        <f>-$I$37</f>
        <v>0</v>
      </c>
      <c r="AB744" s="663"/>
      <c r="AC744" s="663"/>
      <c r="AD744" s="663"/>
      <c r="AE744" s="663"/>
      <c r="AF744" s="663"/>
      <c r="AG744" s="663"/>
      <c r="AH744" s="663"/>
      <c r="AI744" s="664"/>
      <c r="AL744" s="896">
        <f>$I$5</f>
        <v>39843</v>
      </c>
      <c r="AM744" s="897">
        <f>-$I$37</f>
        <v>0</v>
      </c>
      <c r="AN744" s="663"/>
      <c r="AU744" s="664"/>
      <c r="AX744" s="896">
        <f>$I$5</f>
        <v>39843</v>
      </c>
      <c r="AY744" s="897">
        <f>-$I$37</f>
        <v>0</v>
      </c>
      <c r="BG744" s="664"/>
      <c r="BJ744" s="896">
        <f>$I$5</f>
        <v>39843</v>
      </c>
      <c r="BK744" s="897">
        <f>-$I$37</f>
        <v>0</v>
      </c>
      <c r="BS744" s="664"/>
      <c r="BV744" s="896">
        <f>$I$5</f>
        <v>39843</v>
      </c>
      <c r="BW744" s="897">
        <f>-$I$37</f>
        <v>0</v>
      </c>
      <c r="CE744" s="664"/>
      <c r="CH744" s="896">
        <f>$I$5</f>
        <v>39843</v>
      </c>
      <c r="CI744" s="897">
        <f>-$I$37</f>
        <v>0</v>
      </c>
      <c r="CQ744" s="664"/>
      <c r="CT744" s="896">
        <f>$I$5</f>
        <v>39843</v>
      </c>
      <c r="CU744" s="897">
        <f>-$I$37</f>
        <v>0</v>
      </c>
      <c r="DC744" s="664"/>
      <c r="DF744" s="896">
        <f>$I$5</f>
        <v>39843</v>
      </c>
      <c r="DG744" s="897">
        <f>-$I$37</f>
        <v>0</v>
      </c>
      <c r="DO744" s="664"/>
    </row>
    <row r="745" spans="2:119" hidden="1" x14ac:dyDescent="0.25">
      <c r="B745" s="896">
        <f>$J$5</f>
        <v>39843</v>
      </c>
      <c r="C745" s="897">
        <f>-$J$37</f>
        <v>0</v>
      </c>
      <c r="K745" s="664"/>
      <c r="N745" s="896">
        <f>$J$5</f>
        <v>39843</v>
      </c>
      <c r="O745" s="897">
        <f>-$J$37</f>
        <v>0</v>
      </c>
      <c r="U745" s="663"/>
      <c r="W745" s="664"/>
      <c r="Z745" s="896">
        <f>$J$5</f>
        <v>39843</v>
      </c>
      <c r="AA745" s="897">
        <f>-$J$37</f>
        <v>0</v>
      </c>
      <c r="AB745" s="663"/>
      <c r="AC745" s="663"/>
      <c r="AD745" s="663"/>
      <c r="AE745" s="663"/>
      <c r="AF745" s="663"/>
      <c r="AG745" s="663"/>
      <c r="AH745" s="663"/>
      <c r="AI745" s="664"/>
      <c r="AL745" s="896">
        <f>$J$5</f>
        <v>39843</v>
      </c>
      <c r="AM745" s="897">
        <f>-$J$37</f>
        <v>0</v>
      </c>
      <c r="AN745" s="663"/>
      <c r="AU745" s="664"/>
      <c r="AX745" s="896">
        <f>$J$5</f>
        <v>39843</v>
      </c>
      <c r="AY745" s="897">
        <f>-$J$37</f>
        <v>0</v>
      </c>
      <c r="BG745" s="664"/>
      <c r="BJ745" s="896">
        <f>$J$5</f>
        <v>39843</v>
      </c>
      <c r="BK745" s="897">
        <f>-$J$37</f>
        <v>0</v>
      </c>
      <c r="BS745" s="664"/>
      <c r="BV745" s="896">
        <f>$J$5</f>
        <v>39843</v>
      </c>
      <c r="BW745" s="897">
        <f>-$J$37</f>
        <v>0</v>
      </c>
      <c r="CE745" s="664"/>
      <c r="CH745" s="896">
        <f>$J$5</f>
        <v>39843</v>
      </c>
      <c r="CI745" s="897">
        <f>-$J$37</f>
        <v>0</v>
      </c>
      <c r="CQ745" s="664"/>
      <c r="CT745" s="896">
        <f>$J$5</f>
        <v>39843</v>
      </c>
      <c r="CU745" s="897">
        <f>-$J$37</f>
        <v>0</v>
      </c>
      <c r="DC745" s="664"/>
      <c r="DF745" s="896">
        <f>$J$5</f>
        <v>39843</v>
      </c>
      <c r="DG745" s="897">
        <f>-$J$37</f>
        <v>0</v>
      </c>
      <c r="DO745" s="664"/>
    </row>
    <row r="746" spans="2:119" hidden="1" x14ac:dyDescent="0.25">
      <c r="B746" s="896">
        <f>$K$5</f>
        <v>39843</v>
      </c>
      <c r="C746" s="897">
        <f>-$K$37</f>
        <v>0</v>
      </c>
      <c r="K746" s="664"/>
      <c r="N746" s="896">
        <f>$K$5</f>
        <v>39843</v>
      </c>
      <c r="O746" s="897">
        <f>-$K$37</f>
        <v>0</v>
      </c>
      <c r="U746" s="663"/>
      <c r="W746" s="664"/>
      <c r="Z746" s="896">
        <f>$K$5</f>
        <v>39843</v>
      </c>
      <c r="AA746" s="897">
        <f>-$K$37</f>
        <v>0</v>
      </c>
      <c r="AB746" s="663"/>
      <c r="AC746" s="663"/>
      <c r="AD746" s="663"/>
      <c r="AE746" s="663"/>
      <c r="AF746" s="663"/>
      <c r="AG746" s="663"/>
      <c r="AH746" s="663"/>
      <c r="AI746" s="664"/>
      <c r="AL746" s="896">
        <f>$K$5</f>
        <v>39843</v>
      </c>
      <c r="AM746" s="897">
        <f>-$K$37</f>
        <v>0</v>
      </c>
      <c r="AN746" s="663"/>
      <c r="AU746" s="664"/>
      <c r="AX746" s="896">
        <f>$K$5</f>
        <v>39843</v>
      </c>
      <c r="AY746" s="897">
        <f>-$K$37</f>
        <v>0</v>
      </c>
      <c r="BG746" s="664"/>
      <c r="BJ746" s="896">
        <f>$K$5</f>
        <v>39843</v>
      </c>
      <c r="BK746" s="897">
        <f>-$K$37</f>
        <v>0</v>
      </c>
      <c r="BS746" s="664"/>
      <c r="BV746" s="896">
        <f>$K$5</f>
        <v>39843</v>
      </c>
      <c r="BW746" s="897">
        <f>-$K$37</f>
        <v>0</v>
      </c>
      <c r="CE746" s="664"/>
      <c r="CH746" s="896">
        <f>$K$5</f>
        <v>39843</v>
      </c>
      <c r="CI746" s="897">
        <f>-$K$37</f>
        <v>0</v>
      </c>
      <c r="CQ746" s="664"/>
      <c r="CT746" s="896">
        <f>$K$5</f>
        <v>39843</v>
      </c>
      <c r="CU746" s="897">
        <f>-$K$37</f>
        <v>0</v>
      </c>
      <c r="DC746" s="664"/>
      <c r="DF746" s="896">
        <f>$K$5</f>
        <v>39843</v>
      </c>
      <c r="DG746" s="897">
        <f>-$K$37</f>
        <v>0</v>
      </c>
      <c r="DO746" s="664"/>
    </row>
    <row r="747" spans="2:119" hidden="1" x14ac:dyDescent="0.25">
      <c r="B747" s="896">
        <f>$L$5</f>
        <v>39843</v>
      </c>
      <c r="C747" s="897">
        <f>-$L$37</f>
        <v>0</v>
      </c>
      <c r="K747" s="664"/>
      <c r="N747" s="896">
        <f>$L$5</f>
        <v>39843</v>
      </c>
      <c r="O747" s="897">
        <f>-$L$37</f>
        <v>0</v>
      </c>
      <c r="U747" s="663"/>
      <c r="W747" s="664"/>
      <c r="Z747" s="896">
        <f>$L$5</f>
        <v>39843</v>
      </c>
      <c r="AA747" s="897">
        <f>-$L$37</f>
        <v>0</v>
      </c>
      <c r="AB747" s="663"/>
      <c r="AC747" s="663"/>
      <c r="AD747" s="663"/>
      <c r="AE747" s="663"/>
      <c r="AF747" s="663"/>
      <c r="AG747" s="663"/>
      <c r="AH747" s="663"/>
      <c r="AI747" s="664"/>
      <c r="AL747" s="896">
        <f>$L$5</f>
        <v>39843</v>
      </c>
      <c r="AM747" s="897">
        <f>-$L$37</f>
        <v>0</v>
      </c>
      <c r="AN747" s="663"/>
      <c r="AU747" s="664"/>
      <c r="AX747" s="896">
        <f>$L$5</f>
        <v>39843</v>
      </c>
      <c r="AY747" s="897">
        <f>-$L$37</f>
        <v>0</v>
      </c>
      <c r="BG747" s="664"/>
      <c r="BJ747" s="896">
        <f>$L$5</f>
        <v>39843</v>
      </c>
      <c r="BK747" s="897">
        <f>-$L$37</f>
        <v>0</v>
      </c>
      <c r="BS747" s="664"/>
      <c r="BV747" s="896">
        <f>$L$5</f>
        <v>39843</v>
      </c>
      <c r="BW747" s="897">
        <f>-$L$37</f>
        <v>0</v>
      </c>
      <c r="CE747" s="664"/>
      <c r="CH747" s="896">
        <f>$L$5</f>
        <v>39843</v>
      </c>
      <c r="CI747" s="897">
        <f>-$L$37</f>
        <v>0</v>
      </c>
      <c r="CQ747" s="664"/>
      <c r="CT747" s="896">
        <f>$L$5</f>
        <v>39843</v>
      </c>
      <c r="CU747" s="897">
        <f>-$L$37</f>
        <v>0</v>
      </c>
      <c r="DC747" s="664"/>
      <c r="DF747" s="896">
        <f>$L$5</f>
        <v>39843</v>
      </c>
      <c r="DG747" s="897">
        <f>-$L$37</f>
        <v>0</v>
      </c>
      <c r="DO747" s="664"/>
    </row>
    <row r="748" spans="2:119" hidden="1" x14ac:dyDescent="0.25">
      <c r="B748" s="896">
        <f>$M$5</f>
        <v>39843</v>
      </c>
      <c r="C748" s="897">
        <f>-$M$37</f>
        <v>0</v>
      </c>
      <c r="K748" s="664"/>
      <c r="N748" s="896">
        <f>$M$5</f>
        <v>39843</v>
      </c>
      <c r="O748" s="897">
        <f>-$M$37</f>
        <v>0</v>
      </c>
      <c r="U748" s="663"/>
      <c r="W748" s="664"/>
      <c r="Z748" s="896">
        <f>$M$5</f>
        <v>39843</v>
      </c>
      <c r="AA748" s="897">
        <f>-$M$37</f>
        <v>0</v>
      </c>
      <c r="AB748" s="663"/>
      <c r="AC748" s="663"/>
      <c r="AD748" s="663"/>
      <c r="AE748" s="663"/>
      <c r="AF748" s="663"/>
      <c r="AG748" s="663"/>
      <c r="AH748" s="663"/>
      <c r="AI748" s="664"/>
      <c r="AL748" s="896">
        <f>$M$5</f>
        <v>39843</v>
      </c>
      <c r="AM748" s="897">
        <f>-$M$37</f>
        <v>0</v>
      </c>
      <c r="AN748" s="663"/>
      <c r="AU748" s="664"/>
      <c r="AX748" s="896">
        <f>$M$5</f>
        <v>39843</v>
      </c>
      <c r="AY748" s="897">
        <f>-$M$37</f>
        <v>0</v>
      </c>
      <c r="BG748" s="664"/>
      <c r="BJ748" s="896">
        <f>$M$5</f>
        <v>39843</v>
      </c>
      <c r="BK748" s="897">
        <f>-$M$37</f>
        <v>0</v>
      </c>
      <c r="BS748" s="664"/>
      <c r="BV748" s="896">
        <f>$M$5</f>
        <v>39843</v>
      </c>
      <c r="BW748" s="897">
        <f>-$M$37</f>
        <v>0</v>
      </c>
      <c r="CE748" s="664"/>
      <c r="CH748" s="896">
        <f>$M$5</f>
        <v>39843</v>
      </c>
      <c r="CI748" s="897">
        <f>-$M$37</f>
        <v>0</v>
      </c>
      <c r="CQ748" s="664"/>
      <c r="CT748" s="896">
        <f>$M$5</f>
        <v>39843</v>
      </c>
      <c r="CU748" s="897">
        <f>-$M$37</f>
        <v>0</v>
      </c>
      <c r="DC748" s="664"/>
      <c r="DF748" s="896">
        <f>$M$5</f>
        <v>39843</v>
      </c>
      <c r="DG748" s="897">
        <f>-$M$37</f>
        <v>0</v>
      </c>
      <c r="DO748" s="664"/>
    </row>
    <row r="749" spans="2:119" hidden="1" x14ac:dyDescent="0.25">
      <c r="B749" s="896">
        <f>$N$5</f>
        <v>39843</v>
      </c>
      <c r="C749" s="897">
        <f>-$N$37</f>
        <v>0</v>
      </c>
      <c r="K749" s="664"/>
      <c r="N749" s="896">
        <f>$N$5</f>
        <v>39843</v>
      </c>
      <c r="O749" s="897">
        <f>-$N$37</f>
        <v>0</v>
      </c>
      <c r="U749" s="663"/>
      <c r="W749" s="664"/>
      <c r="Z749" s="896">
        <f>$N$5</f>
        <v>39843</v>
      </c>
      <c r="AA749" s="897">
        <f>-$N$37</f>
        <v>0</v>
      </c>
      <c r="AB749" s="663"/>
      <c r="AC749" s="663"/>
      <c r="AD749" s="663"/>
      <c r="AE749" s="663"/>
      <c r="AF749" s="663"/>
      <c r="AG749" s="663"/>
      <c r="AH749" s="663"/>
      <c r="AI749" s="664"/>
      <c r="AL749" s="896">
        <f>$N$5</f>
        <v>39843</v>
      </c>
      <c r="AM749" s="897">
        <f>-$N$37</f>
        <v>0</v>
      </c>
      <c r="AN749" s="663"/>
      <c r="AU749" s="664"/>
      <c r="AX749" s="896">
        <f>$N$5</f>
        <v>39843</v>
      </c>
      <c r="AY749" s="897">
        <f>-$N$37</f>
        <v>0</v>
      </c>
      <c r="BG749" s="664"/>
      <c r="BJ749" s="896">
        <f>$N$5</f>
        <v>39843</v>
      </c>
      <c r="BK749" s="897">
        <f>-$N$37</f>
        <v>0</v>
      </c>
      <c r="BS749" s="664"/>
      <c r="BV749" s="896">
        <f>$N$5</f>
        <v>39843</v>
      </c>
      <c r="BW749" s="897">
        <f>-$N$37</f>
        <v>0</v>
      </c>
      <c r="CE749" s="664"/>
      <c r="CH749" s="896">
        <f>$N$5</f>
        <v>39843</v>
      </c>
      <c r="CI749" s="897">
        <f>-$N$37</f>
        <v>0</v>
      </c>
      <c r="CQ749" s="664"/>
      <c r="CT749" s="896">
        <f>$N$5</f>
        <v>39843</v>
      </c>
      <c r="CU749" s="897">
        <f>-$N$37</f>
        <v>0</v>
      </c>
      <c r="DC749" s="664"/>
      <c r="DF749" s="896">
        <f>$N$5</f>
        <v>39843</v>
      </c>
      <c r="DG749" s="897">
        <f>-$N$37</f>
        <v>0</v>
      </c>
      <c r="DO749" s="664"/>
    </row>
    <row r="750" spans="2:119" hidden="1" x14ac:dyDescent="0.25">
      <c r="B750" s="896">
        <f>$O$5</f>
        <v>39843</v>
      </c>
      <c r="C750" s="897">
        <f>-$O$37</f>
        <v>0</v>
      </c>
      <c r="K750" s="664"/>
      <c r="N750" s="896">
        <f>$O$5</f>
        <v>39843</v>
      </c>
      <c r="O750" s="897">
        <f>-$O$37</f>
        <v>0</v>
      </c>
      <c r="U750" s="663"/>
      <c r="W750" s="664"/>
      <c r="Z750" s="896">
        <f>$O$5</f>
        <v>39843</v>
      </c>
      <c r="AA750" s="897">
        <f>-$O$37</f>
        <v>0</v>
      </c>
      <c r="AB750" s="663"/>
      <c r="AC750" s="663"/>
      <c r="AD750" s="663"/>
      <c r="AE750" s="663"/>
      <c r="AF750" s="663"/>
      <c r="AG750" s="663"/>
      <c r="AH750" s="663"/>
      <c r="AI750" s="664"/>
      <c r="AL750" s="896">
        <f>$O$5</f>
        <v>39843</v>
      </c>
      <c r="AM750" s="897">
        <f>-$O$37</f>
        <v>0</v>
      </c>
      <c r="AN750" s="663"/>
      <c r="AU750" s="664"/>
      <c r="AX750" s="896">
        <f>$O$5</f>
        <v>39843</v>
      </c>
      <c r="AY750" s="897">
        <f>-$O$37</f>
        <v>0</v>
      </c>
      <c r="BG750" s="664"/>
      <c r="BJ750" s="896">
        <f>$O$5</f>
        <v>39843</v>
      </c>
      <c r="BK750" s="897">
        <f>-$O$37</f>
        <v>0</v>
      </c>
      <c r="BS750" s="664"/>
      <c r="BV750" s="896">
        <f>$O$5</f>
        <v>39843</v>
      </c>
      <c r="BW750" s="897">
        <f>-$O$37</f>
        <v>0</v>
      </c>
      <c r="CE750" s="664"/>
      <c r="CH750" s="896">
        <f>$O$5</f>
        <v>39843</v>
      </c>
      <c r="CI750" s="897">
        <f>-$O$37</f>
        <v>0</v>
      </c>
      <c r="CQ750" s="664"/>
      <c r="CT750" s="896">
        <f>$O$5</f>
        <v>39843</v>
      </c>
      <c r="CU750" s="897">
        <f>-$O$37</f>
        <v>0</v>
      </c>
      <c r="DC750" s="664"/>
      <c r="DF750" s="896">
        <f>$O$5</f>
        <v>39843</v>
      </c>
      <c r="DG750" s="897">
        <f>-$O$37</f>
        <v>0</v>
      </c>
      <c r="DO750" s="664"/>
    </row>
    <row r="751" spans="2:119" hidden="1" x14ac:dyDescent="0.25">
      <c r="B751" s="896">
        <f>$C$55</f>
        <v>40999</v>
      </c>
      <c r="C751" s="897">
        <f ca="1">C739</f>
        <v>0</v>
      </c>
      <c r="K751" s="664"/>
      <c r="N751" s="896">
        <f>$C$55</f>
        <v>40999</v>
      </c>
      <c r="O751" s="897">
        <f ca="1">O739</f>
        <v>0</v>
      </c>
      <c r="U751" s="663"/>
      <c r="W751" s="664"/>
      <c r="Z751" s="896">
        <f>$C$55</f>
        <v>40999</v>
      </c>
      <c r="AA751" s="897">
        <f ca="1">AA739</f>
        <v>0</v>
      </c>
      <c r="AB751" s="663"/>
      <c r="AC751" s="663"/>
      <c r="AD751" s="663"/>
      <c r="AE751" s="663"/>
      <c r="AF751" s="663"/>
      <c r="AG751" s="663"/>
      <c r="AH751" s="663"/>
      <c r="AI751" s="664"/>
      <c r="AL751" s="896">
        <f>$C$55</f>
        <v>40999</v>
      </c>
      <c r="AM751" s="897">
        <f ca="1">AM739</f>
        <v>0</v>
      </c>
      <c r="AN751" s="663"/>
      <c r="AU751" s="664"/>
      <c r="AX751" s="896">
        <f>$C$55</f>
        <v>40999</v>
      </c>
      <c r="AY751" s="897">
        <f ca="1">AY739</f>
        <v>0</v>
      </c>
      <c r="BG751" s="664"/>
      <c r="BJ751" s="896">
        <f>$C$55</f>
        <v>40999</v>
      </c>
      <c r="BK751" s="897">
        <f ca="1">BK739</f>
        <v>0</v>
      </c>
      <c r="BS751" s="664"/>
      <c r="BV751" s="896">
        <f>$C$55</f>
        <v>40999</v>
      </c>
      <c r="BW751" s="897">
        <f ca="1">BW739</f>
        <v>0</v>
      </c>
      <c r="CE751" s="664"/>
      <c r="CH751" s="896">
        <f>$C$55</f>
        <v>40999</v>
      </c>
      <c r="CI751" s="897">
        <f ca="1">CI739</f>
        <v>0</v>
      </c>
      <c r="CQ751" s="664"/>
      <c r="CT751" s="896">
        <f>$C$55</f>
        <v>40999</v>
      </c>
      <c r="CU751" s="897">
        <f ca="1">CU739</f>
        <v>0</v>
      </c>
      <c r="DC751" s="664"/>
      <c r="DF751" s="896">
        <f>$C$55</f>
        <v>40999</v>
      </c>
      <c r="DG751" s="897">
        <f ca="1">DG739</f>
        <v>0</v>
      </c>
      <c r="DO751" s="664"/>
    </row>
    <row r="752" spans="2:119" hidden="1" x14ac:dyDescent="0.25">
      <c r="B752" s="898">
        <f>IF(C741&lt;&gt;0,ROW(C741),IF(C742&lt;&gt;0,ROW(C742),IF(C743&lt;&gt;0,ROW(C743),IF(C744&lt;&gt;0,ROW(C744),IF(C745&lt;&gt;0,ROW(C745),IF(C746&lt;&gt;0,ROW(C746),IF(C747&lt;&gt;0,ROW(C747),IF(C748&lt;&gt;0,ROW(C748),IF(C749&lt;&gt;0,ROW(C749),IF(C750&lt;&gt;0,ROW(C750),0))))))))))</f>
        <v>0</v>
      </c>
      <c r="C752" s="882" t="e">
        <f ca="1">IF(ISERROR(XIRR(INDIRECT(B754):C751,INDIRECT(B753):B751,-20%)),XIRR(INDIRECT(B754):C751,INDIRECT(B753):B751,20%),"N/A")</f>
        <v>#REF!</v>
      </c>
      <c r="K752" s="664"/>
      <c r="N752" s="898">
        <f>IF(O741&lt;&gt;0,ROW(O741),IF(O742&lt;&gt;0,ROW(O742),IF(O743&lt;&gt;0,ROW(O743),IF(O744&lt;&gt;0,ROW(O744),IF(O745&lt;&gt;0,ROW(O745),IF(O746&lt;&gt;0,ROW(O746),IF(O747&lt;&gt;0,ROW(O747),IF(O748&lt;&gt;0,ROW(O748),IF(O749&lt;&gt;0,ROW(O749),IF(O750&lt;&gt;0,ROW(O750),0))))))))))</f>
        <v>0</v>
      </c>
      <c r="O752" s="882" t="e">
        <f ca="1">IF(ISERROR(XIRR(INDIRECT(N754):O751,INDIRECT(N753):N751,-20%)),XIRR(INDIRECT(N754):O751,INDIRECT(N753):N751,20%),"N/A")</f>
        <v>#REF!</v>
      </c>
      <c r="U752" s="663"/>
      <c r="W752" s="664"/>
      <c r="Z752" s="898">
        <f>IF(AA741&lt;&gt;0,ROW(AA741),IF(AA742&lt;&gt;0,ROW(AA742),IF(AA743&lt;&gt;0,ROW(AA743),IF(AA744&lt;&gt;0,ROW(AA744),IF(AA745&lt;&gt;0,ROW(AA745),IF(AA746&lt;&gt;0,ROW(AA746),IF(AA747&lt;&gt;0,ROW(AA747),IF(AA748&lt;&gt;0,ROW(AA748),IF(AA749&lt;&gt;0,ROW(AA749),IF(AA750&lt;&gt;0,ROW(AA750),0))))))))))</f>
        <v>0</v>
      </c>
      <c r="AA752" s="882" t="e">
        <f ca="1">IF(ISERROR(XIRR(INDIRECT(Z754):AA751,INDIRECT(Z753):Z751,-20%)),XIRR(INDIRECT(Z754):AA751,INDIRECT(Z753):Z751,20%),"N/A")</f>
        <v>#REF!</v>
      </c>
      <c r="AB752" s="663"/>
      <c r="AC752" s="663"/>
      <c r="AD752" s="663"/>
      <c r="AE752" s="663"/>
      <c r="AF752" s="663"/>
      <c r="AG752" s="663"/>
      <c r="AH752" s="663"/>
      <c r="AI752" s="664"/>
      <c r="AL752" s="898">
        <f>IF(AM741&lt;&gt;0,ROW(AM741),IF(AM742&lt;&gt;0,ROW(AM742),IF(AM743&lt;&gt;0,ROW(AM743),IF(AM744&lt;&gt;0,ROW(AM744),IF(AM745&lt;&gt;0,ROW(AM745),IF(AM746&lt;&gt;0,ROW(AM746),IF(AM747&lt;&gt;0,ROW(AM747),IF(AM748&lt;&gt;0,ROW(AM748),IF(AM749&lt;&gt;0,ROW(AM749),IF(AM750&lt;&gt;0,ROW(AM750),0))))))))))</f>
        <v>0</v>
      </c>
      <c r="AM752" s="882" t="e">
        <f ca="1">IF(ISERROR(XIRR(INDIRECT(AL754):AM751,INDIRECT(AL753):AL751,-20%)),XIRR(INDIRECT(AL754):AM751,INDIRECT(AL753):AL751,20%),"N/A")</f>
        <v>#REF!</v>
      </c>
      <c r="AN752" s="663"/>
      <c r="AU752" s="664"/>
      <c r="AX752" s="898">
        <f>IF(AY741&lt;&gt;0,ROW(AY741),IF(AY742&lt;&gt;0,ROW(AY742),IF(AY743&lt;&gt;0,ROW(AY743),IF(AY744&lt;&gt;0,ROW(AY744),IF(AY745&lt;&gt;0,ROW(AY745),IF(AY746&lt;&gt;0,ROW(AY746),IF(AY747&lt;&gt;0,ROW(AY747),IF(AY748&lt;&gt;0,ROW(AY748),IF(AY749&lt;&gt;0,ROW(AY749),IF(AY750&lt;&gt;0,ROW(AY750),0))))))))))</f>
        <v>0</v>
      </c>
      <c r="AY752" s="882" t="e">
        <f ca="1">IF(ISERROR(XIRR(INDIRECT(AX754):AY751,INDIRECT(AX753):AX751,-20%)),XIRR(INDIRECT(AX754):AY751,INDIRECT(AX753):AX751,20%),"N/A")</f>
        <v>#REF!</v>
      </c>
      <c r="BG752" s="664"/>
      <c r="BJ752" s="898">
        <f>IF(BK741&lt;&gt;0,ROW(BK741),IF(BK742&lt;&gt;0,ROW(BK742),IF(BK743&lt;&gt;0,ROW(BK743),IF(BK744&lt;&gt;0,ROW(BK744),IF(BK745&lt;&gt;0,ROW(BK745),IF(BK746&lt;&gt;0,ROW(BK746),IF(BK747&lt;&gt;0,ROW(BK747),IF(BK748&lt;&gt;0,ROW(BK748),IF(BK749&lt;&gt;0,ROW(BK749),IF(BK750&lt;&gt;0,ROW(BK750),0))))))))))</f>
        <v>0</v>
      </c>
      <c r="BK752" s="882" t="e">
        <f ca="1">IF(ISERROR(XIRR(INDIRECT(BJ754):BK751,INDIRECT(BJ753):BJ751,-20%)),XIRR(INDIRECT(BJ754):BK751,INDIRECT(BJ753):BJ751,20%),"N/A")</f>
        <v>#REF!</v>
      </c>
      <c r="BS752" s="664"/>
      <c r="BV752" s="898">
        <f>IF(BW741&lt;&gt;0,ROW(BW741),IF(BW742&lt;&gt;0,ROW(BW742),IF(BW743&lt;&gt;0,ROW(BW743),IF(BW744&lt;&gt;0,ROW(BW744),IF(BW745&lt;&gt;0,ROW(BW745),IF(BW746&lt;&gt;0,ROW(BW746),IF(BW747&lt;&gt;0,ROW(BW747),IF(BW748&lt;&gt;0,ROW(BW748),IF(BW749&lt;&gt;0,ROW(BW749),IF(BW750&lt;&gt;0,ROW(BW750),0))))))))))</f>
        <v>0</v>
      </c>
      <c r="BW752" s="882" t="e">
        <f ca="1">IF(ISERROR(XIRR(INDIRECT(BV754):BW751,INDIRECT(BV753):BV751,-20%)),XIRR(INDIRECT(BV754):BW751,INDIRECT(BV753):BV751,20%),"N/A")</f>
        <v>#REF!</v>
      </c>
      <c r="CE752" s="664"/>
      <c r="CH752" s="898">
        <f>IF(CI741&lt;&gt;0,ROW(CI741),IF(CI742&lt;&gt;0,ROW(CI742),IF(CI743&lt;&gt;0,ROW(CI743),IF(CI744&lt;&gt;0,ROW(CI744),IF(CI745&lt;&gt;0,ROW(CI745),IF(CI746&lt;&gt;0,ROW(CI746),IF(CI747&lt;&gt;0,ROW(CI747),IF(CI748&lt;&gt;0,ROW(CI748),IF(CI749&lt;&gt;0,ROW(CI749),IF(CI750&lt;&gt;0,ROW(CI750),0))))))))))</f>
        <v>0</v>
      </c>
      <c r="CI752" s="882" t="e">
        <f ca="1">IF(ISERROR(XIRR(INDIRECT(CH754):CI751,INDIRECT(CH753):CH751,-20%)),XIRR(INDIRECT(CH754):CI751,INDIRECT(CH753):CH751,20%),"N/A")</f>
        <v>#REF!</v>
      </c>
      <c r="CQ752" s="664"/>
      <c r="CT752" s="898">
        <f>IF(CU741&lt;&gt;0,ROW(CU741),IF(CU742&lt;&gt;0,ROW(CU742),IF(CU743&lt;&gt;0,ROW(CU743),IF(CU744&lt;&gt;0,ROW(CU744),IF(CU745&lt;&gt;0,ROW(CU745),IF(CU746&lt;&gt;0,ROW(CU746),IF(CU747&lt;&gt;0,ROW(CU747),IF(CU748&lt;&gt;0,ROW(CU748),IF(CU749&lt;&gt;0,ROW(CU749),IF(CU750&lt;&gt;0,ROW(CU750),0))))))))))</f>
        <v>0</v>
      </c>
      <c r="CU752" s="882" t="e">
        <f ca="1">IF(ISERROR(XIRR(INDIRECT(CT754):CU751,INDIRECT(CT753):CT751,-20%)),XIRR(INDIRECT(CT754):CU751,INDIRECT(CT753):CT751,20%),"N/A")</f>
        <v>#REF!</v>
      </c>
      <c r="DC752" s="664"/>
      <c r="DF752" s="898">
        <f>IF(DG741&lt;&gt;0,ROW(DG741),IF(DG742&lt;&gt;0,ROW(DG742),IF(DG743&lt;&gt;0,ROW(DG743),IF(DG744&lt;&gt;0,ROW(DG744),IF(DG745&lt;&gt;0,ROW(DG745),IF(DG746&lt;&gt;0,ROW(DG746),IF(DG747&lt;&gt;0,ROW(DG747),IF(DG748&lt;&gt;0,ROW(DG748),IF(DG749&lt;&gt;0,ROW(DG749),IF(DG750&lt;&gt;0,ROW(DG750),0))))))))))</f>
        <v>0</v>
      </c>
      <c r="DG752" s="882" t="e">
        <f ca="1">IF(ISERROR(XIRR(INDIRECT(DF754):DG751,INDIRECT(DF753):DF751,-20%)),XIRR(INDIRECT(DF754):DG751,INDIRECT(DF753):DF751,20%),"N/A")</f>
        <v>#REF!</v>
      </c>
      <c r="DO752" s="664"/>
    </row>
    <row r="753" spans="2:119" hidden="1" x14ac:dyDescent="0.25">
      <c r="B753" s="899" t="str">
        <f>CONCATENATE(CHAR(64+COLUMN(B752)),B752)</f>
        <v>B0</v>
      </c>
      <c r="C753" s="897"/>
      <c r="K753" s="664"/>
      <c r="N753" s="899" t="str">
        <f>CONCATENATE(CHAR(64+COLUMN(N752)),N752)</f>
        <v>N0</v>
      </c>
      <c r="O753" s="897"/>
      <c r="U753" s="663"/>
      <c r="W753" s="664"/>
      <c r="Z753" s="899" t="str">
        <f>CONCATENATE(IF(COLUMN(Z752)&lt;=26,CHAR(96+COLUMN(Z752)),(CHAR(96+(ROUNDDOWN((COLUMN(Z752)-1)/26,0)))&amp;CHAR(96+IF(MOD(COLUMN(Z752),26)=0,26,MOD(COLUMN(Z752),26))))),Z752)</f>
        <v>z0</v>
      </c>
      <c r="AA753" s="897"/>
      <c r="AB753" s="663"/>
      <c r="AC753" s="663"/>
      <c r="AD753" s="663"/>
      <c r="AE753" s="663"/>
      <c r="AF753" s="663"/>
      <c r="AG753" s="663"/>
      <c r="AH753" s="663"/>
      <c r="AI753" s="664"/>
      <c r="AL753" s="899" t="str">
        <f>CONCATENATE(IF(COLUMN(AL752)&lt;=26,CHAR(96+COLUMN(AL752)),(CHAR(96+(ROUNDDOWN((COLUMN(AL752)-1)/26,0)))&amp;CHAR(96+IF(MOD(COLUMN(AL752),26)=0,26,MOD(COLUMN(AL752),26))))),AL752)</f>
        <v>al0</v>
      </c>
      <c r="AM753" s="897"/>
      <c r="AN753" s="663"/>
      <c r="AU753" s="664"/>
      <c r="AX753" s="899" t="str">
        <f>CONCATENATE(IF(COLUMN(AX752)&lt;=26,CHAR(96+COLUMN(AX752)),(CHAR(96+(ROUNDDOWN((COLUMN(AX752)-1)/26,0)))&amp;CHAR(96+IF(MOD(COLUMN(AX752),26)=0,26,MOD(COLUMN(AX752),26))))),AX752)</f>
        <v>ax0</v>
      </c>
      <c r="AY753" s="897"/>
      <c r="BG753" s="664"/>
      <c r="BJ753" s="899" t="str">
        <f>CONCATENATE(IF(COLUMN(BJ752)&lt;=26,CHAR(96+COLUMN(BJ752)),(CHAR(96+(ROUNDDOWN((COLUMN(BJ752)-1)/26,0)))&amp;CHAR(96+IF(MOD(COLUMN(BJ752),26)=0,26,MOD(COLUMN(BJ752),26))))),BJ752)</f>
        <v>bj0</v>
      </c>
      <c r="BK753" s="897"/>
      <c r="BS753" s="664"/>
      <c r="BV753" s="899" t="str">
        <f>CONCATENATE(IF(COLUMN(BV752)&lt;=26,CHAR(96+COLUMN(BV752)),(CHAR(96+(ROUNDDOWN((COLUMN(BV752)-1)/26,0)))&amp;CHAR(96+IF(MOD(COLUMN(BV752),26)=0,26,MOD(COLUMN(BV752),26))))),BV752)</f>
        <v>bv0</v>
      </c>
      <c r="BW753" s="897"/>
      <c r="CE753" s="664"/>
      <c r="CH753" s="899" t="str">
        <f>CONCATENATE(IF(COLUMN(CH752)&lt;=26,CHAR(96+COLUMN(CH752)),(CHAR(96+(ROUNDDOWN((COLUMN(CH752)-1)/26,0)))&amp;CHAR(96+IF(MOD(COLUMN(CH752),26)=0,26,MOD(COLUMN(CH752),26))))),CH752)</f>
        <v>ch0</v>
      </c>
      <c r="CI753" s="897"/>
      <c r="CQ753" s="664"/>
      <c r="CT753" s="899" t="str">
        <f>CONCATENATE(IF(COLUMN(CT752)&lt;=26,CHAR(96+COLUMN(CT752)),(CHAR(96+(ROUNDDOWN((COLUMN(CT752)-1)/26,0)))&amp;CHAR(96+IF(MOD(COLUMN(CT752),26)=0,26,MOD(COLUMN(CT752),26))))),CT752)</f>
        <v>ct0</v>
      </c>
      <c r="CU753" s="897"/>
      <c r="DC753" s="664"/>
      <c r="DF753" s="899" t="str">
        <f>CONCATENATE(IF(COLUMN(DF752)&lt;=26,CHAR(96+COLUMN(DF752)),(CHAR(96+(ROUNDDOWN((COLUMN(DF752)-1)/26,0)))&amp;CHAR(96+IF(MOD(COLUMN(DF752),26)=0,26,MOD(COLUMN(DF752),26))))),DF752)</f>
        <v>df0</v>
      </c>
      <c r="DG753" s="897"/>
      <c r="DO753" s="664"/>
    </row>
    <row r="754" spans="2:119" hidden="1" x14ac:dyDescent="0.25">
      <c r="B754" s="899" t="str">
        <f>CONCATENATE(CHAR(64+COLUMN(C752)),B752)</f>
        <v>C0</v>
      </c>
      <c r="C754" s="897"/>
      <c r="K754" s="664"/>
      <c r="N754" s="899" t="str">
        <f>CONCATENATE(CHAR(64+COLUMN(O752)),N752)</f>
        <v>O0</v>
      </c>
      <c r="O754" s="897"/>
      <c r="U754" s="663"/>
      <c r="W754" s="664"/>
      <c r="Z754" s="899" t="str">
        <f>CONCATENATE(IF(COLUMN(AA752)&lt;=26,CHAR(96+COLUMN(AA752)),(CHAR(96+(ROUNDDOWN((COLUMN(AA752)-1)/26,0)))&amp;CHAR(96+IF(MOD(COLUMN(AA752),26)=0,26,MOD(COLUMN(AA752),26))))),Z752)</f>
        <v>aa0</v>
      </c>
      <c r="AA754" s="897"/>
      <c r="AB754" s="663"/>
      <c r="AC754" s="663"/>
      <c r="AD754" s="663"/>
      <c r="AE754" s="663"/>
      <c r="AF754" s="663"/>
      <c r="AG754" s="663"/>
      <c r="AH754" s="663"/>
      <c r="AI754" s="664"/>
      <c r="AL754" s="899" t="str">
        <f>CONCATENATE(IF(COLUMN(AM752)&lt;=26,CHAR(96+COLUMN(AM752)),(CHAR(96+(ROUNDDOWN((COLUMN(AM752)-1)/26,0)))&amp;CHAR(96+IF(MOD(COLUMN(AM752),26)=0,26,MOD(COLUMN(AM752),26))))),AL752)</f>
        <v>am0</v>
      </c>
      <c r="AM754" s="897"/>
      <c r="AN754" s="663"/>
      <c r="AU754" s="664"/>
      <c r="AX754" s="899" t="str">
        <f>CONCATENATE(IF(COLUMN(AY752)&lt;=26,CHAR(96+COLUMN(AY752)),(CHAR(96+(ROUNDDOWN((COLUMN(AY752)-1)/26,0)))&amp;CHAR(96+IF(MOD(COLUMN(AY752),26)=0,26,MOD(COLUMN(AY752),26))))),AX752)</f>
        <v>ay0</v>
      </c>
      <c r="AY754" s="897"/>
      <c r="BG754" s="664"/>
      <c r="BJ754" s="899" t="str">
        <f>CONCATENATE(IF(COLUMN(BK752)&lt;=26,CHAR(96+COLUMN(BK752)),(CHAR(96+(ROUNDDOWN((COLUMN(BK752)-1)/26,0)))&amp;CHAR(96+IF(MOD(COLUMN(BK752),26)=0,26,MOD(COLUMN(BK752),26))))),BJ752)</f>
        <v>bk0</v>
      </c>
      <c r="BK754" s="897"/>
      <c r="BS754" s="664"/>
      <c r="BV754" s="899" t="str">
        <f>CONCATENATE(IF(COLUMN(BW752)&lt;=26,CHAR(96+COLUMN(BW752)),(CHAR(96+(ROUNDDOWN((COLUMN(BW752)-1)/26,0)))&amp;CHAR(96+IF(MOD(COLUMN(BW752),26)=0,26,MOD(COLUMN(BW752),26))))),BV752)</f>
        <v>bw0</v>
      </c>
      <c r="BW754" s="897"/>
      <c r="CE754" s="664"/>
      <c r="CH754" s="899" t="str">
        <f>CONCATENATE(IF(COLUMN(CI752)&lt;=26,CHAR(96+COLUMN(CI752)),(CHAR(96+(ROUNDDOWN((COLUMN(CI752)-1)/26,0)))&amp;CHAR(96+IF(MOD(COLUMN(CI752),26)=0,26,MOD(COLUMN(CI752),26))))),CH752)</f>
        <v>ci0</v>
      </c>
      <c r="CI754" s="897"/>
      <c r="CQ754" s="664"/>
      <c r="CT754" s="899" t="str">
        <f>CONCATENATE(IF(COLUMN(CU752)&lt;=26,CHAR(96+COLUMN(CU752)),(CHAR(96+(ROUNDDOWN((COLUMN(CU752)-1)/26,0)))&amp;CHAR(96+IF(MOD(COLUMN(CU752),26)=0,26,MOD(COLUMN(CU752),26))))),CT752)</f>
        <v>cu0</v>
      </c>
      <c r="CU754" s="897"/>
      <c r="DC754" s="664"/>
      <c r="DF754" s="899" t="str">
        <f>CONCATENATE(IF(COLUMN(DG752)&lt;=26,CHAR(96+COLUMN(DG752)),(CHAR(96+(ROUNDDOWN((COLUMN(DG752)-1)/26,0)))&amp;CHAR(96+IF(MOD(COLUMN(DG752),26)=0,26,MOD(COLUMN(DG752),26))))),DF752)</f>
        <v>dg0</v>
      </c>
      <c r="DG754" s="897"/>
      <c r="DO754" s="664"/>
    </row>
    <row r="755" spans="2:119" hidden="1" x14ac:dyDescent="0.25">
      <c r="B755" s="668"/>
      <c r="C755" s="895"/>
      <c r="K755" s="664"/>
      <c r="N755" s="668"/>
      <c r="O755" s="895"/>
      <c r="U755" s="663"/>
      <c r="W755" s="664"/>
      <c r="Z755" s="668"/>
      <c r="AA755" s="895"/>
      <c r="AB755" s="663"/>
      <c r="AC755" s="663"/>
      <c r="AD755" s="663"/>
      <c r="AE755" s="663"/>
      <c r="AF755" s="663"/>
      <c r="AG755" s="663"/>
      <c r="AH755" s="663"/>
      <c r="AI755" s="664"/>
      <c r="AL755" s="668"/>
      <c r="AM755" s="895"/>
      <c r="AN755" s="663"/>
      <c r="AU755" s="664"/>
      <c r="AX755" s="668"/>
      <c r="AY755" s="895"/>
      <c r="BG755" s="664"/>
      <c r="BJ755" s="668"/>
      <c r="BK755" s="895"/>
      <c r="BS755" s="664"/>
      <c r="BV755" s="668"/>
      <c r="BW755" s="895"/>
      <c r="CE755" s="664"/>
      <c r="CH755" s="668"/>
      <c r="CI755" s="895"/>
      <c r="CQ755" s="664"/>
      <c r="CT755" s="668"/>
      <c r="CU755" s="895"/>
      <c r="DC755" s="664"/>
      <c r="DF755" s="668"/>
      <c r="DG755" s="895"/>
      <c r="DO755" s="664"/>
    </row>
    <row r="756" spans="2:119" hidden="1" x14ac:dyDescent="0.25">
      <c r="B756" s="896">
        <f>B741</f>
        <v>39113</v>
      </c>
      <c r="C756" s="897">
        <f>C741</f>
        <v>0</v>
      </c>
      <c r="K756" s="664"/>
      <c r="N756" s="896">
        <f>N741</f>
        <v>39113</v>
      </c>
      <c r="O756" s="897">
        <f>O741</f>
        <v>0</v>
      </c>
      <c r="U756" s="663"/>
      <c r="W756" s="664"/>
      <c r="Z756" s="896">
        <f>Z741</f>
        <v>39113</v>
      </c>
      <c r="AA756" s="897">
        <f>AA741</f>
        <v>0</v>
      </c>
      <c r="AB756" s="663"/>
      <c r="AC756" s="663"/>
      <c r="AD756" s="663"/>
      <c r="AE756" s="663"/>
      <c r="AF756" s="663"/>
      <c r="AG756" s="663"/>
      <c r="AH756" s="663"/>
      <c r="AI756" s="664"/>
      <c r="AL756" s="896">
        <f>AL741</f>
        <v>39113</v>
      </c>
      <c r="AM756" s="897">
        <f>AM741</f>
        <v>0</v>
      </c>
      <c r="AN756" s="663"/>
      <c r="AU756" s="664"/>
      <c r="AX756" s="896">
        <f>AX741</f>
        <v>39113</v>
      </c>
      <c r="AY756" s="897">
        <f>AY741</f>
        <v>0</v>
      </c>
      <c r="BG756" s="664"/>
      <c r="BJ756" s="896">
        <f>BJ741</f>
        <v>39113</v>
      </c>
      <c r="BK756" s="897">
        <f>BK741</f>
        <v>0</v>
      </c>
      <c r="BS756" s="664"/>
      <c r="BV756" s="896">
        <f>BV741</f>
        <v>39113</v>
      </c>
      <c r="BW756" s="897">
        <f>BW741</f>
        <v>0</v>
      </c>
      <c r="CE756" s="664"/>
      <c r="CH756" s="896">
        <f>CH741</f>
        <v>39113</v>
      </c>
      <c r="CI756" s="897">
        <f>CI741</f>
        <v>0</v>
      </c>
      <c r="CQ756" s="664"/>
      <c r="CT756" s="896">
        <f>CT741</f>
        <v>39113</v>
      </c>
      <c r="CU756" s="897">
        <f>CU741</f>
        <v>0</v>
      </c>
      <c r="DC756" s="664"/>
      <c r="DF756" s="896">
        <f>DF741</f>
        <v>39113</v>
      </c>
      <c r="DG756" s="897">
        <f>DG741</f>
        <v>0</v>
      </c>
      <c r="DO756" s="664"/>
    </row>
    <row r="757" spans="2:119" hidden="1" x14ac:dyDescent="0.25">
      <c r="B757" s="896">
        <f t="shared" ref="B757:C757" si="2231">B742</f>
        <v>39478</v>
      </c>
      <c r="C757" s="897">
        <f t="shared" si="2231"/>
        <v>0</v>
      </c>
      <c r="K757" s="664"/>
      <c r="N757" s="896">
        <f t="shared" ref="N757:O757" si="2232">N742</f>
        <v>39478</v>
      </c>
      <c r="O757" s="897">
        <f t="shared" si="2232"/>
        <v>0</v>
      </c>
      <c r="U757" s="663"/>
      <c r="W757" s="664"/>
      <c r="Z757" s="896">
        <f t="shared" ref="Z757:AA757" si="2233">Z742</f>
        <v>39478</v>
      </c>
      <c r="AA757" s="897">
        <f t="shared" si="2233"/>
        <v>0</v>
      </c>
      <c r="AB757" s="663"/>
      <c r="AC757" s="663"/>
      <c r="AD757" s="663"/>
      <c r="AE757" s="663"/>
      <c r="AF757" s="663"/>
      <c r="AG757" s="663"/>
      <c r="AH757" s="663"/>
      <c r="AI757" s="664"/>
      <c r="AL757" s="896">
        <f t="shared" ref="AL757:AM757" si="2234">AL742</f>
        <v>39478</v>
      </c>
      <c r="AM757" s="897">
        <f t="shared" si="2234"/>
        <v>0</v>
      </c>
      <c r="AN757" s="663"/>
      <c r="AU757" s="664"/>
      <c r="AX757" s="896">
        <f t="shared" ref="AX757:AY757" si="2235">AX742</f>
        <v>39478</v>
      </c>
      <c r="AY757" s="897">
        <f t="shared" si="2235"/>
        <v>0</v>
      </c>
      <c r="BG757" s="664"/>
      <c r="BJ757" s="896">
        <f t="shared" ref="BJ757:BK757" si="2236">BJ742</f>
        <v>39478</v>
      </c>
      <c r="BK757" s="897">
        <f t="shared" si="2236"/>
        <v>0</v>
      </c>
      <c r="BS757" s="664"/>
      <c r="BV757" s="896">
        <f t="shared" ref="BV757:BW757" si="2237">BV742</f>
        <v>39478</v>
      </c>
      <c r="BW757" s="897">
        <f t="shared" si="2237"/>
        <v>0</v>
      </c>
      <c r="CE757" s="664"/>
      <c r="CH757" s="896">
        <f t="shared" ref="CH757:CI757" si="2238">CH742</f>
        <v>39478</v>
      </c>
      <c r="CI757" s="897">
        <f t="shared" si="2238"/>
        <v>0</v>
      </c>
      <c r="CQ757" s="664"/>
      <c r="CT757" s="896">
        <f t="shared" ref="CT757:CU757" si="2239">CT742</f>
        <v>39478</v>
      </c>
      <c r="CU757" s="897">
        <f t="shared" si="2239"/>
        <v>0</v>
      </c>
      <c r="DC757" s="664"/>
      <c r="DF757" s="896">
        <f t="shared" ref="DF757:DG757" si="2240">DF742</f>
        <v>39478</v>
      </c>
      <c r="DG757" s="897">
        <f t="shared" si="2240"/>
        <v>0</v>
      </c>
      <c r="DO757" s="664"/>
    </row>
    <row r="758" spans="2:119" hidden="1" x14ac:dyDescent="0.25">
      <c r="B758" s="896">
        <f t="shared" ref="B758:C758" si="2241">B743</f>
        <v>39843</v>
      </c>
      <c r="C758" s="897">
        <f t="shared" si="2241"/>
        <v>0</v>
      </c>
      <c r="K758" s="664"/>
      <c r="N758" s="896">
        <f t="shared" ref="N758:O758" si="2242">N743</f>
        <v>39843</v>
      </c>
      <c r="O758" s="897">
        <f t="shared" si="2242"/>
        <v>0</v>
      </c>
      <c r="U758" s="663"/>
      <c r="W758" s="664"/>
      <c r="Z758" s="896">
        <f t="shared" ref="Z758:AA758" si="2243">Z743</f>
        <v>39843</v>
      </c>
      <c r="AA758" s="897">
        <f t="shared" si="2243"/>
        <v>0</v>
      </c>
      <c r="AB758" s="663"/>
      <c r="AC758" s="663"/>
      <c r="AD758" s="663"/>
      <c r="AE758" s="663"/>
      <c r="AF758" s="663"/>
      <c r="AG758" s="663"/>
      <c r="AH758" s="663"/>
      <c r="AI758" s="664"/>
      <c r="AL758" s="896">
        <f t="shared" ref="AL758:AM758" si="2244">AL743</f>
        <v>39843</v>
      </c>
      <c r="AM758" s="897">
        <f t="shared" si="2244"/>
        <v>0</v>
      </c>
      <c r="AN758" s="663"/>
      <c r="AU758" s="664"/>
      <c r="AX758" s="896">
        <f t="shared" ref="AX758:AY758" si="2245">AX743</f>
        <v>39843</v>
      </c>
      <c r="AY758" s="897">
        <f t="shared" si="2245"/>
        <v>0</v>
      </c>
      <c r="BG758" s="664"/>
      <c r="BJ758" s="896">
        <f t="shared" ref="BJ758:BK758" si="2246">BJ743</f>
        <v>39843</v>
      </c>
      <c r="BK758" s="897">
        <f t="shared" si="2246"/>
        <v>0</v>
      </c>
      <c r="BS758" s="664"/>
      <c r="BV758" s="896">
        <f t="shared" ref="BV758:BW758" si="2247">BV743</f>
        <v>39843</v>
      </c>
      <c r="BW758" s="897">
        <f t="shared" si="2247"/>
        <v>0</v>
      </c>
      <c r="CE758" s="664"/>
      <c r="CH758" s="896">
        <f t="shared" ref="CH758:CI758" si="2248">CH743</f>
        <v>39843</v>
      </c>
      <c r="CI758" s="897">
        <f t="shared" si="2248"/>
        <v>0</v>
      </c>
      <c r="CQ758" s="664"/>
      <c r="CT758" s="896">
        <f t="shared" ref="CT758:CU758" si="2249">CT743</f>
        <v>39843</v>
      </c>
      <c r="CU758" s="897">
        <f t="shared" si="2249"/>
        <v>0</v>
      </c>
      <c r="DC758" s="664"/>
      <c r="DF758" s="896">
        <f t="shared" ref="DF758:DG758" si="2250">DF743</f>
        <v>39843</v>
      </c>
      <c r="DG758" s="897">
        <f t="shared" si="2250"/>
        <v>0</v>
      </c>
      <c r="DO758" s="664"/>
    </row>
    <row r="759" spans="2:119" hidden="1" x14ac:dyDescent="0.25">
      <c r="B759" s="896">
        <f t="shared" ref="B759:C759" si="2251">B744</f>
        <v>39843</v>
      </c>
      <c r="C759" s="897">
        <f t="shared" si="2251"/>
        <v>0</v>
      </c>
      <c r="K759" s="664"/>
      <c r="N759" s="896">
        <f t="shared" ref="N759:O759" si="2252">N744</f>
        <v>39843</v>
      </c>
      <c r="O759" s="897">
        <f t="shared" si="2252"/>
        <v>0</v>
      </c>
      <c r="U759" s="663"/>
      <c r="W759" s="664"/>
      <c r="Z759" s="896">
        <f t="shared" ref="Z759:AA759" si="2253">Z744</f>
        <v>39843</v>
      </c>
      <c r="AA759" s="897">
        <f t="shared" si="2253"/>
        <v>0</v>
      </c>
      <c r="AB759" s="663"/>
      <c r="AC759" s="663"/>
      <c r="AD759" s="663"/>
      <c r="AE759" s="663"/>
      <c r="AF759" s="663"/>
      <c r="AG759" s="663"/>
      <c r="AH759" s="663"/>
      <c r="AI759" s="664"/>
      <c r="AL759" s="896">
        <f t="shared" ref="AL759:AM759" si="2254">AL744</f>
        <v>39843</v>
      </c>
      <c r="AM759" s="897">
        <f t="shared" si="2254"/>
        <v>0</v>
      </c>
      <c r="AN759" s="663"/>
      <c r="AU759" s="664"/>
      <c r="AX759" s="896">
        <f t="shared" ref="AX759:AY759" si="2255">AX744</f>
        <v>39843</v>
      </c>
      <c r="AY759" s="897">
        <f t="shared" si="2255"/>
        <v>0</v>
      </c>
      <c r="BG759" s="664"/>
      <c r="BJ759" s="896">
        <f t="shared" ref="BJ759:BK759" si="2256">BJ744</f>
        <v>39843</v>
      </c>
      <c r="BK759" s="897">
        <f t="shared" si="2256"/>
        <v>0</v>
      </c>
      <c r="BS759" s="664"/>
      <c r="BV759" s="896">
        <f t="shared" ref="BV759:BW759" si="2257">BV744</f>
        <v>39843</v>
      </c>
      <c r="BW759" s="897">
        <f t="shared" si="2257"/>
        <v>0</v>
      </c>
      <c r="CE759" s="664"/>
      <c r="CH759" s="896">
        <f t="shared" ref="CH759:CI759" si="2258">CH744</f>
        <v>39843</v>
      </c>
      <c r="CI759" s="897">
        <f t="shared" si="2258"/>
        <v>0</v>
      </c>
      <c r="CQ759" s="664"/>
      <c r="CT759" s="896">
        <f t="shared" ref="CT759:CU759" si="2259">CT744</f>
        <v>39843</v>
      </c>
      <c r="CU759" s="897">
        <f t="shared" si="2259"/>
        <v>0</v>
      </c>
      <c r="DC759" s="664"/>
      <c r="DF759" s="896">
        <f t="shared" ref="DF759:DG759" si="2260">DF744</f>
        <v>39843</v>
      </c>
      <c r="DG759" s="897">
        <f t="shared" si="2260"/>
        <v>0</v>
      </c>
      <c r="DO759" s="664"/>
    </row>
    <row r="760" spans="2:119" hidden="1" x14ac:dyDescent="0.25">
      <c r="B760" s="896">
        <f t="shared" ref="B760:C760" si="2261">B745</f>
        <v>39843</v>
      </c>
      <c r="C760" s="897">
        <f t="shared" si="2261"/>
        <v>0</v>
      </c>
      <c r="K760" s="664"/>
      <c r="N760" s="896">
        <f t="shared" ref="N760:O760" si="2262">N745</f>
        <v>39843</v>
      </c>
      <c r="O760" s="897">
        <f t="shared" si="2262"/>
        <v>0</v>
      </c>
      <c r="U760" s="663"/>
      <c r="W760" s="664"/>
      <c r="Z760" s="896">
        <f t="shared" ref="Z760:AA760" si="2263">Z745</f>
        <v>39843</v>
      </c>
      <c r="AA760" s="897">
        <f t="shared" si="2263"/>
        <v>0</v>
      </c>
      <c r="AB760" s="663"/>
      <c r="AC760" s="663"/>
      <c r="AD760" s="663"/>
      <c r="AE760" s="663"/>
      <c r="AF760" s="663"/>
      <c r="AG760" s="663"/>
      <c r="AH760" s="663"/>
      <c r="AI760" s="664"/>
      <c r="AL760" s="896">
        <f t="shared" ref="AL760:AM760" si="2264">AL745</f>
        <v>39843</v>
      </c>
      <c r="AM760" s="897">
        <f t="shared" si="2264"/>
        <v>0</v>
      </c>
      <c r="AN760" s="663"/>
      <c r="AU760" s="664"/>
      <c r="AX760" s="896">
        <f t="shared" ref="AX760:AY760" si="2265">AX745</f>
        <v>39843</v>
      </c>
      <c r="AY760" s="897">
        <f t="shared" si="2265"/>
        <v>0</v>
      </c>
      <c r="BG760" s="664"/>
      <c r="BJ760" s="896">
        <f t="shared" ref="BJ760:BK760" si="2266">BJ745</f>
        <v>39843</v>
      </c>
      <c r="BK760" s="897">
        <f t="shared" si="2266"/>
        <v>0</v>
      </c>
      <c r="BS760" s="664"/>
      <c r="BV760" s="896">
        <f t="shared" ref="BV760:BW760" si="2267">BV745</f>
        <v>39843</v>
      </c>
      <c r="BW760" s="897">
        <f t="shared" si="2267"/>
        <v>0</v>
      </c>
      <c r="CE760" s="664"/>
      <c r="CH760" s="896">
        <f t="shared" ref="CH760:CI760" si="2268">CH745</f>
        <v>39843</v>
      </c>
      <c r="CI760" s="897">
        <f t="shared" si="2268"/>
        <v>0</v>
      </c>
      <c r="CQ760" s="664"/>
      <c r="CT760" s="896">
        <f t="shared" ref="CT760:CU760" si="2269">CT745</f>
        <v>39843</v>
      </c>
      <c r="CU760" s="897">
        <f t="shared" si="2269"/>
        <v>0</v>
      </c>
      <c r="DC760" s="664"/>
      <c r="DF760" s="896">
        <f t="shared" ref="DF760:DG760" si="2270">DF745</f>
        <v>39843</v>
      </c>
      <c r="DG760" s="897">
        <f t="shared" si="2270"/>
        <v>0</v>
      </c>
      <c r="DO760" s="664"/>
    </row>
    <row r="761" spans="2:119" hidden="1" x14ac:dyDescent="0.25">
      <c r="B761" s="896">
        <f t="shared" ref="B761:C761" si="2271">B746</f>
        <v>39843</v>
      </c>
      <c r="C761" s="897">
        <f t="shared" si="2271"/>
        <v>0</v>
      </c>
      <c r="K761" s="664"/>
      <c r="N761" s="896">
        <f t="shared" ref="N761:O761" si="2272">N746</f>
        <v>39843</v>
      </c>
      <c r="O761" s="897">
        <f t="shared" si="2272"/>
        <v>0</v>
      </c>
      <c r="U761" s="663"/>
      <c r="W761" s="664"/>
      <c r="Z761" s="896">
        <f t="shared" ref="Z761:AA761" si="2273">Z746</f>
        <v>39843</v>
      </c>
      <c r="AA761" s="897">
        <f t="shared" si="2273"/>
        <v>0</v>
      </c>
      <c r="AB761" s="663"/>
      <c r="AC761" s="663"/>
      <c r="AD761" s="663"/>
      <c r="AE761" s="663"/>
      <c r="AF761" s="663"/>
      <c r="AG761" s="663"/>
      <c r="AH761" s="663"/>
      <c r="AI761" s="664"/>
      <c r="AL761" s="896">
        <f t="shared" ref="AL761:AM761" si="2274">AL746</f>
        <v>39843</v>
      </c>
      <c r="AM761" s="897">
        <f t="shared" si="2274"/>
        <v>0</v>
      </c>
      <c r="AN761" s="663"/>
      <c r="AU761" s="664"/>
      <c r="AX761" s="896">
        <f t="shared" ref="AX761:AY761" si="2275">AX746</f>
        <v>39843</v>
      </c>
      <c r="AY761" s="897">
        <f t="shared" si="2275"/>
        <v>0</v>
      </c>
      <c r="BG761" s="664"/>
      <c r="BJ761" s="896">
        <f t="shared" ref="BJ761:BK761" si="2276">BJ746</f>
        <v>39843</v>
      </c>
      <c r="BK761" s="897">
        <f t="shared" si="2276"/>
        <v>0</v>
      </c>
      <c r="BS761" s="664"/>
      <c r="BV761" s="896">
        <f t="shared" ref="BV761:BW761" si="2277">BV746</f>
        <v>39843</v>
      </c>
      <c r="BW761" s="897">
        <f t="shared" si="2277"/>
        <v>0</v>
      </c>
      <c r="CE761" s="664"/>
      <c r="CH761" s="896">
        <f t="shared" ref="CH761:CI761" si="2278">CH746</f>
        <v>39843</v>
      </c>
      <c r="CI761" s="897">
        <f t="shared" si="2278"/>
        <v>0</v>
      </c>
      <c r="CQ761" s="664"/>
      <c r="CT761" s="896">
        <f t="shared" ref="CT761:CU761" si="2279">CT746</f>
        <v>39843</v>
      </c>
      <c r="CU761" s="897">
        <f t="shared" si="2279"/>
        <v>0</v>
      </c>
      <c r="DC761" s="664"/>
      <c r="DF761" s="896">
        <f t="shared" ref="DF761:DG761" si="2280">DF746</f>
        <v>39843</v>
      </c>
      <c r="DG761" s="897">
        <f t="shared" si="2280"/>
        <v>0</v>
      </c>
      <c r="DO761" s="664"/>
    </row>
    <row r="762" spans="2:119" hidden="1" x14ac:dyDescent="0.25">
      <c r="B762" s="896">
        <f t="shared" ref="B762:C762" si="2281">B747</f>
        <v>39843</v>
      </c>
      <c r="C762" s="897">
        <f t="shared" si="2281"/>
        <v>0</v>
      </c>
      <c r="K762" s="664"/>
      <c r="N762" s="896">
        <f t="shared" ref="N762:O762" si="2282">N747</f>
        <v>39843</v>
      </c>
      <c r="O762" s="897">
        <f t="shared" si="2282"/>
        <v>0</v>
      </c>
      <c r="U762" s="663"/>
      <c r="W762" s="664"/>
      <c r="Z762" s="896">
        <f t="shared" ref="Z762:AA762" si="2283">Z747</f>
        <v>39843</v>
      </c>
      <c r="AA762" s="897">
        <f t="shared" si="2283"/>
        <v>0</v>
      </c>
      <c r="AB762" s="663"/>
      <c r="AC762" s="663"/>
      <c r="AD762" s="663"/>
      <c r="AE762" s="663"/>
      <c r="AF762" s="663"/>
      <c r="AG762" s="663"/>
      <c r="AH762" s="663"/>
      <c r="AI762" s="664"/>
      <c r="AL762" s="896">
        <f t="shared" ref="AL762:AM762" si="2284">AL747</f>
        <v>39843</v>
      </c>
      <c r="AM762" s="897">
        <f t="shared" si="2284"/>
        <v>0</v>
      </c>
      <c r="AN762" s="663"/>
      <c r="AU762" s="664"/>
      <c r="AX762" s="896">
        <f t="shared" ref="AX762:AY762" si="2285">AX747</f>
        <v>39843</v>
      </c>
      <c r="AY762" s="897">
        <f t="shared" si="2285"/>
        <v>0</v>
      </c>
      <c r="BG762" s="664"/>
      <c r="BJ762" s="896">
        <f t="shared" ref="BJ762:BK762" si="2286">BJ747</f>
        <v>39843</v>
      </c>
      <c r="BK762" s="897">
        <f t="shared" si="2286"/>
        <v>0</v>
      </c>
      <c r="BS762" s="664"/>
      <c r="BV762" s="896">
        <f t="shared" ref="BV762:BW762" si="2287">BV747</f>
        <v>39843</v>
      </c>
      <c r="BW762" s="897">
        <f t="shared" si="2287"/>
        <v>0</v>
      </c>
      <c r="CE762" s="664"/>
      <c r="CH762" s="896">
        <f t="shared" ref="CH762:CI762" si="2288">CH747</f>
        <v>39843</v>
      </c>
      <c r="CI762" s="897">
        <f t="shared" si="2288"/>
        <v>0</v>
      </c>
      <c r="CQ762" s="664"/>
      <c r="CT762" s="896">
        <f t="shared" ref="CT762:CU762" si="2289">CT747</f>
        <v>39843</v>
      </c>
      <c r="CU762" s="897">
        <f t="shared" si="2289"/>
        <v>0</v>
      </c>
      <c r="DC762" s="664"/>
      <c r="DF762" s="896">
        <f t="shared" ref="DF762:DG762" si="2290">DF747</f>
        <v>39843</v>
      </c>
      <c r="DG762" s="897">
        <f t="shared" si="2290"/>
        <v>0</v>
      </c>
      <c r="DO762" s="664"/>
    </row>
    <row r="763" spans="2:119" hidden="1" x14ac:dyDescent="0.25">
      <c r="B763" s="896">
        <f t="shared" ref="B763:C763" si="2291">B748</f>
        <v>39843</v>
      </c>
      <c r="C763" s="897">
        <f t="shared" si="2291"/>
        <v>0</v>
      </c>
      <c r="K763" s="664"/>
      <c r="N763" s="896">
        <f t="shared" ref="N763:O763" si="2292">N748</f>
        <v>39843</v>
      </c>
      <c r="O763" s="897">
        <f t="shared" si="2292"/>
        <v>0</v>
      </c>
      <c r="U763" s="663"/>
      <c r="W763" s="664"/>
      <c r="Z763" s="896">
        <f t="shared" ref="Z763:AA763" si="2293">Z748</f>
        <v>39843</v>
      </c>
      <c r="AA763" s="897">
        <f t="shared" si="2293"/>
        <v>0</v>
      </c>
      <c r="AB763" s="663"/>
      <c r="AC763" s="663"/>
      <c r="AD763" s="663"/>
      <c r="AE763" s="663"/>
      <c r="AF763" s="663"/>
      <c r="AG763" s="663"/>
      <c r="AH763" s="663"/>
      <c r="AI763" s="664"/>
      <c r="AL763" s="896">
        <f t="shared" ref="AL763:AM763" si="2294">AL748</f>
        <v>39843</v>
      </c>
      <c r="AM763" s="897">
        <f t="shared" si="2294"/>
        <v>0</v>
      </c>
      <c r="AN763" s="663"/>
      <c r="AU763" s="664"/>
      <c r="AX763" s="896">
        <f t="shared" ref="AX763:AY763" si="2295">AX748</f>
        <v>39843</v>
      </c>
      <c r="AY763" s="897">
        <f t="shared" si="2295"/>
        <v>0</v>
      </c>
      <c r="BG763" s="664"/>
      <c r="BJ763" s="896">
        <f t="shared" ref="BJ763:BK763" si="2296">BJ748</f>
        <v>39843</v>
      </c>
      <c r="BK763" s="897">
        <f t="shared" si="2296"/>
        <v>0</v>
      </c>
      <c r="BS763" s="664"/>
      <c r="BV763" s="896">
        <f t="shared" ref="BV763:BW763" si="2297">BV748</f>
        <v>39843</v>
      </c>
      <c r="BW763" s="897">
        <f t="shared" si="2297"/>
        <v>0</v>
      </c>
      <c r="CE763" s="664"/>
      <c r="CH763" s="896">
        <f t="shared" ref="CH763:CI763" si="2298">CH748</f>
        <v>39843</v>
      </c>
      <c r="CI763" s="897">
        <f t="shared" si="2298"/>
        <v>0</v>
      </c>
      <c r="CQ763" s="664"/>
      <c r="CT763" s="896">
        <f t="shared" ref="CT763:CU763" si="2299">CT748</f>
        <v>39843</v>
      </c>
      <c r="CU763" s="897">
        <f t="shared" si="2299"/>
        <v>0</v>
      </c>
      <c r="DC763" s="664"/>
      <c r="DF763" s="896">
        <f t="shared" ref="DF763:DG763" si="2300">DF748</f>
        <v>39843</v>
      </c>
      <c r="DG763" s="897">
        <f t="shared" si="2300"/>
        <v>0</v>
      </c>
      <c r="DO763" s="664"/>
    </row>
    <row r="764" spans="2:119" hidden="1" x14ac:dyDescent="0.25">
      <c r="B764" s="896">
        <f t="shared" ref="B764" si="2301">B749</f>
        <v>39843</v>
      </c>
      <c r="C764" s="897">
        <f>C749</f>
        <v>0</v>
      </c>
      <c r="K764" s="664"/>
      <c r="N764" s="896">
        <f t="shared" ref="N764" si="2302">N749</f>
        <v>39843</v>
      </c>
      <c r="O764" s="897">
        <f>O749</f>
        <v>0</v>
      </c>
      <c r="U764" s="663"/>
      <c r="W764" s="664"/>
      <c r="Z764" s="896">
        <f t="shared" ref="Z764" si="2303">Z749</f>
        <v>39843</v>
      </c>
      <c r="AA764" s="897">
        <f>AA749</f>
        <v>0</v>
      </c>
      <c r="AB764" s="663"/>
      <c r="AC764" s="663"/>
      <c r="AD764" s="663"/>
      <c r="AE764" s="663"/>
      <c r="AF764" s="663"/>
      <c r="AG764" s="663"/>
      <c r="AH764" s="663"/>
      <c r="AI764" s="664"/>
      <c r="AL764" s="896">
        <f t="shared" ref="AL764" si="2304">AL749</f>
        <v>39843</v>
      </c>
      <c r="AM764" s="897">
        <f>AM749</f>
        <v>0</v>
      </c>
      <c r="AN764" s="663"/>
      <c r="AU764" s="664"/>
      <c r="AX764" s="896">
        <f t="shared" ref="AX764" si="2305">AX749</f>
        <v>39843</v>
      </c>
      <c r="AY764" s="897">
        <f>AY749</f>
        <v>0</v>
      </c>
      <c r="BG764" s="664"/>
      <c r="BJ764" s="896">
        <f t="shared" ref="BJ764" si="2306">BJ749</f>
        <v>39843</v>
      </c>
      <c r="BK764" s="897">
        <f>BK749</f>
        <v>0</v>
      </c>
      <c r="BS764" s="664"/>
      <c r="BV764" s="896">
        <f t="shared" ref="BV764" si="2307">BV749</f>
        <v>39843</v>
      </c>
      <c r="BW764" s="897">
        <f>BW749</f>
        <v>0</v>
      </c>
      <c r="CE764" s="664"/>
      <c r="CH764" s="896">
        <f t="shared" ref="CH764" si="2308">CH749</f>
        <v>39843</v>
      </c>
      <c r="CI764" s="897">
        <f>CI749</f>
        <v>0</v>
      </c>
      <c r="CQ764" s="664"/>
      <c r="CT764" s="896">
        <f t="shared" ref="CT764" si="2309">CT749</f>
        <v>39843</v>
      </c>
      <c r="CU764" s="897">
        <f>CU749</f>
        <v>0</v>
      </c>
      <c r="DC764" s="664"/>
      <c r="DF764" s="896">
        <f t="shared" ref="DF764" si="2310">DF749</f>
        <v>39843</v>
      </c>
      <c r="DG764" s="897">
        <f>DG749</f>
        <v>0</v>
      </c>
      <c r="DO764" s="664"/>
    </row>
    <row r="765" spans="2:119" hidden="1" x14ac:dyDescent="0.25">
      <c r="B765" s="896">
        <f t="shared" ref="B765:C765" si="2311">B750</f>
        <v>39843</v>
      </c>
      <c r="C765" s="897">
        <f t="shared" si="2311"/>
        <v>0</v>
      </c>
      <c r="K765" s="664"/>
      <c r="N765" s="896">
        <f t="shared" ref="N765:O765" si="2312">N750</f>
        <v>39843</v>
      </c>
      <c r="O765" s="897">
        <f t="shared" si="2312"/>
        <v>0</v>
      </c>
      <c r="U765" s="663"/>
      <c r="W765" s="664"/>
      <c r="Z765" s="896">
        <f t="shared" ref="Z765:AA765" si="2313">Z750</f>
        <v>39843</v>
      </c>
      <c r="AA765" s="897">
        <f t="shared" si="2313"/>
        <v>0</v>
      </c>
      <c r="AB765" s="663"/>
      <c r="AC765" s="663"/>
      <c r="AD765" s="663"/>
      <c r="AE765" s="663"/>
      <c r="AF765" s="663"/>
      <c r="AG765" s="663"/>
      <c r="AH765" s="663"/>
      <c r="AI765" s="664"/>
      <c r="AL765" s="896">
        <f t="shared" ref="AL765:AM765" si="2314">AL750</f>
        <v>39843</v>
      </c>
      <c r="AM765" s="897">
        <f t="shared" si="2314"/>
        <v>0</v>
      </c>
      <c r="AN765" s="663"/>
      <c r="AU765" s="664"/>
      <c r="AX765" s="896">
        <f t="shared" ref="AX765:AY765" si="2315">AX750</f>
        <v>39843</v>
      </c>
      <c r="AY765" s="897">
        <f t="shared" si="2315"/>
        <v>0</v>
      </c>
      <c r="BG765" s="664"/>
      <c r="BJ765" s="896">
        <f t="shared" ref="BJ765:BK765" si="2316">BJ750</f>
        <v>39843</v>
      </c>
      <c r="BK765" s="897">
        <f t="shared" si="2316"/>
        <v>0</v>
      </c>
      <c r="BS765" s="664"/>
      <c r="BV765" s="896">
        <f t="shared" ref="BV765:BW765" si="2317">BV750</f>
        <v>39843</v>
      </c>
      <c r="BW765" s="897">
        <f t="shared" si="2317"/>
        <v>0</v>
      </c>
      <c r="CE765" s="664"/>
      <c r="CH765" s="896">
        <f t="shared" ref="CH765:CI765" si="2318">CH750</f>
        <v>39843</v>
      </c>
      <c r="CI765" s="897">
        <f t="shared" si="2318"/>
        <v>0</v>
      </c>
      <c r="CQ765" s="664"/>
      <c r="CT765" s="896">
        <f t="shared" ref="CT765:CU765" si="2319">CT750</f>
        <v>39843</v>
      </c>
      <c r="CU765" s="897">
        <f t="shared" si="2319"/>
        <v>0</v>
      </c>
      <c r="DC765" s="664"/>
      <c r="DF765" s="896">
        <f t="shared" ref="DF765:DG765" si="2320">DF750</f>
        <v>39843</v>
      </c>
      <c r="DG765" s="897">
        <f t="shared" si="2320"/>
        <v>0</v>
      </c>
      <c r="DO765" s="664"/>
    </row>
    <row r="766" spans="2:119" hidden="1" x14ac:dyDescent="0.25">
      <c r="B766" s="896">
        <f>B751+$C$56</f>
        <v>41179</v>
      </c>
      <c r="C766" s="897">
        <f ca="1">C751</f>
        <v>0</v>
      </c>
      <c r="K766" s="664"/>
      <c r="N766" s="896">
        <f>N751+$C$56</f>
        <v>41179</v>
      </c>
      <c r="O766" s="897">
        <f ca="1">O751</f>
        <v>0</v>
      </c>
      <c r="U766" s="663"/>
      <c r="W766" s="664"/>
      <c r="Z766" s="896">
        <f>Z751+$C$56</f>
        <v>41179</v>
      </c>
      <c r="AA766" s="897">
        <f ca="1">AA751</f>
        <v>0</v>
      </c>
      <c r="AB766" s="663"/>
      <c r="AC766" s="663"/>
      <c r="AD766" s="663"/>
      <c r="AE766" s="663"/>
      <c r="AF766" s="663"/>
      <c r="AG766" s="663"/>
      <c r="AH766" s="663"/>
      <c r="AI766" s="664"/>
      <c r="AL766" s="896">
        <f>AL751+$C$56</f>
        <v>41179</v>
      </c>
      <c r="AM766" s="897">
        <f ca="1">AM751</f>
        <v>0</v>
      </c>
      <c r="AN766" s="663"/>
      <c r="AU766" s="664"/>
      <c r="AX766" s="896">
        <f>AX751+$C$56</f>
        <v>41179</v>
      </c>
      <c r="AY766" s="897">
        <f ca="1">AY751</f>
        <v>0</v>
      </c>
      <c r="BG766" s="664"/>
      <c r="BJ766" s="896">
        <f>BJ751+$C$56</f>
        <v>41179</v>
      </c>
      <c r="BK766" s="897">
        <f ca="1">BK751</f>
        <v>0</v>
      </c>
      <c r="BS766" s="664"/>
      <c r="BV766" s="896">
        <f>BV751+$C$56</f>
        <v>41179</v>
      </c>
      <c r="BW766" s="897">
        <f ca="1">BW751</f>
        <v>0</v>
      </c>
      <c r="CE766" s="664"/>
      <c r="CH766" s="896">
        <f>CH751+$C$56</f>
        <v>41179</v>
      </c>
      <c r="CI766" s="897">
        <f ca="1">CI751</f>
        <v>0</v>
      </c>
      <c r="CQ766" s="664"/>
      <c r="CT766" s="896">
        <f>CT751+$C$56</f>
        <v>41179</v>
      </c>
      <c r="CU766" s="897">
        <f ca="1">CU751</f>
        <v>0</v>
      </c>
      <c r="DC766" s="664"/>
      <c r="DF766" s="896">
        <f>DF751+$C$56</f>
        <v>41179</v>
      </c>
      <c r="DG766" s="897">
        <f ca="1">DG751</f>
        <v>0</v>
      </c>
      <c r="DO766" s="664"/>
    </row>
    <row r="767" spans="2:119" hidden="1" x14ac:dyDescent="0.25">
      <c r="B767" s="898" t="b">
        <f>IF(C756&lt;&gt;0,ROW(C756),IF(C757&lt;&gt;0,ROW(C757),IF(C758&lt;&gt;0,ROW(C758),IF(C759&lt;&gt;0,ROW(C759),IF(C760&lt;&gt;0,ROW(C760),IF(C761&lt;&gt;0,ROW(C761),IF(C762&lt;&gt;0,ROW(C762),IF(C763&lt;&gt;0,ROW(C763),IF(C764&lt;&gt;0,ROW(C764),IF(C765&lt;&gt;0,ROW(C765)))))))))))</f>
        <v>0</v>
      </c>
      <c r="C767" s="882" t="e">
        <f ca="1">IF(ISERROR(XIRR(INDIRECT(B769):C766,INDIRECT(B768):B766,-20%)),XIRR(INDIRECT(B769):C766,INDIRECT(B768):B766,20%),"N/A")</f>
        <v>#REF!</v>
      </c>
      <c r="K767" s="664"/>
      <c r="N767" s="898" t="b">
        <f>IF(O756&lt;&gt;0,ROW(O756),IF(O757&lt;&gt;0,ROW(O757),IF(O758&lt;&gt;0,ROW(O758),IF(O759&lt;&gt;0,ROW(O759),IF(O760&lt;&gt;0,ROW(O760),IF(O761&lt;&gt;0,ROW(O761),IF(O762&lt;&gt;0,ROW(O762),IF(O763&lt;&gt;0,ROW(O763),IF(O764&lt;&gt;0,ROW(O764),IF(O765&lt;&gt;0,ROW(O765)))))))))))</f>
        <v>0</v>
      </c>
      <c r="O767" s="882" t="e">
        <f ca="1">IF(ISERROR(XIRR(INDIRECT(N769):O766,INDIRECT(N768):N766,-20%)),XIRR(INDIRECT(N769):O766,INDIRECT(N768):N766,20%),"N/A")</f>
        <v>#REF!</v>
      </c>
      <c r="U767" s="663"/>
      <c r="W767" s="664"/>
      <c r="Z767" s="898" t="b">
        <f>IF(AA756&lt;&gt;0,ROW(AA756),IF(AA757&lt;&gt;0,ROW(AA757),IF(AA758&lt;&gt;0,ROW(AA758),IF(AA759&lt;&gt;0,ROW(AA759),IF(AA760&lt;&gt;0,ROW(AA760),IF(AA761&lt;&gt;0,ROW(AA761),IF(AA762&lt;&gt;0,ROW(AA762),IF(AA763&lt;&gt;0,ROW(AA763),IF(AA764&lt;&gt;0,ROW(AA764),IF(AA765&lt;&gt;0,ROW(AA765)))))))))))</f>
        <v>0</v>
      </c>
      <c r="AA767" s="882" t="e">
        <f ca="1">IF(ISERROR(XIRR(INDIRECT(Z769):AA766,INDIRECT(Z768):Z766,-20%)),XIRR(INDIRECT(Z769):AA766,INDIRECT(Z768):Z766,20%),"N/A")</f>
        <v>#REF!</v>
      </c>
      <c r="AB767" s="663"/>
      <c r="AC767" s="663"/>
      <c r="AD767" s="663"/>
      <c r="AE767" s="663"/>
      <c r="AF767" s="663"/>
      <c r="AG767" s="663"/>
      <c r="AH767" s="663"/>
      <c r="AI767" s="664"/>
      <c r="AL767" s="898" t="b">
        <f>IF(AM756&lt;&gt;0,ROW(AM756),IF(AM757&lt;&gt;0,ROW(AM757),IF(AM758&lt;&gt;0,ROW(AM758),IF(AM759&lt;&gt;0,ROW(AM759),IF(AM760&lt;&gt;0,ROW(AM760),IF(AM761&lt;&gt;0,ROW(AM761),IF(AM762&lt;&gt;0,ROW(AM762),IF(AM763&lt;&gt;0,ROW(AM763),IF(AM764&lt;&gt;0,ROW(AM764),IF(AM765&lt;&gt;0,ROW(AM765)))))))))))</f>
        <v>0</v>
      </c>
      <c r="AM767" s="882" t="e">
        <f ca="1">IF(ISERROR(XIRR(INDIRECT(AL769):AM766,INDIRECT(AL768):AL766,-20%)),XIRR(INDIRECT(AL769):AM766,INDIRECT(AL768):AL766,20%),"N/A")</f>
        <v>#REF!</v>
      </c>
      <c r="AN767" s="663"/>
      <c r="AU767" s="664"/>
      <c r="AX767" s="898" t="b">
        <f>IF(AY756&lt;&gt;0,ROW(AY756),IF(AY757&lt;&gt;0,ROW(AY757),IF(AY758&lt;&gt;0,ROW(AY758),IF(AY759&lt;&gt;0,ROW(AY759),IF(AY760&lt;&gt;0,ROW(AY760),IF(AY761&lt;&gt;0,ROW(AY761),IF(AY762&lt;&gt;0,ROW(AY762),IF(AY763&lt;&gt;0,ROW(AY763),IF(AY764&lt;&gt;0,ROW(AY764),IF(AY765&lt;&gt;0,ROW(AY765)))))))))))</f>
        <v>0</v>
      </c>
      <c r="AY767" s="882" t="e">
        <f ca="1">IF(ISERROR(XIRR(INDIRECT(AX769):AY766,INDIRECT(AX768):AX766,-20%)),XIRR(INDIRECT(AX769):AY766,INDIRECT(AX768):AX766,20%),"N/A")</f>
        <v>#REF!</v>
      </c>
      <c r="BG767" s="664"/>
      <c r="BJ767" s="898" t="b">
        <f>IF(BK756&lt;&gt;0,ROW(BK756),IF(BK757&lt;&gt;0,ROW(BK757),IF(BK758&lt;&gt;0,ROW(BK758),IF(BK759&lt;&gt;0,ROW(BK759),IF(BK760&lt;&gt;0,ROW(BK760),IF(BK761&lt;&gt;0,ROW(BK761),IF(BK762&lt;&gt;0,ROW(BK762),IF(BK763&lt;&gt;0,ROW(BK763),IF(BK764&lt;&gt;0,ROW(BK764),IF(BK765&lt;&gt;0,ROW(BK765)))))))))))</f>
        <v>0</v>
      </c>
      <c r="BK767" s="882" t="e">
        <f ca="1">IF(ISERROR(XIRR(INDIRECT(BJ769):BK766,INDIRECT(BJ768):BJ766,-20%)),XIRR(INDIRECT(BJ769):BK766,INDIRECT(BJ768):BJ766,20%),"N/A")</f>
        <v>#REF!</v>
      </c>
      <c r="BS767" s="664"/>
      <c r="BV767" s="898" t="b">
        <f>IF(BW756&lt;&gt;0,ROW(BW756),IF(BW757&lt;&gt;0,ROW(BW757),IF(BW758&lt;&gt;0,ROW(BW758),IF(BW759&lt;&gt;0,ROW(BW759),IF(BW760&lt;&gt;0,ROW(BW760),IF(BW761&lt;&gt;0,ROW(BW761),IF(BW762&lt;&gt;0,ROW(BW762),IF(BW763&lt;&gt;0,ROW(BW763),IF(BW764&lt;&gt;0,ROW(BW764),IF(BW765&lt;&gt;0,ROW(BW765)))))))))))</f>
        <v>0</v>
      </c>
      <c r="BW767" s="882" t="e">
        <f ca="1">IF(ISERROR(XIRR(INDIRECT(BV769):BW766,INDIRECT(BV768):BV766,-20%)),XIRR(INDIRECT(BV769):BW766,INDIRECT(BV768):BV766,20%),"N/A")</f>
        <v>#REF!</v>
      </c>
      <c r="CE767" s="664"/>
      <c r="CH767" s="898" t="b">
        <f>IF(CI756&lt;&gt;0,ROW(CI756),IF(CI757&lt;&gt;0,ROW(CI757),IF(CI758&lt;&gt;0,ROW(CI758),IF(CI759&lt;&gt;0,ROW(CI759),IF(CI760&lt;&gt;0,ROW(CI760),IF(CI761&lt;&gt;0,ROW(CI761),IF(CI762&lt;&gt;0,ROW(CI762),IF(CI763&lt;&gt;0,ROW(CI763),IF(CI764&lt;&gt;0,ROW(CI764),IF(CI765&lt;&gt;0,ROW(CI765)))))))))))</f>
        <v>0</v>
      </c>
      <c r="CI767" s="882" t="e">
        <f ca="1">IF(ISERROR(XIRR(INDIRECT(CH769):CI766,INDIRECT(CH768):CH766,-20%)),XIRR(INDIRECT(CH769):CI766,INDIRECT(CH768):CH766,20%),"N/A")</f>
        <v>#REF!</v>
      </c>
      <c r="CQ767" s="664"/>
      <c r="CT767" s="898" t="b">
        <f>IF(CU756&lt;&gt;0,ROW(CU756),IF(CU757&lt;&gt;0,ROW(CU757),IF(CU758&lt;&gt;0,ROW(CU758),IF(CU759&lt;&gt;0,ROW(CU759),IF(CU760&lt;&gt;0,ROW(CU760),IF(CU761&lt;&gt;0,ROW(CU761),IF(CU762&lt;&gt;0,ROW(CU762),IF(CU763&lt;&gt;0,ROW(CU763),IF(CU764&lt;&gt;0,ROW(CU764),IF(CU765&lt;&gt;0,ROW(CU765)))))))))))</f>
        <v>0</v>
      </c>
      <c r="CU767" s="882" t="e">
        <f ca="1">IF(ISERROR(XIRR(INDIRECT(CT769):CU766,INDIRECT(CT768):CT766,-20%)),XIRR(INDIRECT(CT769):CU766,INDIRECT(CT768):CT766,20%),"N/A")</f>
        <v>#REF!</v>
      </c>
      <c r="DC767" s="664"/>
      <c r="DF767" s="898" t="b">
        <f>IF(DG756&lt;&gt;0,ROW(DG756),IF(DG757&lt;&gt;0,ROW(DG757),IF(DG758&lt;&gt;0,ROW(DG758),IF(DG759&lt;&gt;0,ROW(DG759),IF(DG760&lt;&gt;0,ROW(DG760),IF(DG761&lt;&gt;0,ROW(DG761),IF(DG762&lt;&gt;0,ROW(DG762),IF(DG763&lt;&gt;0,ROW(DG763),IF(DG764&lt;&gt;0,ROW(DG764),IF(DG765&lt;&gt;0,ROW(DG765)))))))))))</f>
        <v>0</v>
      </c>
      <c r="DG767" s="882" t="e">
        <f ca="1">IF(ISERROR(XIRR(INDIRECT(DF769):DG766,INDIRECT(DF768):DF766,-20%)),XIRR(INDIRECT(DF769):DG766,INDIRECT(DF768):DF766,20%),"N/A")</f>
        <v>#REF!</v>
      </c>
      <c r="DO767" s="664"/>
    </row>
    <row r="768" spans="2:119" hidden="1" x14ac:dyDescent="0.25">
      <c r="B768" s="899" t="str">
        <f>CONCATENATE(CHAR(64+COLUMN(B767)),B767)</f>
        <v>BFALSE</v>
      </c>
      <c r="C768" s="897"/>
      <c r="K768" s="664"/>
      <c r="N768" s="899" t="str">
        <f>CONCATENATE(CHAR(64+COLUMN(N767)),N767)</f>
        <v>NFALSE</v>
      </c>
      <c r="O768" s="897"/>
      <c r="U768" s="663"/>
      <c r="W768" s="664"/>
      <c r="Z768" s="899" t="str">
        <f>CONCATENATE(IF(COLUMN(Z767)&lt;=26,CHAR(96+COLUMN(Z767)),(CHAR(96+(ROUNDDOWN((COLUMN(Z767)-1)/26,0)))&amp;CHAR(96+IF(MOD(COLUMN(Z767),26)=0,26,MOD(COLUMN(Z767),26))))),Z767)</f>
        <v>zFALSE</v>
      </c>
      <c r="AA768" s="897"/>
      <c r="AB768" s="663"/>
      <c r="AC768" s="663"/>
      <c r="AD768" s="663"/>
      <c r="AE768" s="663"/>
      <c r="AF768" s="663"/>
      <c r="AG768" s="663"/>
      <c r="AH768" s="663"/>
      <c r="AI768" s="664"/>
      <c r="AL768" s="899" t="str">
        <f>CONCATENATE(IF(COLUMN(AL767)&lt;=26,CHAR(96+COLUMN(AL767)),(CHAR(96+(ROUNDDOWN((COLUMN(AL767)-1)/26,0)))&amp;CHAR(96+IF(MOD(COLUMN(AL767),26)=0,26,MOD(COLUMN(AL767),26))))),AL767)</f>
        <v>alFALSE</v>
      </c>
      <c r="AM768" s="897"/>
      <c r="AN768" s="663"/>
      <c r="AU768" s="664"/>
      <c r="AX768" s="899" t="str">
        <f>CONCATENATE(IF(COLUMN(AX767)&lt;=26,CHAR(96+COLUMN(AX767)),(CHAR(96+(ROUNDDOWN((COLUMN(AX767)-1)/26,0)))&amp;CHAR(96+IF(MOD(COLUMN(AX767),26)=0,26,MOD(COLUMN(AX767),26))))),AX767)</f>
        <v>axFALSE</v>
      </c>
      <c r="AY768" s="897"/>
      <c r="BG768" s="664"/>
      <c r="BJ768" s="899" t="str">
        <f>CONCATENATE(IF(COLUMN(BJ767)&lt;=26,CHAR(96+COLUMN(BJ767)),(CHAR(96+(ROUNDDOWN((COLUMN(BJ767)-1)/26,0)))&amp;CHAR(96+IF(MOD(COLUMN(BJ767),26)=0,26,MOD(COLUMN(BJ767),26))))),BJ767)</f>
        <v>bjFALSE</v>
      </c>
      <c r="BK768" s="897"/>
      <c r="BS768" s="664"/>
      <c r="BV768" s="899" t="str">
        <f>CONCATENATE(IF(COLUMN(BV767)&lt;=26,CHAR(96+COLUMN(BV767)),(CHAR(96+(ROUNDDOWN((COLUMN(BV767)-1)/26,0)))&amp;CHAR(96+IF(MOD(COLUMN(BV767),26)=0,26,MOD(COLUMN(BV767),26))))),BV767)</f>
        <v>bvFALSE</v>
      </c>
      <c r="BW768" s="897"/>
      <c r="CE768" s="664"/>
      <c r="CH768" s="899" t="str">
        <f>CONCATENATE(IF(COLUMN(CH767)&lt;=26,CHAR(96+COLUMN(CH767)),(CHAR(96+(ROUNDDOWN((COLUMN(CH767)-1)/26,0)))&amp;CHAR(96+IF(MOD(COLUMN(CH767),26)=0,26,MOD(COLUMN(CH767),26))))),CH767)</f>
        <v>chFALSE</v>
      </c>
      <c r="CI768" s="897"/>
      <c r="CQ768" s="664"/>
      <c r="CT768" s="899" t="str">
        <f>CONCATENATE(IF(COLUMN(CT767)&lt;=26,CHAR(96+COLUMN(CT767)),(CHAR(96+(ROUNDDOWN((COLUMN(CT767)-1)/26,0)))&amp;CHAR(96+IF(MOD(COLUMN(CT767),26)=0,26,MOD(COLUMN(CT767),26))))),CT767)</f>
        <v>ctFALSE</v>
      </c>
      <c r="CU768" s="897"/>
      <c r="DC768" s="664"/>
      <c r="DF768" s="899" t="str">
        <f>CONCATENATE(IF(COLUMN(DF767)&lt;=26,CHAR(96+COLUMN(DF767)),(CHAR(96+(ROUNDDOWN((COLUMN(DF767)-1)/26,0)))&amp;CHAR(96+IF(MOD(COLUMN(DF767),26)=0,26,MOD(COLUMN(DF767),26))))),DF767)</f>
        <v>dfFALSE</v>
      </c>
      <c r="DG768" s="897"/>
      <c r="DO768" s="664"/>
    </row>
    <row r="769" spans="2:119" hidden="1" x14ac:dyDescent="0.25">
      <c r="B769" s="899" t="str">
        <f>CONCATENATE(CHAR(64+COLUMN(C767)),B767)</f>
        <v>CFALSE</v>
      </c>
      <c r="C769" s="897"/>
      <c r="K769" s="664"/>
      <c r="N769" s="899" t="str">
        <f>CONCATENATE(CHAR(64+COLUMN(O767)),N767)</f>
        <v>OFALSE</v>
      </c>
      <c r="O769" s="897"/>
      <c r="U769" s="663"/>
      <c r="W769" s="664"/>
      <c r="Z769" s="899" t="str">
        <f>CONCATENATE(IF(COLUMN(AA767)&lt;=26,CHAR(96+COLUMN(AA767)),(CHAR(96+(ROUNDDOWN((COLUMN(AA767)-1)/26,0)))&amp;CHAR(96+IF(MOD(COLUMN(AA767),26)=0,26,MOD(COLUMN(AA767),26))))),Z767)</f>
        <v>aaFALSE</v>
      </c>
      <c r="AA769" s="897"/>
      <c r="AB769" s="663"/>
      <c r="AC769" s="663"/>
      <c r="AD769" s="663"/>
      <c r="AE769" s="663"/>
      <c r="AF769" s="663"/>
      <c r="AG769" s="663"/>
      <c r="AH769" s="663"/>
      <c r="AI769" s="664"/>
      <c r="AL769" s="899" t="str">
        <f>CONCATENATE(IF(COLUMN(AM767)&lt;=26,CHAR(96+COLUMN(AM767)),(CHAR(96+(ROUNDDOWN((COLUMN(AM767)-1)/26,0)))&amp;CHAR(96+IF(MOD(COLUMN(AM767),26)=0,26,MOD(COLUMN(AM767),26))))),AL767)</f>
        <v>amFALSE</v>
      </c>
      <c r="AM769" s="897"/>
      <c r="AN769" s="663"/>
      <c r="AU769" s="664"/>
      <c r="AX769" s="899" t="str">
        <f>CONCATENATE(IF(COLUMN(AY767)&lt;=26,CHAR(96+COLUMN(AY767)),(CHAR(96+(ROUNDDOWN((COLUMN(AY767)-1)/26,0)))&amp;CHAR(96+IF(MOD(COLUMN(AY767),26)=0,26,MOD(COLUMN(AY767),26))))),AX767)</f>
        <v>ayFALSE</v>
      </c>
      <c r="AY769" s="897"/>
      <c r="BG769" s="664"/>
      <c r="BJ769" s="899" t="str">
        <f>CONCATENATE(IF(COLUMN(BK767)&lt;=26,CHAR(96+COLUMN(BK767)),(CHAR(96+(ROUNDDOWN((COLUMN(BK767)-1)/26,0)))&amp;CHAR(96+IF(MOD(COLUMN(BK767),26)=0,26,MOD(COLUMN(BK767),26))))),BJ767)</f>
        <v>bkFALSE</v>
      </c>
      <c r="BK769" s="897"/>
      <c r="BS769" s="664"/>
      <c r="BV769" s="899" t="str">
        <f>CONCATENATE(IF(COLUMN(BW767)&lt;=26,CHAR(96+COLUMN(BW767)),(CHAR(96+(ROUNDDOWN((COLUMN(BW767)-1)/26,0)))&amp;CHAR(96+IF(MOD(COLUMN(BW767),26)=0,26,MOD(COLUMN(BW767),26))))),BV767)</f>
        <v>bwFALSE</v>
      </c>
      <c r="BW769" s="897"/>
      <c r="CE769" s="664"/>
      <c r="CH769" s="899" t="str">
        <f>CONCATENATE(IF(COLUMN(CI767)&lt;=26,CHAR(96+COLUMN(CI767)),(CHAR(96+(ROUNDDOWN((COLUMN(CI767)-1)/26,0)))&amp;CHAR(96+IF(MOD(COLUMN(CI767),26)=0,26,MOD(COLUMN(CI767),26))))),CH767)</f>
        <v>ciFALSE</v>
      </c>
      <c r="CI769" s="897"/>
      <c r="CQ769" s="664"/>
      <c r="CT769" s="899" t="str">
        <f>CONCATENATE(IF(COLUMN(CU767)&lt;=26,CHAR(96+COLUMN(CU767)),(CHAR(96+(ROUNDDOWN((COLUMN(CU767)-1)/26,0)))&amp;CHAR(96+IF(MOD(COLUMN(CU767),26)=0,26,MOD(COLUMN(CU767),26))))),CT767)</f>
        <v>cuFALSE</v>
      </c>
      <c r="CU769" s="897"/>
      <c r="DC769" s="664"/>
      <c r="DF769" s="899" t="str">
        <f>CONCATENATE(IF(COLUMN(DG767)&lt;=26,CHAR(96+COLUMN(DG767)),(CHAR(96+(ROUNDDOWN((COLUMN(DG767)-1)/26,0)))&amp;CHAR(96+IF(MOD(COLUMN(DG767),26)=0,26,MOD(COLUMN(DG767),26))))),DF767)</f>
        <v>dgFALSE</v>
      </c>
      <c r="DG769" s="897"/>
      <c r="DO769" s="664"/>
    </row>
    <row r="770" spans="2:119" hidden="1" x14ac:dyDescent="0.25">
      <c r="B770" s="899"/>
      <c r="C770" s="897"/>
      <c r="K770" s="664"/>
      <c r="N770" s="899"/>
      <c r="O770" s="897"/>
      <c r="U770" s="663"/>
      <c r="W770" s="664"/>
      <c r="Z770" s="899"/>
      <c r="AA770" s="897"/>
      <c r="AB770" s="663"/>
      <c r="AC770" s="663"/>
      <c r="AD770" s="663"/>
      <c r="AE770" s="663"/>
      <c r="AF770" s="663"/>
      <c r="AG770" s="663"/>
      <c r="AH770" s="663"/>
      <c r="AI770" s="664"/>
      <c r="AL770" s="899"/>
      <c r="AM770" s="897"/>
      <c r="AN770" s="663"/>
      <c r="AU770" s="664"/>
      <c r="AX770" s="899"/>
      <c r="AY770" s="897"/>
      <c r="BG770" s="664"/>
      <c r="BJ770" s="899"/>
      <c r="BK770" s="897"/>
      <c r="BS770" s="664"/>
      <c r="BV770" s="899"/>
      <c r="BW770" s="897"/>
      <c r="CE770" s="664"/>
      <c r="CH770" s="899"/>
      <c r="CI770" s="897"/>
      <c r="CQ770" s="664"/>
      <c r="CT770" s="899"/>
      <c r="CU770" s="897"/>
      <c r="DC770" s="664"/>
      <c r="DF770" s="899"/>
      <c r="DG770" s="897"/>
      <c r="DO770" s="664"/>
    </row>
    <row r="771" spans="2:119" hidden="1" x14ac:dyDescent="0.25">
      <c r="B771" s="900">
        <f>B756</f>
        <v>39113</v>
      </c>
      <c r="C771" s="897">
        <f>C756</f>
        <v>0</v>
      </c>
      <c r="K771" s="664"/>
      <c r="N771" s="900">
        <f>N756</f>
        <v>39113</v>
      </c>
      <c r="O771" s="897">
        <f>O756</f>
        <v>0</v>
      </c>
      <c r="U771" s="663"/>
      <c r="W771" s="664"/>
      <c r="Z771" s="900">
        <f>Z756</f>
        <v>39113</v>
      </c>
      <c r="AA771" s="897">
        <f>AA756</f>
        <v>0</v>
      </c>
      <c r="AB771" s="663"/>
      <c r="AC771" s="663"/>
      <c r="AD771" s="663"/>
      <c r="AE771" s="663"/>
      <c r="AF771" s="663"/>
      <c r="AG771" s="663"/>
      <c r="AH771" s="663"/>
      <c r="AI771" s="664"/>
      <c r="AL771" s="900">
        <f>AL756</f>
        <v>39113</v>
      </c>
      <c r="AM771" s="897">
        <f>AM756</f>
        <v>0</v>
      </c>
      <c r="AN771" s="663"/>
      <c r="AU771" s="664"/>
      <c r="AX771" s="900">
        <f>AX756</f>
        <v>39113</v>
      </c>
      <c r="AY771" s="897">
        <f>AY756</f>
        <v>0</v>
      </c>
      <c r="BG771" s="664"/>
      <c r="BJ771" s="900">
        <f>BJ756</f>
        <v>39113</v>
      </c>
      <c r="BK771" s="897">
        <f>BK756</f>
        <v>0</v>
      </c>
      <c r="BS771" s="664"/>
      <c r="BV771" s="900">
        <f>BV756</f>
        <v>39113</v>
      </c>
      <c r="BW771" s="897">
        <f>BW756</f>
        <v>0</v>
      </c>
      <c r="CE771" s="664"/>
      <c r="CH771" s="900">
        <f>CH756</f>
        <v>39113</v>
      </c>
      <c r="CI771" s="897">
        <f>CI756</f>
        <v>0</v>
      </c>
      <c r="CQ771" s="664"/>
      <c r="CT771" s="900">
        <f>CT756</f>
        <v>39113</v>
      </c>
      <c r="CU771" s="897">
        <f>CU756</f>
        <v>0</v>
      </c>
      <c r="DC771" s="664"/>
      <c r="DF771" s="900">
        <f>DF756</f>
        <v>39113</v>
      </c>
      <c r="DG771" s="897">
        <f>DG756</f>
        <v>0</v>
      </c>
      <c r="DO771" s="664"/>
    </row>
    <row r="772" spans="2:119" hidden="1" x14ac:dyDescent="0.25">
      <c r="B772" s="900">
        <f t="shared" ref="B772:C772" si="2321">B757</f>
        <v>39478</v>
      </c>
      <c r="C772" s="897">
        <f t="shared" si="2321"/>
        <v>0</v>
      </c>
      <c r="K772" s="664"/>
      <c r="N772" s="900">
        <f t="shared" ref="N772:O772" si="2322">N757</f>
        <v>39478</v>
      </c>
      <c r="O772" s="897">
        <f t="shared" si="2322"/>
        <v>0</v>
      </c>
      <c r="U772" s="663"/>
      <c r="W772" s="664"/>
      <c r="Z772" s="900">
        <f t="shared" ref="Z772:AA772" si="2323">Z757</f>
        <v>39478</v>
      </c>
      <c r="AA772" s="897">
        <f t="shared" si="2323"/>
        <v>0</v>
      </c>
      <c r="AB772" s="663"/>
      <c r="AC772" s="663"/>
      <c r="AD772" s="663"/>
      <c r="AE772" s="663"/>
      <c r="AF772" s="663"/>
      <c r="AG772" s="663"/>
      <c r="AH772" s="663"/>
      <c r="AI772" s="664"/>
      <c r="AL772" s="900">
        <f t="shared" ref="AL772:AM772" si="2324">AL757</f>
        <v>39478</v>
      </c>
      <c r="AM772" s="897">
        <f t="shared" si="2324"/>
        <v>0</v>
      </c>
      <c r="AN772" s="663"/>
      <c r="AU772" s="664"/>
      <c r="AX772" s="900">
        <f t="shared" ref="AX772:AY772" si="2325">AX757</f>
        <v>39478</v>
      </c>
      <c r="AY772" s="897">
        <f t="shared" si="2325"/>
        <v>0</v>
      </c>
      <c r="BG772" s="664"/>
      <c r="BJ772" s="900">
        <f t="shared" ref="BJ772:BK772" si="2326">BJ757</f>
        <v>39478</v>
      </c>
      <c r="BK772" s="897">
        <f t="shared" si="2326"/>
        <v>0</v>
      </c>
      <c r="BS772" s="664"/>
      <c r="BV772" s="900">
        <f t="shared" ref="BV772:BW772" si="2327">BV757</f>
        <v>39478</v>
      </c>
      <c r="BW772" s="897">
        <f t="shared" si="2327"/>
        <v>0</v>
      </c>
      <c r="CE772" s="664"/>
      <c r="CH772" s="900">
        <f t="shared" ref="CH772:CI772" si="2328">CH757</f>
        <v>39478</v>
      </c>
      <c r="CI772" s="897">
        <f t="shared" si="2328"/>
        <v>0</v>
      </c>
      <c r="CQ772" s="664"/>
      <c r="CT772" s="900">
        <f t="shared" ref="CT772:CU772" si="2329">CT757</f>
        <v>39478</v>
      </c>
      <c r="CU772" s="897">
        <f t="shared" si="2329"/>
        <v>0</v>
      </c>
      <c r="DC772" s="664"/>
      <c r="DF772" s="900">
        <f t="shared" ref="DF772:DG772" si="2330">DF757</f>
        <v>39478</v>
      </c>
      <c r="DG772" s="897">
        <f t="shared" si="2330"/>
        <v>0</v>
      </c>
      <c r="DO772" s="664"/>
    </row>
    <row r="773" spans="2:119" hidden="1" x14ac:dyDescent="0.25">
      <c r="B773" s="900">
        <f t="shared" ref="B773:C773" si="2331">B758</f>
        <v>39843</v>
      </c>
      <c r="C773" s="897">
        <f t="shared" si="2331"/>
        <v>0</v>
      </c>
      <c r="K773" s="664"/>
      <c r="N773" s="900">
        <f t="shared" ref="N773:O773" si="2332">N758</f>
        <v>39843</v>
      </c>
      <c r="O773" s="897">
        <f t="shared" si="2332"/>
        <v>0</v>
      </c>
      <c r="U773" s="663"/>
      <c r="W773" s="664"/>
      <c r="Z773" s="900">
        <f t="shared" ref="Z773:AA773" si="2333">Z758</f>
        <v>39843</v>
      </c>
      <c r="AA773" s="897">
        <f t="shared" si="2333"/>
        <v>0</v>
      </c>
      <c r="AB773" s="663"/>
      <c r="AC773" s="663"/>
      <c r="AD773" s="663"/>
      <c r="AE773" s="663"/>
      <c r="AF773" s="663"/>
      <c r="AG773" s="663"/>
      <c r="AH773" s="663"/>
      <c r="AI773" s="664"/>
      <c r="AL773" s="900">
        <f t="shared" ref="AL773:AM773" si="2334">AL758</f>
        <v>39843</v>
      </c>
      <c r="AM773" s="897">
        <f t="shared" si="2334"/>
        <v>0</v>
      </c>
      <c r="AN773" s="663"/>
      <c r="AU773" s="664"/>
      <c r="AX773" s="900">
        <f t="shared" ref="AX773:AY773" si="2335">AX758</f>
        <v>39843</v>
      </c>
      <c r="AY773" s="897">
        <f t="shared" si="2335"/>
        <v>0</v>
      </c>
      <c r="BG773" s="664"/>
      <c r="BJ773" s="900">
        <f t="shared" ref="BJ773:BK773" si="2336">BJ758</f>
        <v>39843</v>
      </c>
      <c r="BK773" s="897">
        <f t="shared" si="2336"/>
        <v>0</v>
      </c>
      <c r="BS773" s="664"/>
      <c r="BV773" s="900">
        <f t="shared" ref="BV773:BW773" si="2337">BV758</f>
        <v>39843</v>
      </c>
      <c r="BW773" s="897">
        <f t="shared" si="2337"/>
        <v>0</v>
      </c>
      <c r="CE773" s="664"/>
      <c r="CH773" s="900">
        <f t="shared" ref="CH773:CI773" si="2338">CH758</f>
        <v>39843</v>
      </c>
      <c r="CI773" s="897">
        <f t="shared" si="2338"/>
        <v>0</v>
      </c>
      <c r="CQ773" s="664"/>
      <c r="CT773" s="900">
        <f t="shared" ref="CT773:CU773" si="2339">CT758</f>
        <v>39843</v>
      </c>
      <c r="CU773" s="897">
        <f t="shared" si="2339"/>
        <v>0</v>
      </c>
      <c r="DC773" s="664"/>
      <c r="DF773" s="900">
        <f t="shared" ref="DF773:DG773" si="2340">DF758</f>
        <v>39843</v>
      </c>
      <c r="DG773" s="897">
        <f t="shared" si="2340"/>
        <v>0</v>
      </c>
      <c r="DO773" s="664"/>
    </row>
    <row r="774" spans="2:119" hidden="1" x14ac:dyDescent="0.25">
      <c r="B774" s="900">
        <f t="shared" ref="B774:C774" si="2341">B759</f>
        <v>39843</v>
      </c>
      <c r="C774" s="897">
        <f t="shared" si="2341"/>
        <v>0</v>
      </c>
      <c r="K774" s="664"/>
      <c r="N774" s="900">
        <f t="shared" ref="N774:O774" si="2342">N759</f>
        <v>39843</v>
      </c>
      <c r="O774" s="897">
        <f t="shared" si="2342"/>
        <v>0</v>
      </c>
      <c r="U774" s="663"/>
      <c r="W774" s="664"/>
      <c r="Z774" s="900">
        <f t="shared" ref="Z774:AA774" si="2343">Z759</f>
        <v>39843</v>
      </c>
      <c r="AA774" s="897">
        <f t="shared" si="2343"/>
        <v>0</v>
      </c>
      <c r="AB774" s="663"/>
      <c r="AC774" s="663"/>
      <c r="AD774" s="663"/>
      <c r="AE774" s="663"/>
      <c r="AF774" s="663"/>
      <c r="AG774" s="663"/>
      <c r="AH774" s="663"/>
      <c r="AI774" s="664"/>
      <c r="AL774" s="900">
        <f t="shared" ref="AL774:AM774" si="2344">AL759</f>
        <v>39843</v>
      </c>
      <c r="AM774" s="897">
        <f t="shared" si="2344"/>
        <v>0</v>
      </c>
      <c r="AN774" s="663"/>
      <c r="AU774" s="664"/>
      <c r="AX774" s="900">
        <f t="shared" ref="AX774:AY774" si="2345">AX759</f>
        <v>39843</v>
      </c>
      <c r="AY774" s="897">
        <f t="shared" si="2345"/>
        <v>0</v>
      </c>
      <c r="BG774" s="664"/>
      <c r="BJ774" s="900">
        <f t="shared" ref="BJ774:BK774" si="2346">BJ759</f>
        <v>39843</v>
      </c>
      <c r="BK774" s="897">
        <f t="shared" si="2346"/>
        <v>0</v>
      </c>
      <c r="BS774" s="664"/>
      <c r="BV774" s="900">
        <f t="shared" ref="BV774:BW774" si="2347">BV759</f>
        <v>39843</v>
      </c>
      <c r="BW774" s="897">
        <f t="shared" si="2347"/>
        <v>0</v>
      </c>
      <c r="CE774" s="664"/>
      <c r="CH774" s="900">
        <f t="shared" ref="CH774:CI774" si="2348">CH759</f>
        <v>39843</v>
      </c>
      <c r="CI774" s="897">
        <f t="shared" si="2348"/>
        <v>0</v>
      </c>
      <c r="CQ774" s="664"/>
      <c r="CT774" s="900">
        <f t="shared" ref="CT774:CU774" si="2349">CT759</f>
        <v>39843</v>
      </c>
      <c r="CU774" s="897">
        <f t="shared" si="2349"/>
        <v>0</v>
      </c>
      <c r="DC774" s="664"/>
      <c r="DF774" s="900">
        <f t="shared" ref="DF774:DG774" si="2350">DF759</f>
        <v>39843</v>
      </c>
      <c r="DG774" s="897">
        <f t="shared" si="2350"/>
        <v>0</v>
      </c>
      <c r="DO774" s="664"/>
    </row>
    <row r="775" spans="2:119" hidden="1" x14ac:dyDescent="0.25">
      <c r="B775" s="900">
        <f t="shared" ref="B775:C775" si="2351">B760</f>
        <v>39843</v>
      </c>
      <c r="C775" s="897">
        <f t="shared" si="2351"/>
        <v>0</v>
      </c>
      <c r="K775" s="664"/>
      <c r="N775" s="900">
        <f t="shared" ref="N775:O775" si="2352">N760</f>
        <v>39843</v>
      </c>
      <c r="O775" s="897">
        <f t="shared" si="2352"/>
        <v>0</v>
      </c>
      <c r="U775" s="663"/>
      <c r="W775" s="664"/>
      <c r="Z775" s="900">
        <f t="shared" ref="Z775:AA775" si="2353">Z760</f>
        <v>39843</v>
      </c>
      <c r="AA775" s="897">
        <f t="shared" si="2353"/>
        <v>0</v>
      </c>
      <c r="AB775" s="663"/>
      <c r="AC775" s="663"/>
      <c r="AD775" s="663"/>
      <c r="AE775" s="663"/>
      <c r="AF775" s="663"/>
      <c r="AG775" s="663"/>
      <c r="AH775" s="663"/>
      <c r="AI775" s="664"/>
      <c r="AL775" s="900">
        <f t="shared" ref="AL775:AM775" si="2354">AL760</f>
        <v>39843</v>
      </c>
      <c r="AM775" s="897">
        <f t="shared" si="2354"/>
        <v>0</v>
      </c>
      <c r="AN775" s="663"/>
      <c r="AU775" s="664"/>
      <c r="AX775" s="900">
        <f t="shared" ref="AX775:AY775" si="2355">AX760</f>
        <v>39843</v>
      </c>
      <c r="AY775" s="897">
        <f t="shared" si="2355"/>
        <v>0</v>
      </c>
      <c r="BG775" s="664"/>
      <c r="BJ775" s="900">
        <f t="shared" ref="BJ775:BK775" si="2356">BJ760</f>
        <v>39843</v>
      </c>
      <c r="BK775" s="897">
        <f t="shared" si="2356"/>
        <v>0</v>
      </c>
      <c r="BS775" s="664"/>
      <c r="BV775" s="900">
        <f t="shared" ref="BV775:BW775" si="2357">BV760</f>
        <v>39843</v>
      </c>
      <c r="BW775" s="897">
        <f t="shared" si="2357"/>
        <v>0</v>
      </c>
      <c r="CE775" s="664"/>
      <c r="CH775" s="900">
        <f t="shared" ref="CH775:CI775" si="2358">CH760</f>
        <v>39843</v>
      </c>
      <c r="CI775" s="897">
        <f t="shared" si="2358"/>
        <v>0</v>
      </c>
      <c r="CQ775" s="664"/>
      <c r="CT775" s="900">
        <f t="shared" ref="CT775:CU775" si="2359">CT760</f>
        <v>39843</v>
      </c>
      <c r="CU775" s="897">
        <f t="shared" si="2359"/>
        <v>0</v>
      </c>
      <c r="DC775" s="664"/>
      <c r="DF775" s="900">
        <f t="shared" ref="DF775:DG775" si="2360">DF760</f>
        <v>39843</v>
      </c>
      <c r="DG775" s="897">
        <f t="shared" si="2360"/>
        <v>0</v>
      </c>
      <c r="DO775" s="664"/>
    </row>
    <row r="776" spans="2:119" hidden="1" x14ac:dyDescent="0.25">
      <c r="B776" s="900">
        <f t="shared" ref="B776:C776" si="2361">B761</f>
        <v>39843</v>
      </c>
      <c r="C776" s="897">
        <f t="shared" si="2361"/>
        <v>0</v>
      </c>
      <c r="K776" s="664"/>
      <c r="N776" s="900">
        <f t="shared" ref="N776:O776" si="2362">N761</f>
        <v>39843</v>
      </c>
      <c r="O776" s="897">
        <f t="shared" si="2362"/>
        <v>0</v>
      </c>
      <c r="U776" s="663"/>
      <c r="W776" s="664"/>
      <c r="Z776" s="900">
        <f t="shared" ref="Z776:AA776" si="2363">Z761</f>
        <v>39843</v>
      </c>
      <c r="AA776" s="897">
        <f t="shared" si="2363"/>
        <v>0</v>
      </c>
      <c r="AB776" s="663"/>
      <c r="AC776" s="663"/>
      <c r="AD776" s="663"/>
      <c r="AE776" s="663"/>
      <c r="AF776" s="663"/>
      <c r="AG776" s="663"/>
      <c r="AH776" s="663"/>
      <c r="AI776" s="664"/>
      <c r="AL776" s="900">
        <f t="shared" ref="AL776:AM776" si="2364">AL761</f>
        <v>39843</v>
      </c>
      <c r="AM776" s="897">
        <f t="shared" si="2364"/>
        <v>0</v>
      </c>
      <c r="AN776" s="663"/>
      <c r="AU776" s="664"/>
      <c r="AX776" s="900">
        <f t="shared" ref="AX776:AY776" si="2365">AX761</f>
        <v>39843</v>
      </c>
      <c r="AY776" s="897">
        <f t="shared" si="2365"/>
        <v>0</v>
      </c>
      <c r="BG776" s="664"/>
      <c r="BJ776" s="900">
        <f t="shared" ref="BJ776:BK776" si="2366">BJ761</f>
        <v>39843</v>
      </c>
      <c r="BK776" s="897">
        <f t="shared" si="2366"/>
        <v>0</v>
      </c>
      <c r="BS776" s="664"/>
      <c r="BV776" s="900">
        <f t="shared" ref="BV776:BW776" si="2367">BV761</f>
        <v>39843</v>
      </c>
      <c r="BW776" s="897">
        <f t="shared" si="2367"/>
        <v>0</v>
      </c>
      <c r="CE776" s="664"/>
      <c r="CH776" s="900">
        <f t="shared" ref="CH776:CI776" si="2368">CH761</f>
        <v>39843</v>
      </c>
      <c r="CI776" s="897">
        <f t="shared" si="2368"/>
        <v>0</v>
      </c>
      <c r="CQ776" s="664"/>
      <c r="CT776" s="900">
        <f t="shared" ref="CT776:CU776" si="2369">CT761</f>
        <v>39843</v>
      </c>
      <c r="CU776" s="897">
        <f t="shared" si="2369"/>
        <v>0</v>
      </c>
      <c r="DC776" s="664"/>
      <c r="DF776" s="900">
        <f t="shared" ref="DF776:DG776" si="2370">DF761</f>
        <v>39843</v>
      </c>
      <c r="DG776" s="897">
        <f t="shared" si="2370"/>
        <v>0</v>
      </c>
      <c r="DO776" s="664"/>
    </row>
    <row r="777" spans="2:119" hidden="1" x14ac:dyDescent="0.25">
      <c r="B777" s="900">
        <f t="shared" ref="B777:C777" si="2371">B762</f>
        <v>39843</v>
      </c>
      <c r="C777" s="897">
        <f t="shared" si="2371"/>
        <v>0</v>
      </c>
      <c r="K777" s="664"/>
      <c r="N777" s="900">
        <f t="shared" ref="N777:O777" si="2372">N762</f>
        <v>39843</v>
      </c>
      <c r="O777" s="897">
        <f t="shared" si="2372"/>
        <v>0</v>
      </c>
      <c r="U777" s="663"/>
      <c r="W777" s="664"/>
      <c r="Z777" s="900">
        <f t="shared" ref="Z777:AA777" si="2373">Z762</f>
        <v>39843</v>
      </c>
      <c r="AA777" s="897">
        <f t="shared" si="2373"/>
        <v>0</v>
      </c>
      <c r="AB777" s="663"/>
      <c r="AC777" s="663"/>
      <c r="AD777" s="663"/>
      <c r="AE777" s="663"/>
      <c r="AF777" s="663"/>
      <c r="AG777" s="663"/>
      <c r="AH777" s="663"/>
      <c r="AI777" s="664"/>
      <c r="AL777" s="900">
        <f t="shared" ref="AL777:AM777" si="2374">AL762</f>
        <v>39843</v>
      </c>
      <c r="AM777" s="897">
        <f t="shared" si="2374"/>
        <v>0</v>
      </c>
      <c r="AN777" s="663"/>
      <c r="AU777" s="664"/>
      <c r="AX777" s="900">
        <f t="shared" ref="AX777:AY777" si="2375">AX762</f>
        <v>39843</v>
      </c>
      <c r="AY777" s="897">
        <f t="shared" si="2375"/>
        <v>0</v>
      </c>
      <c r="BG777" s="664"/>
      <c r="BJ777" s="900">
        <f t="shared" ref="BJ777:BK777" si="2376">BJ762</f>
        <v>39843</v>
      </c>
      <c r="BK777" s="897">
        <f t="shared" si="2376"/>
        <v>0</v>
      </c>
      <c r="BS777" s="664"/>
      <c r="BV777" s="900">
        <f t="shared" ref="BV777:BW777" si="2377">BV762</f>
        <v>39843</v>
      </c>
      <c r="BW777" s="897">
        <f t="shared" si="2377"/>
        <v>0</v>
      </c>
      <c r="CE777" s="664"/>
      <c r="CH777" s="900">
        <f t="shared" ref="CH777:CI777" si="2378">CH762</f>
        <v>39843</v>
      </c>
      <c r="CI777" s="897">
        <f t="shared" si="2378"/>
        <v>0</v>
      </c>
      <c r="CQ777" s="664"/>
      <c r="CT777" s="900">
        <f t="shared" ref="CT777:CU777" si="2379">CT762</f>
        <v>39843</v>
      </c>
      <c r="CU777" s="897">
        <f t="shared" si="2379"/>
        <v>0</v>
      </c>
      <c r="DC777" s="664"/>
      <c r="DF777" s="900">
        <f t="shared" ref="DF777:DG777" si="2380">DF762</f>
        <v>39843</v>
      </c>
      <c r="DG777" s="897">
        <f t="shared" si="2380"/>
        <v>0</v>
      </c>
      <c r="DO777" s="664"/>
    </row>
    <row r="778" spans="2:119" hidden="1" x14ac:dyDescent="0.25">
      <c r="B778" s="900">
        <f t="shared" ref="B778:C778" si="2381">B763</f>
        <v>39843</v>
      </c>
      <c r="C778" s="897">
        <f t="shared" si="2381"/>
        <v>0</v>
      </c>
      <c r="K778" s="664"/>
      <c r="N778" s="900">
        <f t="shared" ref="N778:O778" si="2382">N763</f>
        <v>39843</v>
      </c>
      <c r="O778" s="897">
        <f t="shared" si="2382"/>
        <v>0</v>
      </c>
      <c r="U778" s="663"/>
      <c r="W778" s="664"/>
      <c r="Z778" s="900">
        <f t="shared" ref="Z778:AA778" si="2383">Z763</f>
        <v>39843</v>
      </c>
      <c r="AA778" s="897">
        <f t="shared" si="2383"/>
        <v>0</v>
      </c>
      <c r="AB778" s="663"/>
      <c r="AC778" s="663"/>
      <c r="AD778" s="663"/>
      <c r="AE778" s="663"/>
      <c r="AF778" s="663"/>
      <c r="AG778" s="663"/>
      <c r="AH778" s="663"/>
      <c r="AI778" s="664"/>
      <c r="AL778" s="900">
        <f t="shared" ref="AL778:AM778" si="2384">AL763</f>
        <v>39843</v>
      </c>
      <c r="AM778" s="897">
        <f t="shared" si="2384"/>
        <v>0</v>
      </c>
      <c r="AN778" s="663"/>
      <c r="AU778" s="664"/>
      <c r="AX778" s="900">
        <f t="shared" ref="AX778:AY778" si="2385">AX763</f>
        <v>39843</v>
      </c>
      <c r="AY778" s="897">
        <f t="shared" si="2385"/>
        <v>0</v>
      </c>
      <c r="BG778" s="664"/>
      <c r="BJ778" s="900">
        <f t="shared" ref="BJ778:BK778" si="2386">BJ763</f>
        <v>39843</v>
      </c>
      <c r="BK778" s="897">
        <f t="shared" si="2386"/>
        <v>0</v>
      </c>
      <c r="BS778" s="664"/>
      <c r="BV778" s="900">
        <f t="shared" ref="BV778:BW778" si="2387">BV763</f>
        <v>39843</v>
      </c>
      <c r="BW778" s="897">
        <f t="shared" si="2387"/>
        <v>0</v>
      </c>
      <c r="CE778" s="664"/>
      <c r="CH778" s="900">
        <f t="shared" ref="CH778:CI778" si="2388">CH763</f>
        <v>39843</v>
      </c>
      <c r="CI778" s="897">
        <f t="shared" si="2388"/>
        <v>0</v>
      </c>
      <c r="CQ778" s="664"/>
      <c r="CT778" s="900">
        <f t="shared" ref="CT778:CU778" si="2389">CT763</f>
        <v>39843</v>
      </c>
      <c r="CU778" s="897">
        <f t="shared" si="2389"/>
        <v>0</v>
      </c>
      <c r="DC778" s="664"/>
      <c r="DF778" s="900">
        <f t="shared" ref="DF778:DG778" si="2390">DF763</f>
        <v>39843</v>
      </c>
      <c r="DG778" s="897">
        <f t="shared" si="2390"/>
        <v>0</v>
      </c>
      <c r="DO778" s="664"/>
    </row>
    <row r="779" spans="2:119" hidden="1" x14ac:dyDescent="0.25">
      <c r="B779" s="900">
        <f t="shared" ref="B779:C779" si="2391">B764</f>
        <v>39843</v>
      </c>
      <c r="C779" s="897">
        <f t="shared" si="2391"/>
        <v>0</v>
      </c>
      <c r="K779" s="664"/>
      <c r="N779" s="900">
        <f t="shared" ref="N779:O779" si="2392">N764</f>
        <v>39843</v>
      </c>
      <c r="O779" s="897">
        <f t="shared" si="2392"/>
        <v>0</v>
      </c>
      <c r="U779" s="663"/>
      <c r="W779" s="664"/>
      <c r="Z779" s="900">
        <f t="shared" ref="Z779:AA779" si="2393">Z764</f>
        <v>39843</v>
      </c>
      <c r="AA779" s="897">
        <f t="shared" si="2393"/>
        <v>0</v>
      </c>
      <c r="AB779" s="663"/>
      <c r="AC779" s="663"/>
      <c r="AD779" s="663"/>
      <c r="AE779" s="663"/>
      <c r="AF779" s="663"/>
      <c r="AG779" s="663"/>
      <c r="AH779" s="663"/>
      <c r="AI779" s="664"/>
      <c r="AL779" s="900">
        <f t="shared" ref="AL779:AM779" si="2394">AL764</f>
        <v>39843</v>
      </c>
      <c r="AM779" s="897">
        <f t="shared" si="2394"/>
        <v>0</v>
      </c>
      <c r="AN779" s="663"/>
      <c r="AU779" s="664"/>
      <c r="AX779" s="900">
        <f t="shared" ref="AX779:AY779" si="2395">AX764</f>
        <v>39843</v>
      </c>
      <c r="AY779" s="897">
        <f t="shared" si="2395"/>
        <v>0</v>
      </c>
      <c r="BG779" s="664"/>
      <c r="BJ779" s="900">
        <f t="shared" ref="BJ779:BK779" si="2396">BJ764</f>
        <v>39843</v>
      </c>
      <c r="BK779" s="897">
        <f t="shared" si="2396"/>
        <v>0</v>
      </c>
      <c r="BS779" s="664"/>
      <c r="BV779" s="900">
        <f t="shared" ref="BV779:BW779" si="2397">BV764</f>
        <v>39843</v>
      </c>
      <c r="BW779" s="897">
        <f t="shared" si="2397"/>
        <v>0</v>
      </c>
      <c r="CE779" s="664"/>
      <c r="CH779" s="900">
        <f t="shared" ref="CH779:CI779" si="2398">CH764</f>
        <v>39843</v>
      </c>
      <c r="CI779" s="897">
        <f t="shared" si="2398"/>
        <v>0</v>
      </c>
      <c r="CQ779" s="664"/>
      <c r="CT779" s="900">
        <f t="shared" ref="CT779:CU779" si="2399">CT764</f>
        <v>39843</v>
      </c>
      <c r="CU779" s="897">
        <f t="shared" si="2399"/>
        <v>0</v>
      </c>
      <c r="DC779" s="664"/>
      <c r="DF779" s="900">
        <f t="shared" ref="DF779:DG779" si="2400">DF764</f>
        <v>39843</v>
      </c>
      <c r="DG779" s="897">
        <f t="shared" si="2400"/>
        <v>0</v>
      </c>
      <c r="DO779" s="664"/>
    </row>
    <row r="780" spans="2:119" hidden="1" x14ac:dyDescent="0.25">
      <c r="B780" s="900">
        <f t="shared" ref="B780:C780" si="2401">B765</f>
        <v>39843</v>
      </c>
      <c r="C780" s="897">
        <f t="shared" si="2401"/>
        <v>0</v>
      </c>
      <c r="K780" s="664"/>
      <c r="N780" s="900">
        <f t="shared" ref="N780:O780" si="2402">N765</f>
        <v>39843</v>
      </c>
      <c r="O780" s="897">
        <f t="shared" si="2402"/>
        <v>0</v>
      </c>
      <c r="U780" s="663"/>
      <c r="W780" s="664"/>
      <c r="Z780" s="900">
        <f t="shared" ref="Z780:AA780" si="2403">Z765</f>
        <v>39843</v>
      </c>
      <c r="AA780" s="897">
        <f t="shared" si="2403"/>
        <v>0</v>
      </c>
      <c r="AB780" s="663"/>
      <c r="AC780" s="663"/>
      <c r="AD780" s="663"/>
      <c r="AE780" s="663"/>
      <c r="AF780" s="663"/>
      <c r="AG780" s="663"/>
      <c r="AH780" s="663"/>
      <c r="AI780" s="664"/>
      <c r="AL780" s="900">
        <f t="shared" ref="AL780:AM780" si="2404">AL765</f>
        <v>39843</v>
      </c>
      <c r="AM780" s="897">
        <f t="shared" si="2404"/>
        <v>0</v>
      </c>
      <c r="AN780" s="663"/>
      <c r="AU780" s="664"/>
      <c r="AX780" s="900">
        <f t="shared" ref="AX780:AY780" si="2405">AX765</f>
        <v>39843</v>
      </c>
      <c r="AY780" s="897">
        <f t="shared" si="2405"/>
        <v>0</v>
      </c>
      <c r="BG780" s="664"/>
      <c r="BJ780" s="900">
        <f t="shared" ref="BJ780:BK780" si="2406">BJ765</f>
        <v>39843</v>
      </c>
      <c r="BK780" s="897">
        <f t="shared" si="2406"/>
        <v>0</v>
      </c>
      <c r="BS780" s="664"/>
      <c r="BV780" s="900">
        <f t="shared" ref="BV780:BW780" si="2407">BV765</f>
        <v>39843</v>
      </c>
      <c r="BW780" s="897">
        <f t="shared" si="2407"/>
        <v>0</v>
      </c>
      <c r="CE780" s="664"/>
      <c r="CH780" s="900">
        <f t="shared" ref="CH780:CI780" si="2408">CH765</f>
        <v>39843</v>
      </c>
      <c r="CI780" s="897">
        <f t="shared" si="2408"/>
        <v>0</v>
      </c>
      <c r="CQ780" s="664"/>
      <c r="CT780" s="900">
        <f t="shared" ref="CT780:CU780" si="2409">CT765</f>
        <v>39843</v>
      </c>
      <c r="CU780" s="897">
        <f t="shared" si="2409"/>
        <v>0</v>
      </c>
      <c r="DC780" s="664"/>
      <c r="DF780" s="900">
        <f t="shared" ref="DF780:DG780" si="2410">DF765</f>
        <v>39843</v>
      </c>
      <c r="DG780" s="897">
        <f t="shared" si="2410"/>
        <v>0</v>
      </c>
      <c r="DO780" s="664"/>
    </row>
    <row r="781" spans="2:119" hidden="1" x14ac:dyDescent="0.25">
      <c r="B781" s="896">
        <f>B766+$C$56</f>
        <v>41359</v>
      </c>
      <c r="C781" s="897">
        <f ca="1">C766</f>
        <v>0</v>
      </c>
      <c r="K781" s="664"/>
      <c r="N781" s="896">
        <f>N766+$C$56</f>
        <v>41359</v>
      </c>
      <c r="O781" s="897">
        <f ca="1">O766</f>
        <v>0</v>
      </c>
      <c r="U781" s="663"/>
      <c r="W781" s="664"/>
      <c r="Z781" s="896">
        <f>Z766+$C$56</f>
        <v>41359</v>
      </c>
      <c r="AA781" s="897">
        <f ca="1">AA766</f>
        <v>0</v>
      </c>
      <c r="AB781" s="663"/>
      <c r="AC781" s="663"/>
      <c r="AD781" s="663"/>
      <c r="AE781" s="663"/>
      <c r="AF781" s="663"/>
      <c r="AG781" s="663"/>
      <c r="AH781" s="663"/>
      <c r="AI781" s="664"/>
      <c r="AL781" s="896">
        <f>AL766+$C$56</f>
        <v>41359</v>
      </c>
      <c r="AM781" s="897">
        <f ca="1">AM766</f>
        <v>0</v>
      </c>
      <c r="AN781" s="663"/>
      <c r="AU781" s="664"/>
      <c r="AX781" s="896">
        <f>AX766+$C$56</f>
        <v>41359</v>
      </c>
      <c r="AY781" s="897">
        <f ca="1">AY766</f>
        <v>0</v>
      </c>
      <c r="BG781" s="664"/>
      <c r="BJ781" s="896">
        <f>BJ766+$C$56</f>
        <v>41359</v>
      </c>
      <c r="BK781" s="897">
        <f ca="1">BK766</f>
        <v>0</v>
      </c>
      <c r="BS781" s="664"/>
      <c r="BV781" s="896">
        <f>BV766+$C$56</f>
        <v>41359</v>
      </c>
      <c r="BW781" s="897">
        <f ca="1">BW766</f>
        <v>0</v>
      </c>
      <c r="CE781" s="664"/>
      <c r="CH781" s="896">
        <f>CH766+$C$56</f>
        <v>41359</v>
      </c>
      <c r="CI781" s="897">
        <f ca="1">CI766</f>
        <v>0</v>
      </c>
      <c r="CQ781" s="664"/>
      <c r="CT781" s="896">
        <f>CT766+$C$56</f>
        <v>41359</v>
      </c>
      <c r="CU781" s="897">
        <f ca="1">CU766</f>
        <v>0</v>
      </c>
      <c r="DC781" s="664"/>
      <c r="DF781" s="896">
        <f>DF766+$C$56</f>
        <v>41359</v>
      </c>
      <c r="DG781" s="897">
        <f ca="1">DG766</f>
        <v>0</v>
      </c>
      <c r="DO781" s="664"/>
    </row>
    <row r="782" spans="2:119" hidden="1" x14ac:dyDescent="0.25">
      <c r="B782" s="898" t="b">
        <f>IF(C771&lt;&gt;0,ROW(C771),IF(C772&lt;&gt;0,ROW(C772),IF(C773&lt;&gt;0,ROW(C773),IF(C774&lt;&gt;0,ROW(C774),IF(C775&lt;&gt;0,ROW(C775),IF(C776&lt;&gt;0,ROW(C776),IF(C777&lt;&gt;0,ROW(C777),IF(C778&lt;&gt;0,ROW(C778),IF(C779&lt;&gt;0,ROW(C779),IF(C780&lt;&gt;0,ROW(C780)))))))))))</f>
        <v>0</v>
      </c>
      <c r="C782" s="882" t="e">
        <f ca="1">IF(ISERROR(XIRR(INDIRECT(B784):C781,INDIRECT(B783):B781,-20%)),XIRR(INDIRECT(B784):C781,INDIRECT(B783):B781,20%),"N/A")</f>
        <v>#REF!</v>
      </c>
      <c r="K782" s="664"/>
      <c r="N782" s="898" t="b">
        <f>IF(O771&lt;&gt;0,ROW(O771),IF(O772&lt;&gt;0,ROW(O772),IF(O773&lt;&gt;0,ROW(O773),IF(O774&lt;&gt;0,ROW(O774),IF(O775&lt;&gt;0,ROW(O775),IF(O776&lt;&gt;0,ROW(O776),IF(O777&lt;&gt;0,ROW(O777),IF(O778&lt;&gt;0,ROW(O778),IF(O779&lt;&gt;0,ROW(O779),IF(O780&lt;&gt;0,ROW(O780)))))))))))</f>
        <v>0</v>
      </c>
      <c r="O782" s="882" t="e">
        <f ca="1">IF(ISERROR(XIRR(INDIRECT(N784):O781,INDIRECT(N783):N781,-20%)),XIRR(INDIRECT(N784):O781,INDIRECT(N783):N781,20%),"N/A")</f>
        <v>#REF!</v>
      </c>
      <c r="U782" s="663"/>
      <c r="W782" s="664"/>
      <c r="Z782" s="898" t="b">
        <f>IF(AA771&lt;&gt;0,ROW(AA771),IF(AA772&lt;&gt;0,ROW(AA772),IF(AA773&lt;&gt;0,ROW(AA773),IF(AA774&lt;&gt;0,ROW(AA774),IF(AA775&lt;&gt;0,ROW(AA775),IF(AA776&lt;&gt;0,ROW(AA776),IF(AA777&lt;&gt;0,ROW(AA777),IF(AA778&lt;&gt;0,ROW(AA778),IF(AA779&lt;&gt;0,ROW(AA779),IF(AA780&lt;&gt;0,ROW(AA780)))))))))))</f>
        <v>0</v>
      </c>
      <c r="AA782" s="882" t="e">
        <f ca="1">IF(ISERROR(XIRR(INDIRECT(Z784):AA781,INDIRECT(Z783):Z781,-20%)),XIRR(INDIRECT(Z784):AA781,INDIRECT(Z783):Z781,20%),"N/A")</f>
        <v>#REF!</v>
      </c>
      <c r="AB782" s="663"/>
      <c r="AC782" s="663"/>
      <c r="AD782" s="663"/>
      <c r="AE782" s="663"/>
      <c r="AF782" s="663"/>
      <c r="AG782" s="663"/>
      <c r="AH782" s="663"/>
      <c r="AI782" s="664"/>
      <c r="AL782" s="898" t="b">
        <f>IF(AM771&lt;&gt;0,ROW(AM771),IF(AM772&lt;&gt;0,ROW(AM772),IF(AM773&lt;&gt;0,ROW(AM773),IF(AM774&lt;&gt;0,ROW(AM774),IF(AM775&lt;&gt;0,ROW(AM775),IF(AM776&lt;&gt;0,ROW(AM776),IF(AM777&lt;&gt;0,ROW(AM777),IF(AM778&lt;&gt;0,ROW(AM778),IF(AM779&lt;&gt;0,ROW(AM779),IF(AM780&lt;&gt;0,ROW(AM780)))))))))))</f>
        <v>0</v>
      </c>
      <c r="AM782" s="882" t="e">
        <f ca="1">IF(ISERROR(XIRR(INDIRECT(AL784):AM781,INDIRECT(AL783):AL781,-20%)),XIRR(INDIRECT(AL784):AM781,INDIRECT(AL783):AL781,20%),"N/A")</f>
        <v>#REF!</v>
      </c>
      <c r="AN782" s="663"/>
      <c r="AU782" s="664"/>
      <c r="AX782" s="898" t="b">
        <f>IF(AY771&lt;&gt;0,ROW(AY771),IF(AY772&lt;&gt;0,ROW(AY772),IF(AY773&lt;&gt;0,ROW(AY773),IF(AY774&lt;&gt;0,ROW(AY774),IF(AY775&lt;&gt;0,ROW(AY775),IF(AY776&lt;&gt;0,ROW(AY776),IF(AY777&lt;&gt;0,ROW(AY777),IF(AY778&lt;&gt;0,ROW(AY778),IF(AY779&lt;&gt;0,ROW(AY779),IF(AY780&lt;&gt;0,ROW(AY780)))))))))))</f>
        <v>0</v>
      </c>
      <c r="AY782" s="882" t="e">
        <f ca="1">IF(ISERROR(XIRR(INDIRECT(AX784):AY781,INDIRECT(AX783):AX781,-20%)),XIRR(INDIRECT(AX784):AY781,INDIRECT(AX783):AX781,20%),"N/A")</f>
        <v>#REF!</v>
      </c>
      <c r="BG782" s="664"/>
      <c r="BJ782" s="898" t="b">
        <f>IF(BK771&lt;&gt;0,ROW(BK771),IF(BK772&lt;&gt;0,ROW(BK772),IF(BK773&lt;&gt;0,ROW(BK773),IF(BK774&lt;&gt;0,ROW(BK774),IF(BK775&lt;&gt;0,ROW(BK775),IF(BK776&lt;&gt;0,ROW(BK776),IF(BK777&lt;&gt;0,ROW(BK777),IF(BK778&lt;&gt;0,ROW(BK778),IF(BK779&lt;&gt;0,ROW(BK779),IF(BK780&lt;&gt;0,ROW(BK780)))))))))))</f>
        <v>0</v>
      </c>
      <c r="BK782" s="882" t="e">
        <f ca="1">IF(ISERROR(XIRR(INDIRECT(BJ784):BK781,INDIRECT(BJ783):BJ781,-20%)),XIRR(INDIRECT(BJ784):BK781,INDIRECT(BJ783):BJ781,20%),"N/A")</f>
        <v>#REF!</v>
      </c>
      <c r="BS782" s="664"/>
      <c r="BV782" s="898" t="b">
        <f>IF(BW771&lt;&gt;0,ROW(BW771),IF(BW772&lt;&gt;0,ROW(BW772),IF(BW773&lt;&gt;0,ROW(BW773),IF(BW774&lt;&gt;0,ROW(BW774),IF(BW775&lt;&gt;0,ROW(BW775),IF(BW776&lt;&gt;0,ROW(BW776),IF(BW777&lt;&gt;0,ROW(BW777),IF(BW778&lt;&gt;0,ROW(BW778),IF(BW779&lt;&gt;0,ROW(BW779),IF(BW780&lt;&gt;0,ROW(BW780)))))))))))</f>
        <v>0</v>
      </c>
      <c r="BW782" s="882" t="e">
        <f ca="1">IF(ISERROR(XIRR(INDIRECT(BV784):BW781,INDIRECT(BV783):BV781,-20%)),XIRR(INDIRECT(BV784):BW781,INDIRECT(BV783):BV781,20%),"N/A")</f>
        <v>#REF!</v>
      </c>
      <c r="CE782" s="664"/>
      <c r="CH782" s="898" t="b">
        <f>IF(CI771&lt;&gt;0,ROW(CI771),IF(CI772&lt;&gt;0,ROW(CI772),IF(CI773&lt;&gt;0,ROW(CI773),IF(CI774&lt;&gt;0,ROW(CI774),IF(CI775&lt;&gt;0,ROW(CI775),IF(CI776&lt;&gt;0,ROW(CI776),IF(CI777&lt;&gt;0,ROW(CI777),IF(CI778&lt;&gt;0,ROW(CI778),IF(CI779&lt;&gt;0,ROW(CI779),IF(CI780&lt;&gt;0,ROW(CI780)))))))))))</f>
        <v>0</v>
      </c>
      <c r="CI782" s="882" t="e">
        <f ca="1">IF(ISERROR(XIRR(INDIRECT(CH784):CI781,INDIRECT(CH783):CH781,-20%)),XIRR(INDIRECT(CH784):CI781,INDIRECT(CH783):CH781,20%),"N/A")</f>
        <v>#REF!</v>
      </c>
      <c r="CQ782" s="664"/>
      <c r="CT782" s="898" t="b">
        <f>IF(CU771&lt;&gt;0,ROW(CU771),IF(CU772&lt;&gt;0,ROW(CU772),IF(CU773&lt;&gt;0,ROW(CU773),IF(CU774&lt;&gt;0,ROW(CU774),IF(CU775&lt;&gt;0,ROW(CU775),IF(CU776&lt;&gt;0,ROW(CU776),IF(CU777&lt;&gt;0,ROW(CU777),IF(CU778&lt;&gt;0,ROW(CU778),IF(CU779&lt;&gt;0,ROW(CU779),IF(CU780&lt;&gt;0,ROW(CU780)))))))))))</f>
        <v>0</v>
      </c>
      <c r="CU782" s="882" t="e">
        <f ca="1">IF(ISERROR(XIRR(INDIRECT(CT784):CU781,INDIRECT(CT783):CT781,-20%)),XIRR(INDIRECT(CT784):CU781,INDIRECT(CT783):CT781,20%),"N/A")</f>
        <v>#REF!</v>
      </c>
      <c r="DC782" s="664"/>
      <c r="DF782" s="898" t="b">
        <f>IF(DG771&lt;&gt;0,ROW(DG771),IF(DG772&lt;&gt;0,ROW(DG772),IF(DG773&lt;&gt;0,ROW(DG773),IF(DG774&lt;&gt;0,ROW(DG774),IF(DG775&lt;&gt;0,ROW(DG775),IF(DG776&lt;&gt;0,ROW(DG776),IF(DG777&lt;&gt;0,ROW(DG777),IF(DG778&lt;&gt;0,ROW(DG778),IF(DG779&lt;&gt;0,ROW(DG779),IF(DG780&lt;&gt;0,ROW(DG780)))))))))))</f>
        <v>0</v>
      </c>
      <c r="DG782" s="882" t="e">
        <f ca="1">IF(ISERROR(XIRR(INDIRECT(DF784):DG781,INDIRECT(DF783):DF781,-20%)),XIRR(INDIRECT(DF784):DG781,INDIRECT(DF783):DF781,20%),"N/A")</f>
        <v>#REF!</v>
      </c>
      <c r="DO782" s="664"/>
    </row>
    <row r="783" spans="2:119" hidden="1" x14ac:dyDescent="0.25">
      <c r="B783" s="899" t="str">
        <f>CONCATENATE(CHAR(64+COLUMN(B782)),B782)</f>
        <v>BFALSE</v>
      </c>
      <c r="C783" s="897"/>
      <c r="K783" s="664"/>
      <c r="N783" s="899" t="str">
        <f>CONCATENATE(CHAR(64+COLUMN(N782)),N782)</f>
        <v>NFALSE</v>
      </c>
      <c r="O783" s="897"/>
      <c r="U783" s="663"/>
      <c r="W783" s="664"/>
      <c r="Z783" s="899" t="str">
        <f>CONCATENATE(IF(COLUMN(Z782)&lt;=26,CHAR(96+COLUMN(Z782)),(CHAR(96+(ROUNDDOWN((COLUMN(Z782)-1)/26,0)))&amp;CHAR(96+IF(MOD(COLUMN(Z782),26)=0,26,MOD(COLUMN(Z782),26))))),Z782)</f>
        <v>zFALSE</v>
      </c>
      <c r="AA783" s="897"/>
      <c r="AB783" s="663"/>
      <c r="AC783" s="663"/>
      <c r="AD783" s="663"/>
      <c r="AE783" s="663"/>
      <c r="AF783" s="663"/>
      <c r="AG783" s="663"/>
      <c r="AH783" s="663"/>
      <c r="AI783" s="664"/>
      <c r="AL783" s="899" t="str">
        <f>CONCATENATE(IF(COLUMN(AL782)&lt;=26,CHAR(96+COLUMN(AL782)),(CHAR(96+(ROUNDDOWN((COLUMN(AL782)-1)/26,0)))&amp;CHAR(96+IF(MOD(COLUMN(AL782),26)=0,26,MOD(COLUMN(AL782),26))))),AL782)</f>
        <v>alFALSE</v>
      </c>
      <c r="AM783" s="897"/>
      <c r="AN783" s="663"/>
      <c r="AU783" s="664"/>
      <c r="AX783" s="899" t="str">
        <f>CONCATENATE(IF(COLUMN(AX782)&lt;=26,CHAR(96+COLUMN(AX782)),(CHAR(96+(ROUNDDOWN((COLUMN(AX782)-1)/26,0)))&amp;CHAR(96+IF(MOD(COLUMN(AX782),26)=0,26,MOD(COLUMN(AX782),26))))),AX782)</f>
        <v>axFALSE</v>
      </c>
      <c r="AY783" s="897"/>
      <c r="BG783" s="664"/>
      <c r="BJ783" s="899" t="str">
        <f>CONCATENATE(IF(COLUMN(BJ782)&lt;=26,CHAR(96+COLUMN(BJ782)),(CHAR(96+(ROUNDDOWN((COLUMN(BJ782)-1)/26,0)))&amp;CHAR(96+IF(MOD(COLUMN(BJ782),26)=0,26,MOD(COLUMN(BJ782),26))))),BJ782)</f>
        <v>bjFALSE</v>
      </c>
      <c r="BK783" s="897"/>
      <c r="BS783" s="664"/>
      <c r="BV783" s="899" t="str">
        <f>CONCATENATE(IF(COLUMN(BV782)&lt;=26,CHAR(96+COLUMN(BV782)),(CHAR(96+(ROUNDDOWN((COLUMN(BV782)-1)/26,0)))&amp;CHAR(96+IF(MOD(COLUMN(BV782),26)=0,26,MOD(COLUMN(BV782),26))))),BV782)</f>
        <v>bvFALSE</v>
      </c>
      <c r="BW783" s="897"/>
      <c r="CE783" s="664"/>
      <c r="CH783" s="899" t="str">
        <f>CONCATENATE(IF(COLUMN(CH782)&lt;=26,CHAR(96+COLUMN(CH782)),(CHAR(96+(ROUNDDOWN((COLUMN(CH782)-1)/26,0)))&amp;CHAR(96+IF(MOD(COLUMN(CH782),26)=0,26,MOD(COLUMN(CH782),26))))),CH782)</f>
        <v>chFALSE</v>
      </c>
      <c r="CI783" s="897"/>
      <c r="CQ783" s="664"/>
      <c r="CT783" s="899" t="str">
        <f>CONCATENATE(IF(COLUMN(CT782)&lt;=26,CHAR(96+COLUMN(CT782)),(CHAR(96+(ROUNDDOWN((COLUMN(CT782)-1)/26,0)))&amp;CHAR(96+IF(MOD(COLUMN(CT782),26)=0,26,MOD(COLUMN(CT782),26))))),CT782)</f>
        <v>ctFALSE</v>
      </c>
      <c r="CU783" s="897"/>
      <c r="DC783" s="664"/>
      <c r="DF783" s="899" t="str">
        <f>CONCATENATE(IF(COLUMN(DF782)&lt;=26,CHAR(96+COLUMN(DF782)),(CHAR(96+(ROUNDDOWN((COLUMN(DF782)-1)/26,0)))&amp;CHAR(96+IF(MOD(COLUMN(DF782),26)=0,26,MOD(COLUMN(DF782),26))))),DF782)</f>
        <v>dfFALSE</v>
      </c>
      <c r="DG783" s="897"/>
      <c r="DO783" s="664"/>
    </row>
    <row r="784" spans="2:119" hidden="1" x14ac:dyDescent="0.25">
      <c r="B784" s="899" t="str">
        <f>CONCATENATE(CHAR(64+COLUMN(C782)),B782)</f>
        <v>CFALSE</v>
      </c>
      <c r="C784" s="897"/>
      <c r="K784" s="664"/>
      <c r="N784" s="899" t="str">
        <f>CONCATENATE(CHAR(64+COLUMN(O782)),N782)</f>
        <v>OFALSE</v>
      </c>
      <c r="O784" s="897"/>
      <c r="U784" s="663"/>
      <c r="W784" s="664"/>
      <c r="Z784" s="899" t="str">
        <f>CONCATENATE(IF(COLUMN(AA782)&lt;=26,CHAR(96+COLUMN(AA782)),(CHAR(96+(ROUNDDOWN((COLUMN(AA782)-1)/26,0)))&amp;CHAR(96+IF(MOD(COLUMN(AA782),26)=0,26,MOD(COLUMN(AA782),26))))),Z782)</f>
        <v>aaFALSE</v>
      </c>
      <c r="AA784" s="897"/>
      <c r="AB784" s="663"/>
      <c r="AC784" s="663"/>
      <c r="AD784" s="663"/>
      <c r="AE784" s="663"/>
      <c r="AF784" s="663"/>
      <c r="AG784" s="663"/>
      <c r="AH784" s="663"/>
      <c r="AI784" s="664"/>
      <c r="AL784" s="899" t="str">
        <f>CONCATENATE(IF(COLUMN(AM782)&lt;=26,CHAR(96+COLUMN(AM782)),(CHAR(96+(ROUNDDOWN((COLUMN(AM782)-1)/26,0)))&amp;CHAR(96+IF(MOD(COLUMN(AM782),26)=0,26,MOD(COLUMN(AM782),26))))),AL782)</f>
        <v>amFALSE</v>
      </c>
      <c r="AM784" s="897"/>
      <c r="AN784" s="663"/>
      <c r="AU784" s="664"/>
      <c r="AX784" s="899" t="str">
        <f>CONCATENATE(IF(COLUMN(AY782)&lt;=26,CHAR(96+COLUMN(AY782)),(CHAR(96+(ROUNDDOWN((COLUMN(AY782)-1)/26,0)))&amp;CHAR(96+IF(MOD(COLUMN(AY782),26)=0,26,MOD(COLUMN(AY782),26))))),AX782)</f>
        <v>ayFALSE</v>
      </c>
      <c r="AY784" s="897"/>
      <c r="BG784" s="664"/>
      <c r="BJ784" s="899" t="str">
        <f>CONCATENATE(IF(COLUMN(BK782)&lt;=26,CHAR(96+COLUMN(BK782)),(CHAR(96+(ROUNDDOWN((COLUMN(BK782)-1)/26,0)))&amp;CHAR(96+IF(MOD(COLUMN(BK782),26)=0,26,MOD(COLUMN(BK782),26))))),BJ782)</f>
        <v>bkFALSE</v>
      </c>
      <c r="BK784" s="897"/>
      <c r="BS784" s="664"/>
      <c r="BV784" s="899" t="str">
        <f>CONCATENATE(IF(COLUMN(BW782)&lt;=26,CHAR(96+COLUMN(BW782)),(CHAR(96+(ROUNDDOWN((COLUMN(BW782)-1)/26,0)))&amp;CHAR(96+IF(MOD(COLUMN(BW782),26)=0,26,MOD(COLUMN(BW782),26))))),BV782)</f>
        <v>bwFALSE</v>
      </c>
      <c r="BW784" s="897"/>
      <c r="CE784" s="664"/>
      <c r="CH784" s="899" t="str">
        <f>CONCATENATE(IF(COLUMN(CI782)&lt;=26,CHAR(96+COLUMN(CI782)),(CHAR(96+(ROUNDDOWN((COLUMN(CI782)-1)/26,0)))&amp;CHAR(96+IF(MOD(COLUMN(CI782),26)=0,26,MOD(COLUMN(CI782),26))))),CH782)</f>
        <v>ciFALSE</v>
      </c>
      <c r="CI784" s="897"/>
      <c r="CQ784" s="664"/>
      <c r="CT784" s="899" t="str">
        <f>CONCATENATE(IF(COLUMN(CU782)&lt;=26,CHAR(96+COLUMN(CU782)),(CHAR(96+(ROUNDDOWN((COLUMN(CU782)-1)/26,0)))&amp;CHAR(96+IF(MOD(COLUMN(CU782),26)=0,26,MOD(COLUMN(CU782),26))))),CT782)</f>
        <v>cuFALSE</v>
      </c>
      <c r="CU784" s="897"/>
      <c r="DC784" s="664"/>
      <c r="DF784" s="899" t="str">
        <f>CONCATENATE(IF(COLUMN(DG782)&lt;=26,CHAR(96+COLUMN(DG782)),(CHAR(96+(ROUNDDOWN((COLUMN(DG782)-1)/26,0)))&amp;CHAR(96+IF(MOD(COLUMN(DG782),26)=0,26,MOD(COLUMN(DG782),26))))),DF782)</f>
        <v>dgFALSE</v>
      </c>
      <c r="DG784" s="897"/>
      <c r="DO784" s="664"/>
    </row>
    <row r="785" spans="2:119" hidden="1" x14ac:dyDescent="0.25">
      <c r="B785" s="896"/>
      <c r="C785" s="897"/>
      <c r="K785" s="664"/>
      <c r="N785" s="896"/>
      <c r="O785" s="897"/>
      <c r="U785" s="663"/>
      <c r="W785" s="664"/>
      <c r="Z785" s="896"/>
      <c r="AA785" s="897"/>
      <c r="AB785" s="663"/>
      <c r="AC785" s="663"/>
      <c r="AD785" s="663"/>
      <c r="AE785" s="663"/>
      <c r="AF785" s="663"/>
      <c r="AG785" s="663"/>
      <c r="AH785" s="663"/>
      <c r="AI785" s="664"/>
      <c r="AL785" s="896"/>
      <c r="AM785" s="897"/>
      <c r="AN785" s="663"/>
      <c r="AU785" s="664"/>
      <c r="AX785" s="896"/>
      <c r="AY785" s="897"/>
      <c r="BG785" s="664"/>
      <c r="BJ785" s="896"/>
      <c r="BK785" s="897"/>
      <c r="BS785" s="664"/>
      <c r="BV785" s="896"/>
      <c r="BW785" s="897"/>
      <c r="CE785" s="664"/>
      <c r="CH785" s="896"/>
      <c r="CI785" s="897"/>
      <c r="CQ785" s="664"/>
      <c r="CT785" s="896"/>
      <c r="CU785" s="897"/>
      <c r="DC785" s="664"/>
      <c r="DF785" s="896"/>
      <c r="DG785" s="897"/>
      <c r="DO785" s="664"/>
    </row>
    <row r="786" spans="2:119" hidden="1" x14ac:dyDescent="0.25">
      <c r="B786" s="896">
        <f>B771</f>
        <v>39113</v>
      </c>
      <c r="C786" s="897">
        <f>C771</f>
        <v>0</v>
      </c>
      <c r="K786" s="664"/>
      <c r="N786" s="896">
        <f>N771</f>
        <v>39113</v>
      </c>
      <c r="O786" s="897">
        <f>O771</f>
        <v>0</v>
      </c>
      <c r="U786" s="663"/>
      <c r="W786" s="664"/>
      <c r="Z786" s="896">
        <f>Z771</f>
        <v>39113</v>
      </c>
      <c r="AA786" s="897">
        <f>AA771</f>
        <v>0</v>
      </c>
      <c r="AB786" s="663"/>
      <c r="AC786" s="663"/>
      <c r="AD786" s="663"/>
      <c r="AE786" s="663"/>
      <c r="AF786" s="663"/>
      <c r="AG786" s="663"/>
      <c r="AH786" s="663"/>
      <c r="AI786" s="664"/>
      <c r="AL786" s="896">
        <f>AL771</f>
        <v>39113</v>
      </c>
      <c r="AM786" s="897">
        <f>AM771</f>
        <v>0</v>
      </c>
      <c r="AN786" s="663"/>
      <c r="AU786" s="664"/>
      <c r="AX786" s="896">
        <f>AX771</f>
        <v>39113</v>
      </c>
      <c r="AY786" s="897">
        <f>AY771</f>
        <v>0</v>
      </c>
      <c r="BG786" s="664"/>
      <c r="BJ786" s="896">
        <f>BJ771</f>
        <v>39113</v>
      </c>
      <c r="BK786" s="897">
        <f>BK771</f>
        <v>0</v>
      </c>
      <c r="BS786" s="664"/>
      <c r="BV786" s="896">
        <f>BV771</f>
        <v>39113</v>
      </c>
      <c r="BW786" s="897">
        <f>BW771</f>
        <v>0</v>
      </c>
      <c r="CE786" s="664"/>
      <c r="CH786" s="896">
        <f>CH771</f>
        <v>39113</v>
      </c>
      <c r="CI786" s="897">
        <f>CI771</f>
        <v>0</v>
      </c>
      <c r="CQ786" s="664"/>
      <c r="CT786" s="896">
        <f>CT771</f>
        <v>39113</v>
      </c>
      <c r="CU786" s="897">
        <f>CU771</f>
        <v>0</v>
      </c>
      <c r="DC786" s="664"/>
      <c r="DF786" s="896">
        <f>DF771</f>
        <v>39113</v>
      </c>
      <c r="DG786" s="897">
        <f>DG771</f>
        <v>0</v>
      </c>
      <c r="DO786" s="664"/>
    </row>
    <row r="787" spans="2:119" hidden="1" x14ac:dyDescent="0.25">
      <c r="B787" s="896">
        <f t="shared" ref="B787:C787" si="2411">B772</f>
        <v>39478</v>
      </c>
      <c r="C787" s="897">
        <f t="shared" si="2411"/>
        <v>0</v>
      </c>
      <c r="K787" s="664"/>
      <c r="N787" s="896">
        <f t="shared" ref="N787:O787" si="2412">N772</f>
        <v>39478</v>
      </c>
      <c r="O787" s="897">
        <f t="shared" si="2412"/>
        <v>0</v>
      </c>
      <c r="U787" s="663"/>
      <c r="W787" s="664"/>
      <c r="Z787" s="896">
        <f t="shared" ref="Z787:AA787" si="2413">Z772</f>
        <v>39478</v>
      </c>
      <c r="AA787" s="897">
        <f t="shared" si="2413"/>
        <v>0</v>
      </c>
      <c r="AB787" s="663"/>
      <c r="AC787" s="663"/>
      <c r="AD787" s="663"/>
      <c r="AE787" s="663"/>
      <c r="AF787" s="663"/>
      <c r="AG787" s="663"/>
      <c r="AH787" s="663"/>
      <c r="AI787" s="664"/>
      <c r="AL787" s="896">
        <f t="shared" ref="AL787:AM787" si="2414">AL772</f>
        <v>39478</v>
      </c>
      <c r="AM787" s="897">
        <f t="shared" si="2414"/>
        <v>0</v>
      </c>
      <c r="AN787" s="663"/>
      <c r="AU787" s="664"/>
      <c r="AX787" s="896">
        <f t="shared" ref="AX787:AY787" si="2415">AX772</f>
        <v>39478</v>
      </c>
      <c r="AY787" s="897">
        <f t="shared" si="2415"/>
        <v>0</v>
      </c>
      <c r="BG787" s="664"/>
      <c r="BJ787" s="896">
        <f t="shared" ref="BJ787:BK787" si="2416">BJ772</f>
        <v>39478</v>
      </c>
      <c r="BK787" s="897">
        <f t="shared" si="2416"/>
        <v>0</v>
      </c>
      <c r="BS787" s="664"/>
      <c r="BV787" s="896">
        <f t="shared" ref="BV787:BW787" si="2417">BV772</f>
        <v>39478</v>
      </c>
      <c r="BW787" s="897">
        <f t="shared" si="2417"/>
        <v>0</v>
      </c>
      <c r="CE787" s="664"/>
      <c r="CH787" s="896">
        <f t="shared" ref="CH787:CI787" si="2418">CH772</f>
        <v>39478</v>
      </c>
      <c r="CI787" s="897">
        <f t="shared" si="2418"/>
        <v>0</v>
      </c>
      <c r="CQ787" s="664"/>
      <c r="CT787" s="896">
        <f t="shared" ref="CT787:CU787" si="2419">CT772</f>
        <v>39478</v>
      </c>
      <c r="CU787" s="897">
        <f t="shared" si="2419"/>
        <v>0</v>
      </c>
      <c r="DC787" s="664"/>
      <c r="DF787" s="896">
        <f t="shared" ref="DF787:DG787" si="2420">DF772</f>
        <v>39478</v>
      </c>
      <c r="DG787" s="897">
        <f t="shared" si="2420"/>
        <v>0</v>
      </c>
      <c r="DO787" s="664"/>
    </row>
    <row r="788" spans="2:119" hidden="1" x14ac:dyDescent="0.25">
      <c r="B788" s="896">
        <f t="shared" ref="B788:C788" si="2421">B773</f>
        <v>39843</v>
      </c>
      <c r="C788" s="897">
        <f t="shared" si="2421"/>
        <v>0</v>
      </c>
      <c r="K788" s="664"/>
      <c r="N788" s="896">
        <f t="shared" ref="N788:O788" si="2422">N773</f>
        <v>39843</v>
      </c>
      <c r="O788" s="897">
        <f t="shared" si="2422"/>
        <v>0</v>
      </c>
      <c r="U788" s="663"/>
      <c r="W788" s="664"/>
      <c r="Z788" s="896">
        <f t="shared" ref="Z788:AA788" si="2423">Z773</f>
        <v>39843</v>
      </c>
      <c r="AA788" s="897">
        <f t="shared" si="2423"/>
        <v>0</v>
      </c>
      <c r="AB788" s="663"/>
      <c r="AC788" s="663"/>
      <c r="AD788" s="663"/>
      <c r="AE788" s="663"/>
      <c r="AF788" s="663"/>
      <c r="AG788" s="663"/>
      <c r="AH788" s="663"/>
      <c r="AI788" s="664"/>
      <c r="AL788" s="896">
        <f t="shared" ref="AL788:AM788" si="2424">AL773</f>
        <v>39843</v>
      </c>
      <c r="AM788" s="897">
        <f t="shared" si="2424"/>
        <v>0</v>
      </c>
      <c r="AN788" s="663"/>
      <c r="AU788" s="664"/>
      <c r="AX788" s="896">
        <f t="shared" ref="AX788:AY788" si="2425">AX773</f>
        <v>39843</v>
      </c>
      <c r="AY788" s="897">
        <f t="shared" si="2425"/>
        <v>0</v>
      </c>
      <c r="BG788" s="664"/>
      <c r="BJ788" s="896">
        <f t="shared" ref="BJ788:BK788" si="2426">BJ773</f>
        <v>39843</v>
      </c>
      <c r="BK788" s="897">
        <f t="shared" si="2426"/>
        <v>0</v>
      </c>
      <c r="BS788" s="664"/>
      <c r="BV788" s="896">
        <f t="shared" ref="BV788:BW788" si="2427">BV773</f>
        <v>39843</v>
      </c>
      <c r="BW788" s="897">
        <f t="shared" si="2427"/>
        <v>0</v>
      </c>
      <c r="CE788" s="664"/>
      <c r="CH788" s="896">
        <f t="shared" ref="CH788:CI788" si="2428">CH773</f>
        <v>39843</v>
      </c>
      <c r="CI788" s="897">
        <f t="shared" si="2428"/>
        <v>0</v>
      </c>
      <c r="CQ788" s="664"/>
      <c r="CT788" s="896">
        <f t="shared" ref="CT788:CU788" si="2429">CT773</f>
        <v>39843</v>
      </c>
      <c r="CU788" s="897">
        <f t="shared" si="2429"/>
        <v>0</v>
      </c>
      <c r="DC788" s="664"/>
      <c r="DF788" s="896">
        <f t="shared" ref="DF788:DG788" si="2430">DF773</f>
        <v>39843</v>
      </c>
      <c r="DG788" s="897">
        <f t="shared" si="2430"/>
        <v>0</v>
      </c>
      <c r="DO788" s="664"/>
    </row>
    <row r="789" spans="2:119" hidden="1" x14ac:dyDescent="0.25">
      <c r="B789" s="896">
        <f t="shared" ref="B789:C789" si="2431">B774</f>
        <v>39843</v>
      </c>
      <c r="C789" s="897">
        <f t="shared" si="2431"/>
        <v>0</v>
      </c>
      <c r="K789" s="664"/>
      <c r="N789" s="896">
        <f t="shared" ref="N789:O789" si="2432">N774</f>
        <v>39843</v>
      </c>
      <c r="O789" s="897">
        <f t="shared" si="2432"/>
        <v>0</v>
      </c>
      <c r="U789" s="663"/>
      <c r="W789" s="664"/>
      <c r="Z789" s="896">
        <f t="shared" ref="Z789:AA789" si="2433">Z774</f>
        <v>39843</v>
      </c>
      <c r="AA789" s="897">
        <f t="shared" si="2433"/>
        <v>0</v>
      </c>
      <c r="AB789" s="663"/>
      <c r="AC789" s="663"/>
      <c r="AD789" s="663"/>
      <c r="AE789" s="663"/>
      <c r="AF789" s="663"/>
      <c r="AG789" s="663"/>
      <c r="AH789" s="663"/>
      <c r="AI789" s="664"/>
      <c r="AL789" s="896">
        <f t="shared" ref="AL789:AM789" si="2434">AL774</f>
        <v>39843</v>
      </c>
      <c r="AM789" s="897">
        <f t="shared" si="2434"/>
        <v>0</v>
      </c>
      <c r="AN789" s="663"/>
      <c r="AU789" s="664"/>
      <c r="AX789" s="896">
        <f t="shared" ref="AX789:AY789" si="2435">AX774</f>
        <v>39843</v>
      </c>
      <c r="AY789" s="897">
        <f t="shared" si="2435"/>
        <v>0</v>
      </c>
      <c r="BG789" s="664"/>
      <c r="BJ789" s="896">
        <f t="shared" ref="BJ789:BK789" si="2436">BJ774</f>
        <v>39843</v>
      </c>
      <c r="BK789" s="897">
        <f t="shared" si="2436"/>
        <v>0</v>
      </c>
      <c r="BS789" s="664"/>
      <c r="BV789" s="896">
        <f t="shared" ref="BV789:BW789" si="2437">BV774</f>
        <v>39843</v>
      </c>
      <c r="BW789" s="897">
        <f t="shared" si="2437"/>
        <v>0</v>
      </c>
      <c r="CE789" s="664"/>
      <c r="CH789" s="896">
        <f t="shared" ref="CH789:CI789" si="2438">CH774</f>
        <v>39843</v>
      </c>
      <c r="CI789" s="897">
        <f t="shared" si="2438"/>
        <v>0</v>
      </c>
      <c r="CQ789" s="664"/>
      <c r="CT789" s="896">
        <f t="shared" ref="CT789:CU789" si="2439">CT774</f>
        <v>39843</v>
      </c>
      <c r="CU789" s="897">
        <f t="shared" si="2439"/>
        <v>0</v>
      </c>
      <c r="DC789" s="664"/>
      <c r="DF789" s="896">
        <f t="shared" ref="DF789:DG789" si="2440">DF774</f>
        <v>39843</v>
      </c>
      <c r="DG789" s="897">
        <f t="shared" si="2440"/>
        <v>0</v>
      </c>
      <c r="DO789" s="664"/>
    </row>
    <row r="790" spans="2:119" hidden="1" x14ac:dyDescent="0.25">
      <c r="B790" s="896">
        <f t="shared" ref="B790:C790" si="2441">B775</f>
        <v>39843</v>
      </c>
      <c r="C790" s="897">
        <f t="shared" si="2441"/>
        <v>0</v>
      </c>
      <c r="K790" s="664"/>
      <c r="N790" s="896">
        <f t="shared" ref="N790:O790" si="2442">N775</f>
        <v>39843</v>
      </c>
      <c r="O790" s="897">
        <f t="shared" si="2442"/>
        <v>0</v>
      </c>
      <c r="U790" s="663"/>
      <c r="W790" s="664"/>
      <c r="Z790" s="896">
        <f t="shared" ref="Z790:AA790" si="2443">Z775</f>
        <v>39843</v>
      </c>
      <c r="AA790" s="897">
        <f t="shared" si="2443"/>
        <v>0</v>
      </c>
      <c r="AB790" s="663"/>
      <c r="AC790" s="663"/>
      <c r="AD790" s="663"/>
      <c r="AE790" s="663"/>
      <c r="AF790" s="663"/>
      <c r="AG790" s="663"/>
      <c r="AH790" s="663"/>
      <c r="AI790" s="664"/>
      <c r="AL790" s="896">
        <f t="shared" ref="AL790:AM790" si="2444">AL775</f>
        <v>39843</v>
      </c>
      <c r="AM790" s="897">
        <f t="shared" si="2444"/>
        <v>0</v>
      </c>
      <c r="AN790" s="663"/>
      <c r="AU790" s="664"/>
      <c r="AX790" s="896">
        <f t="shared" ref="AX790:AY790" si="2445">AX775</f>
        <v>39843</v>
      </c>
      <c r="AY790" s="897">
        <f t="shared" si="2445"/>
        <v>0</v>
      </c>
      <c r="BG790" s="664"/>
      <c r="BJ790" s="896">
        <f t="shared" ref="BJ790:BK790" si="2446">BJ775</f>
        <v>39843</v>
      </c>
      <c r="BK790" s="897">
        <f t="shared" si="2446"/>
        <v>0</v>
      </c>
      <c r="BS790" s="664"/>
      <c r="BV790" s="896">
        <f t="shared" ref="BV790:BW790" si="2447">BV775</f>
        <v>39843</v>
      </c>
      <c r="BW790" s="897">
        <f t="shared" si="2447"/>
        <v>0</v>
      </c>
      <c r="CE790" s="664"/>
      <c r="CH790" s="896">
        <f t="shared" ref="CH790:CI790" si="2448">CH775</f>
        <v>39843</v>
      </c>
      <c r="CI790" s="897">
        <f t="shared" si="2448"/>
        <v>0</v>
      </c>
      <c r="CQ790" s="664"/>
      <c r="CT790" s="896">
        <f t="shared" ref="CT790:CU790" si="2449">CT775</f>
        <v>39843</v>
      </c>
      <c r="CU790" s="897">
        <f t="shared" si="2449"/>
        <v>0</v>
      </c>
      <c r="DC790" s="664"/>
      <c r="DF790" s="896">
        <f t="shared" ref="DF790:DG790" si="2450">DF775</f>
        <v>39843</v>
      </c>
      <c r="DG790" s="897">
        <f t="shared" si="2450"/>
        <v>0</v>
      </c>
      <c r="DO790" s="664"/>
    </row>
    <row r="791" spans="2:119" hidden="1" x14ac:dyDescent="0.25">
      <c r="B791" s="896">
        <f t="shared" ref="B791:C791" si="2451">B776</f>
        <v>39843</v>
      </c>
      <c r="C791" s="897">
        <f t="shared" si="2451"/>
        <v>0</v>
      </c>
      <c r="K791" s="664"/>
      <c r="N791" s="896">
        <f t="shared" ref="N791:O791" si="2452">N776</f>
        <v>39843</v>
      </c>
      <c r="O791" s="897">
        <f t="shared" si="2452"/>
        <v>0</v>
      </c>
      <c r="U791" s="663"/>
      <c r="W791" s="664"/>
      <c r="Z791" s="896">
        <f t="shared" ref="Z791:AA791" si="2453">Z776</f>
        <v>39843</v>
      </c>
      <c r="AA791" s="897">
        <f t="shared" si="2453"/>
        <v>0</v>
      </c>
      <c r="AB791" s="663"/>
      <c r="AC791" s="663"/>
      <c r="AD791" s="663"/>
      <c r="AE791" s="663"/>
      <c r="AF791" s="663"/>
      <c r="AG791" s="663"/>
      <c r="AH791" s="663"/>
      <c r="AI791" s="664"/>
      <c r="AL791" s="896">
        <f t="shared" ref="AL791:AM791" si="2454">AL776</f>
        <v>39843</v>
      </c>
      <c r="AM791" s="897">
        <f t="shared" si="2454"/>
        <v>0</v>
      </c>
      <c r="AN791" s="663"/>
      <c r="AU791" s="664"/>
      <c r="AX791" s="896">
        <f t="shared" ref="AX791:AY791" si="2455">AX776</f>
        <v>39843</v>
      </c>
      <c r="AY791" s="897">
        <f t="shared" si="2455"/>
        <v>0</v>
      </c>
      <c r="BG791" s="664"/>
      <c r="BJ791" s="896">
        <f t="shared" ref="BJ791:BK791" si="2456">BJ776</f>
        <v>39843</v>
      </c>
      <c r="BK791" s="897">
        <f t="shared" si="2456"/>
        <v>0</v>
      </c>
      <c r="BS791" s="664"/>
      <c r="BV791" s="896">
        <f t="shared" ref="BV791:BW791" si="2457">BV776</f>
        <v>39843</v>
      </c>
      <c r="BW791" s="897">
        <f t="shared" si="2457"/>
        <v>0</v>
      </c>
      <c r="CE791" s="664"/>
      <c r="CH791" s="896">
        <f t="shared" ref="CH791:CI791" si="2458">CH776</f>
        <v>39843</v>
      </c>
      <c r="CI791" s="897">
        <f t="shared" si="2458"/>
        <v>0</v>
      </c>
      <c r="CQ791" s="664"/>
      <c r="CT791" s="896">
        <f t="shared" ref="CT791:CU791" si="2459">CT776</f>
        <v>39843</v>
      </c>
      <c r="CU791" s="897">
        <f t="shared" si="2459"/>
        <v>0</v>
      </c>
      <c r="DC791" s="664"/>
      <c r="DF791" s="896">
        <f t="shared" ref="DF791:DG791" si="2460">DF776</f>
        <v>39843</v>
      </c>
      <c r="DG791" s="897">
        <f t="shared" si="2460"/>
        <v>0</v>
      </c>
      <c r="DO791" s="664"/>
    </row>
    <row r="792" spans="2:119" hidden="1" x14ac:dyDescent="0.25">
      <c r="B792" s="896">
        <f t="shared" ref="B792:C792" si="2461">B777</f>
        <v>39843</v>
      </c>
      <c r="C792" s="897">
        <f t="shared" si="2461"/>
        <v>0</v>
      </c>
      <c r="K792" s="664"/>
      <c r="N792" s="896">
        <f t="shared" ref="N792:O792" si="2462">N777</f>
        <v>39843</v>
      </c>
      <c r="O792" s="897">
        <f t="shared" si="2462"/>
        <v>0</v>
      </c>
      <c r="U792" s="663"/>
      <c r="W792" s="664"/>
      <c r="Z792" s="896">
        <f t="shared" ref="Z792:AA792" si="2463">Z777</f>
        <v>39843</v>
      </c>
      <c r="AA792" s="897">
        <f t="shared" si="2463"/>
        <v>0</v>
      </c>
      <c r="AB792" s="663"/>
      <c r="AC792" s="663"/>
      <c r="AD792" s="663"/>
      <c r="AE792" s="663"/>
      <c r="AF792" s="663"/>
      <c r="AG792" s="663"/>
      <c r="AH792" s="663"/>
      <c r="AI792" s="664"/>
      <c r="AL792" s="896">
        <f t="shared" ref="AL792:AM792" si="2464">AL777</f>
        <v>39843</v>
      </c>
      <c r="AM792" s="897">
        <f t="shared" si="2464"/>
        <v>0</v>
      </c>
      <c r="AN792" s="663"/>
      <c r="AU792" s="664"/>
      <c r="AX792" s="896">
        <f t="shared" ref="AX792:AY792" si="2465">AX777</f>
        <v>39843</v>
      </c>
      <c r="AY792" s="897">
        <f t="shared" si="2465"/>
        <v>0</v>
      </c>
      <c r="BG792" s="664"/>
      <c r="BJ792" s="896">
        <f t="shared" ref="BJ792:BK792" si="2466">BJ777</f>
        <v>39843</v>
      </c>
      <c r="BK792" s="897">
        <f t="shared" si="2466"/>
        <v>0</v>
      </c>
      <c r="BS792" s="664"/>
      <c r="BV792" s="896">
        <f t="shared" ref="BV792:BW792" si="2467">BV777</f>
        <v>39843</v>
      </c>
      <c r="BW792" s="897">
        <f t="shared" si="2467"/>
        <v>0</v>
      </c>
      <c r="CE792" s="664"/>
      <c r="CH792" s="896">
        <f t="shared" ref="CH792:CI792" si="2468">CH777</f>
        <v>39843</v>
      </c>
      <c r="CI792" s="897">
        <f t="shared" si="2468"/>
        <v>0</v>
      </c>
      <c r="CQ792" s="664"/>
      <c r="CT792" s="896">
        <f t="shared" ref="CT792:CU792" si="2469">CT777</f>
        <v>39843</v>
      </c>
      <c r="CU792" s="897">
        <f t="shared" si="2469"/>
        <v>0</v>
      </c>
      <c r="DC792" s="664"/>
      <c r="DF792" s="896">
        <f t="shared" ref="DF792:DG792" si="2470">DF777</f>
        <v>39843</v>
      </c>
      <c r="DG792" s="897">
        <f t="shared" si="2470"/>
        <v>0</v>
      </c>
      <c r="DO792" s="664"/>
    </row>
    <row r="793" spans="2:119" hidden="1" x14ac:dyDescent="0.25">
      <c r="B793" s="896">
        <f t="shared" ref="B793:C793" si="2471">B778</f>
        <v>39843</v>
      </c>
      <c r="C793" s="897">
        <f t="shared" si="2471"/>
        <v>0</v>
      </c>
      <c r="K793" s="664"/>
      <c r="N793" s="896">
        <f t="shared" ref="N793:O793" si="2472">N778</f>
        <v>39843</v>
      </c>
      <c r="O793" s="897">
        <f t="shared" si="2472"/>
        <v>0</v>
      </c>
      <c r="U793" s="663"/>
      <c r="W793" s="664"/>
      <c r="Z793" s="896">
        <f t="shared" ref="Z793:AA793" si="2473">Z778</f>
        <v>39843</v>
      </c>
      <c r="AA793" s="897">
        <f t="shared" si="2473"/>
        <v>0</v>
      </c>
      <c r="AB793" s="663"/>
      <c r="AC793" s="663"/>
      <c r="AD793" s="663"/>
      <c r="AE793" s="663"/>
      <c r="AF793" s="663"/>
      <c r="AG793" s="663"/>
      <c r="AH793" s="663"/>
      <c r="AI793" s="664"/>
      <c r="AL793" s="896">
        <f t="shared" ref="AL793:AM793" si="2474">AL778</f>
        <v>39843</v>
      </c>
      <c r="AM793" s="897">
        <f t="shared" si="2474"/>
        <v>0</v>
      </c>
      <c r="AN793" s="663"/>
      <c r="AU793" s="664"/>
      <c r="AX793" s="896">
        <f t="shared" ref="AX793:AY793" si="2475">AX778</f>
        <v>39843</v>
      </c>
      <c r="AY793" s="897">
        <f t="shared" si="2475"/>
        <v>0</v>
      </c>
      <c r="BG793" s="664"/>
      <c r="BJ793" s="896">
        <f t="shared" ref="BJ793:BK793" si="2476">BJ778</f>
        <v>39843</v>
      </c>
      <c r="BK793" s="897">
        <f t="shared" si="2476"/>
        <v>0</v>
      </c>
      <c r="BS793" s="664"/>
      <c r="BV793" s="896">
        <f t="shared" ref="BV793:BW793" si="2477">BV778</f>
        <v>39843</v>
      </c>
      <c r="BW793" s="897">
        <f t="shared" si="2477"/>
        <v>0</v>
      </c>
      <c r="CE793" s="664"/>
      <c r="CH793" s="896">
        <f t="shared" ref="CH793:CI793" si="2478">CH778</f>
        <v>39843</v>
      </c>
      <c r="CI793" s="897">
        <f t="shared" si="2478"/>
        <v>0</v>
      </c>
      <c r="CQ793" s="664"/>
      <c r="CT793" s="896">
        <f t="shared" ref="CT793:CU793" si="2479">CT778</f>
        <v>39843</v>
      </c>
      <c r="CU793" s="897">
        <f t="shared" si="2479"/>
        <v>0</v>
      </c>
      <c r="DC793" s="664"/>
      <c r="DF793" s="896">
        <f t="shared" ref="DF793:DG793" si="2480">DF778</f>
        <v>39843</v>
      </c>
      <c r="DG793" s="897">
        <f t="shared" si="2480"/>
        <v>0</v>
      </c>
      <c r="DO793" s="664"/>
    </row>
    <row r="794" spans="2:119" hidden="1" x14ac:dyDescent="0.25">
      <c r="B794" s="896">
        <f t="shared" ref="B794:C794" si="2481">B779</f>
        <v>39843</v>
      </c>
      <c r="C794" s="897">
        <f t="shared" si="2481"/>
        <v>0</v>
      </c>
      <c r="K794" s="664"/>
      <c r="N794" s="896">
        <f t="shared" ref="N794:O794" si="2482">N779</f>
        <v>39843</v>
      </c>
      <c r="O794" s="897">
        <f t="shared" si="2482"/>
        <v>0</v>
      </c>
      <c r="U794" s="663"/>
      <c r="W794" s="664"/>
      <c r="Z794" s="896">
        <f t="shared" ref="Z794:AA794" si="2483">Z779</f>
        <v>39843</v>
      </c>
      <c r="AA794" s="897">
        <f t="shared" si="2483"/>
        <v>0</v>
      </c>
      <c r="AB794" s="663"/>
      <c r="AC794" s="663"/>
      <c r="AD794" s="663"/>
      <c r="AE794" s="663"/>
      <c r="AF794" s="663"/>
      <c r="AG794" s="663"/>
      <c r="AH794" s="663"/>
      <c r="AI794" s="664"/>
      <c r="AL794" s="896">
        <f t="shared" ref="AL794:AM794" si="2484">AL779</f>
        <v>39843</v>
      </c>
      <c r="AM794" s="897">
        <f t="shared" si="2484"/>
        <v>0</v>
      </c>
      <c r="AN794" s="663"/>
      <c r="AU794" s="664"/>
      <c r="AX794" s="896">
        <f t="shared" ref="AX794:AY794" si="2485">AX779</f>
        <v>39843</v>
      </c>
      <c r="AY794" s="897">
        <f t="shared" si="2485"/>
        <v>0</v>
      </c>
      <c r="BG794" s="664"/>
      <c r="BJ794" s="896">
        <f t="shared" ref="BJ794:BK794" si="2486">BJ779</f>
        <v>39843</v>
      </c>
      <c r="BK794" s="897">
        <f t="shared" si="2486"/>
        <v>0</v>
      </c>
      <c r="BS794" s="664"/>
      <c r="BV794" s="896">
        <f t="shared" ref="BV794:BW794" si="2487">BV779</f>
        <v>39843</v>
      </c>
      <c r="BW794" s="897">
        <f t="shared" si="2487"/>
        <v>0</v>
      </c>
      <c r="CE794" s="664"/>
      <c r="CH794" s="896">
        <f t="shared" ref="CH794:CI794" si="2488">CH779</f>
        <v>39843</v>
      </c>
      <c r="CI794" s="897">
        <f t="shared" si="2488"/>
        <v>0</v>
      </c>
      <c r="CQ794" s="664"/>
      <c r="CT794" s="896">
        <f t="shared" ref="CT794:CU794" si="2489">CT779</f>
        <v>39843</v>
      </c>
      <c r="CU794" s="897">
        <f t="shared" si="2489"/>
        <v>0</v>
      </c>
      <c r="DC794" s="664"/>
      <c r="DF794" s="896">
        <f t="shared" ref="DF794:DG794" si="2490">DF779</f>
        <v>39843</v>
      </c>
      <c r="DG794" s="897">
        <f t="shared" si="2490"/>
        <v>0</v>
      </c>
      <c r="DO794" s="664"/>
    </row>
    <row r="795" spans="2:119" hidden="1" x14ac:dyDescent="0.25">
      <c r="B795" s="896">
        <f t="shared" ref="B795:C795" si="2491">B780</f>
        <v>39843</v>
      </c>
      <c r="C795" s="897">
        <f t="shared" si="2491"/>
        <v>0</v>
      </c>
      <c r="K795" s="664"/>
      <c r="N795" s="896">
        <f t="shared" ref="N795:O795" si="2492">N780</f>
        <v>39843</v>
      </c>
      <c r="O795" s="897">
        <f t="shared" si="2492"/>
        <v>0</v>
      </c>
      <c r="U795" s="663"/>
      <c r="W795" s="664"/>
      <c r="Z795" s="896">
        <f t="shared" ref="Z795:AA795" si="2493">Z780</f>
        <v>39843</v>
      </c>
      <c r="AA795" s="897">
        <f t="shared" si="2493"/>
        <v>0</v>
      </c>
      <c r="AB795" s="663"/>
      <c r="AC795" s="663"/>
      <c r="AD795" s="663"/>
      <c r="AE795" s="663"/>
      <c r="AF795" s="663"/>
      <c r="AG795" s="663"/>
      <c r="AH795" s="663"/>
      <c r="AI795" s="664"/>
      <c r="AL795" s="896">
        <f t="shared" ref="AL795:AM795" si="2494">AL780</f>
        <v>39843</v>
      </c>
      <c r="AM795" s="897">
        <f t="shared" si="2494"/>
        <v>0</v>
      </c>
      <c r="AN795" s="663"/>
      <c r="AU795" s="664"/>
      <c r="AX795" s="896">
        <f t="shared" ref="AX795:AY795" si="2495">AX780</f>
        <v>39843</v>
      </c>
      <c r="AY795" s="897">
        <f t="shared" si="2495"/>
        <v>0</v>
      </c>
      <c r="BG795" s="664"/>
      <c r="BJ795" s="896">
        <f t="shared" ref="BJ795:BK795" si="2496">BJ780</f>
        <v>39843</v>
      </c>
      <c r="BK795" s="897">
        <f t="shared" si="2496"/>
        <v>0</v>
      </c>
      <c r="BS795" s="664"/>
      <c r="BV795" s="896">
        <f t="shared" ref="BV795:BW795" si="2497">BV780</f>
        <v>39843</v>
      </c>
      <c r="BW795" s="897">
        <f t="shared" si="2497"/>
        <v>0</v>
      </c>
      <c r="CE795" s="664"/>
      <c r="CH795" s="896">
        <f t="shared" ref="CH795:CI795" si="2498">CH780</f>
        <v>39843</v>
      </c>
      <c r="CI795" s="897">
        <f t="shared" si="2498"/>
        <v>0</v>
      </c>
      <c r="CQ795" s="664"/>
      <c r="CT795" s="896">
        <f t="shared" ref="CT795:CU795" si="2499">CT780</f>
        <v>39843</v>
      </c>
      <c r="CU795" s="897">
        <f t="shared" si="2499"/>
        <v>0</v>
      </c>
      <c r="DC795" s="664"/>
      <c r="DF795" s="896">
        <f t="shared" ref="DF795:DG795" si="2500">DF780</f>
        <v>39843</v>
      </c>
      <c r="DG795" s="897">
        <f t="shared" si="2500"/>
        <v>0</v>
      </c>
      <c r="DO795" s="664"/>
    </row>
    <row r="796" spans="2:119" hidden="1" x14ac:dyDescent="0.25">
      <c r="B796" s="896">
        <f>B781+$C$56</f>
        <v>41539</v>
      </c>
      <c r="C796" s="897">
        <f ca="1">C781</f>
        <v>0</v>
      </c>
      <c r="K796" s="664"/>
      <c r="N796" s="896">
        <f>N781+$C$56</f>
        <v>41539</v>
      </c>
      <c r="O796" s="897">
        <f ca="1">O781</f>
        <v>0</v>
      </c>
      <c r="U796" s="663"/>
      <c r="W796" s="664"/>
      <c r="Z796" s="896">
        <f>Z781+$C$56</f>
        <v>41539</v>
      </c>
      <c r="AA796" s="897">
        <f ca="1">AA781</f>
        <v>0</v>
      </c>
      <c r="AB796" s="663"/>
      <c r="AC796" s="663"/>
      <c r="AD796" s="663"/>
      <c r="AE796" s="663"/>
      <c r="AF796" s="663"/>
      <c r="AG796" s="663"/>
      <c r="AH796" s="663"/>
      <c r="AI796" s="664"/>
      <c r="AL796" s="896">
        <f>AL781+$C$56</f>
        <v>41539</v>
      </c>
      <c r="AM796" s="897">
        <f ca="1">AM781</f>
        <v>0</v>
      </c>
      <c r="AN796" s="663"/>
      <c r="AU796" s="664"/>
      <c r="AX796" s="896">
        <f>AX781+$C$56</f>
        <v>41539</v>
      </c>
      <c r="AY796" s="897">
        <f ca="1">AY781</f>
        <v>0</v>
      </c>
      <c r="BG796" s="664"/>
      <c r="BJ796" s="896">
        <f>BJ781+$C$56</f>
        <v>41539</v>
      </c>
      <c r="BK796" s="897">
        <f ca="1">BK781</f>
        <v>0</v>
      </c>
      <c r="BS796" s="664"/>
      <c r="BV796" s="896">
        <f>BV781+$C$56</f>
        <v>41539</v>
      </c>
      <c r="BW796" s="897">
        <f ca="1">BW781</f>
        <v>0</v>
      </c>
      <c r="CE796" s="664"/>
      <c r="CH796" s="896">
        <f>CH781+$C$56</f>
        <v>41539</v>
      </c>
      <c r="CI796" s="897">
        <f ca="1">CI781</f>
        <v>0</v>
      </c>
      <c r="CQ796" s="664"/>
      <c r="CT796" s="896">
        <f>CT781+$C$56</f>
        <v>41539</v>
      </c>
      <c r="CU796" s="897">
        <f ca="1">CU781</f>
        <v>0</v>
      </c>
      <c r="DC796" s="664"/>
      <c r="DF796" s="896">
        <f>DF781+$C$56</f>
        <v>41539</v>
      </c>
      <c r="DG796" s="897">
        <f ca="1">DG781</f>
        <v>0</v>
      </c>
      <c r="DO796" s="664"/>
    </row>
    <row r="797" spans="2:119" hidden="1" x14ac:dyDescent="0.25">
      <c r="B797" s="898" t="b">
        <f>IF(C786&lt;&gt;0,ROW(C786),IF(C787&lt;&gt;0,ROW(C787),IF(C788&lt;&gt;0,ROW(C788),IF(C789&lt;&gt;0,ROW(C789),IF(C790&lt;&gt;0,ROW(C790),IF(C791&lt;&gt;0,ROW(C791),IF(C792&lt;&gt;0,ROW(C792),IF(C793&lt;&gt;0,ROW(C793),IF(C794&lt;&gt;0,ROW(C794),IF(C795&lt;&gt;0,ROW(C795)))))))))))</f>
        <v>0</v>
      </c>
      <c r="C797" s="882" t="e">
        <f ca="1">IF(ISERROR(XIRR(INDIRECT(B799):C796,INDIRECT(B798):B796,-20%)),XIRR(INDIRECT(B799):C796,INDIRECT(B798):B796,20%),"N/A")</f>
        <v>#REF!</v>
      </c>
      <c r="K797" s="664"/>
      <c r="N797" s="898" t="b">
        <f>IF(O786&lt;&gt;0,ROW(O786),IF(O787&lt;&gt;0,ROW(O787),IF(O788&lt;&gt;0,ROW(O788),IF(O789&lt;&gt;0,ROW(O789),IF(O790&lt;&gt;0,ROW(O790),IF(O791&lt;&gt;0,ROW(O791),IF(O792&lt;&gt;0,ROW(O792),IF(O793&lt;&gt;0,ROW(O793),IF(O794&lt;&gt;0,ROW(O794),IF(O795&lt;&gt;0,ROW(O795)))))))))))</f>
        <v>0</v>
      </c>
      <c r="O797" s="882" t="e">
        <f ca="1">IF(ISERROR(XIRR(INDIRECT(N799):O796,INDIRECT(N798):N796,-20%)),XIRR(INDIRECT(N799):O796,INDIRECT(N798):N796,20%),"N/A")</f>
        <v>#REF!</v>
      </c>
      <c r="U797" s="663"/>
      <c r="W797" s="664"/>
      <c r="Z797" s="898" t="b">
        <f>IF(AA786&lt;&gt;0,ROW(AA786),IF(AA787&lt;&gt;0,ROW(AA787),IF(AA788&lt;&gt;0,ROW(AA788),IF(AA789&lt;&gt;0,ROW(AA789),IF(AA790&lt;&gt;0,ROW(AA790),IF(AA791&lt;&gt;0,ROW(AA791),IF(AA792&lt;&gt;0,ROW(AA792),IF(AA793&lt;&gt;0,ROW(AA793),IF(AA794&lt;&gt;0,ROW(AA794),IF(AA795&lt;&gt;0,ROW(AA795)))))))))))</f>
        <v>0</v>
      </c>
      <c r="AA797" s="882" t="e">
        <f ca="1">IF(ISERROR(XIRR(INDIRECT(Z799):AA796,INDIRECT(Z798):Z796,-20%)),XIRR(INDIRECT(Z799):AA796,INDIRECT(Z798):Z796,20%),"N/A")</f>
        <v>#REF!</v>
      </c>
      <c r="AB797" s="663"/>
      <c r="AC797" s="663"/>
      <c r="AD797" s="663"/>
      <c r="AE797" s="663"/>
      <c r="AF797" s="663"/>
      <c r="AG797" s="663"/>
      <c r="AH797" s="663"/>
      <c r="AI797" s="664"/>
      <c r="AL797" s="898" t="b">
        <f>IF(AM786&lt;&gt;0,ROW(AM786),IF(AM787&lt;&gt;0,ROW(AM787),IF(AM788&lt;&gt;0,ROW(AM788),IF(AM789&lt;&gt;0,ROW(AM789),IF(AM790&lt;&gt;0,ROW(AM790),IF(AM791&lt;&gt;0,ROW(AM791),IF(AM792&lt;&gt;0,ROW(AM792),IF(AM793&lt;&gt;0,ROW(AM793),IF(AM794&lt;&gt;0,ROW(AM794),IF(AM795&lt;&gt;0,ROW(AM795)))))))))))</f>
        <v>0</v>
      </c>
      <c r="AM797" s="882" t="e">
        <f ca="1">IF(ISERROR(XIRR(INDIRECT(AL799):AM796,INDIRECT(AL798):AL796,-20%)),XIRR(INDIRECT(AL799):AM796,INDIRECT(AL798):AL796,20%),"N/A")</f>
        <v>#REF!</v>
      </c>
      <c r="AN797" s="663"/>
      <c r="AU797" s="664"/>
      <c r="AX797" s="898" t="b">
        <f>IF(AY786&lt;&gt;0,ROW(AY786),IF(AY787&lt;&gt;0,ROW(AY787),IF(AY788&lt;&gt;0,ROW(AY788),IF(AY789&lt;&gt;0,ROW(AY789),IF(AY790&lt;&gt;0,ROW(AY790),IF(AY791&lt;&gt;0,ROW(AY791),IF(AY792&lt;&gt;0,ROW(AY792),IF(AY793&lt;&gt;0,ROW(AY793),IF(AY794&lt;&gt;0,ROW(AY794),IF(AY795&lt;&gt;0,ROW(AY795)))))))))))</f>
        <v>0</v>
      </c>
      <c r="AY797" s="882" t="e">
        <f ca="1">IF(ISERROR(XIRR(INDIRECT(AX799):AY796,INDIRECT(AX798):AX796,-20%)),XIRR(INDIRECT(AX799):AY796,INDIRECT(AX798):AX796,20%),"N/A")</f>
        <v>#REF!</v>
      </c>
      <c r="BG797" s="664"/>
      <c r="BJ797" s="898" t="b">
        <f>IF(BK786&lt;&gt;0,ROW(BK786),IF(BK787&lt;&gt;0,ROW(BK787),IF(BK788&lt;&gt;0,ROW(BK788),IF(BK789&lt;&gt;0,ROW(BK789),IF(BK790&lt;&gt;0,ROW(BK790),IF(BK791&lt;&gt;0,ROW(BK791),IF(BK792&lt;&gt;0,ROW(BK792),IF(BK793&lt;&gt;0,ROW(BK793),IF(BK794&lt;&gt;0,ROW(BK794),IF(BK795&lt;&gt;0,ROW(BK795)))))))))))</f>
        <v>0</v>
      </c>
      <c r="BK797" s="882" t="e">
        <f ca="1">IF(ISERROR(XIRR(INDIRECT(BJ799):BK796,INDIRECT(BJ798):BJ796,-20%)),XIRR(INDIRECT(BJ799):BK796,INDIRECT(BJ798):BJ796,20%),"N/A")</f>
        <v>#REF!</v>
      </c>
      <c r="BS797" s="664"/>
      <c r="BV797" s="898" t="b">
        <f>IF(BW786&lt;&gt;0,ROW(BW786),IF(BW787&lt;&gt;0,ROW(BW787),IF(BW788&lt;&gt;0,ROW(BW788),IF(BW789&lt;&gt;0,ROW(BW789),IF(BW790&lt;&gt;0,ROW(BW790),IF(BW791&lt;&gt;0,ROW(BW791),IF(BW792&lt;&gt;0,ROW(BW792),IF(BW793&lt;&gt;0,ROW(BW793),IF(BW794&lt;&gt;0,ROW(BW794),IF(BW795&lt;&gt;0,ROW(BW795)))))))))))</f>
        <v>0</v>
      </c>
      <c r="BW797" s="882" t="e">
        <f ca="1">IF(ISERROR(XIRR(INDIRECT(BV799):BW796,INDIRECT(BV798):BV796,-20%)),XIRR(INDIRECT(BV799):BW796,INDIRECT(BV798):BV796,20%),"N/A")</f>
        <v>#REF!</v>
      </c>
      <c r="CE797" s="664"/>
      <c r="CH797" s="898" t="b">
        <f>IF(CI786&lt;&gt;0,ROW(CI786),IF(CI787&lt;&gt;0,ROW(CI787),IF(CI788&lt;&gt;0,ROW(CI788),IF(CI789&lt;&gt;0,ROW(CI789),IF(CI790&lt;&gt;0,ROW(CI790),IF(CI791&lt;&gt;0,ROW(CI791),IF(CI792&lt;&gt;0,ROW(CI792),IF(CI793&lt;&gt;0,ROW(CI793),IF(CI794&lt;&gt;0,ROW(CI794),IF(CI795&lt;&gt;0,ROW(CI795)))))))))))</f>
        <v>0</v>
      </c>
      <c r="CI797" s="882" t="e">
        <f ca="1">IF(ISERROR(XIRR(INDIRECT(CH799):CI796,INDIRECT(CH798):CH796,-20%)),XIRR(INDIRECT(CH799):CI796,INDIRECT(CH798):CH796,20%),"N/A")</f>
        <v>#REF!</v>
      </c>
      <c r="CQ797" s="664"/>
      <c r="CT797" s="898" t="b">
        <f>IF(CU786&lt;&gt;0,ROW(CU786),IF(CU787&lt;&gt;0,ROW(CU787),IF(CU788&lt;&gt;0,ROW(CU788),IF(CU789&lt;&gt;0,ROW(CU789),IF(CU790&lt;&gt;0,ROW(CU790),IF(CU791&lt;&gt;0,ROW(CU791),IF(CU792&lt;&gt;0,ROW(CU792),IF(CU793&lt;&gt;0,ROW(CU793),IF(CU794&lt;&gt;0,ROW(CU794),IF(CU795&lt;&gt;0,ROW(CU795)))))))))))</f>
        <v>0</v>
      </c>
      <c r="CU797" s="882" t="e">
        <f ca="1">IF(ISERROR(XIRR(INDIRECT(CT799):CU796,INDIRECT(CT798):CT796,-20%)),XIRR(INDIRECT(CT799):CU796,INDIRECT(CT798):CT796,20%),"N/A")</f>
        <v>#REF!</v>
      </c>
      <c r="DC797" s="664"/>
      <c r="DF797" s="898" t="b">
        <f>IF(DG786&lt;&gt;0,ROW(DG786),IF(DG787&lt;&gt;0,ROW(DG787),IF(DG788&lt;&gt;0,ROW(DG788),IF(DG789&lt;&gt;0,ROW(DG789),IF(DG790&lt;&gt;0,ROW(DG790),IF(DG791&lt;&gt;0,ROW(DG791),IF(DG792&lt;&gt;0,ROW(DG792),IF(DG793&lt;&gt;0,ROW(DG793),IF(DG794&lt;&gt;0,ROW(DG794),IF(DG795&lt;&gt;0,ROW(DG795)))))))))))</f>
        <v>0</v>
      </c>
      <c r="DG797" s="882" t="e">
        <f ca="1">IF(ISERROR(XIRR(INDIRECT(DF799):DG796,INDIRECT(DF798):DF796,-20%)),XIRR(INDIRECT(DF799):DG796,INDIRECT(DF798):DF796,20%),"N/A")</f>
        <v>#REF!</v>
      </c>
      <c r="DO797" s="664"/>
    </row>
    <row r="798" spans="2:119" hidden="1" x14ac:dyDescent="0.25">
      <c r="B798" s="899" t="str">
        <f>CONCATENATE(CHAR(64+COLUMN(B797)),B797)</f>
        <v>BFALSE</v>
      </c>
      <c r="C798" s="897"/>
      <c r="K798" s="664"/>
      <c r="N798" s="899" t="str">
        <f>CONCATENATE(CHAR(64+COLUMN(N797)),N797)</f>
        <v>NFALSE</v>
      </c>
      <c r="O798" s="897"/>
      <c r="U798" s="663"/>
      <c r="W798" s="664"/>
      <c r="Z798" s="899" t="str">
        <f>CONCATENATE(IF(COLUMN(Z797)&lt;=26,CHAR(96+COLUMN(Z797)),(CHAR(96+(ROUNDDOWN((COLUMN(Z797)-1)/26,0)))&amp;CHAR(96+IF(MOD(COLUMN(Z797),26)=0,26,MOD(COLUMN(Z797),26))))),Z797)</f>
        <v>zFALSE</v>
      </c>
      <c r="AA798" s="897"/>
      <c r="AB798" s="663"/>
      <c r="AC798" s="663"/>
      <c r="AD798" s="663"/>
      <c r="AE798" s="663"/>
      <c r="AF798" s="663"/>
      <c r="AG798" s="663"/>
      <c r="AH798" s="663"/>
      <c r="AI798" s="664"/>
      <c r="AL798" s="899" t="str">
        <f>CONCATENATE(IF(COLUMN(AL797)&lt;=26,CHAR(96+COLUMN(AL797)),(CHAR(96+(ROUNDDOWN((COLUMN(AL797)-1)/26,0)))&amp;CHAR(96+IF(MOD(COLUMN(AL797),26)=0,26,MOD(COLUMN(AL797),26))))),AL797)</f>
        <v>alFALSE</v>
      </c>
      <c r="AM798" s="897"/>
      <c r="AN798" s="663"/>
      <c r="AU798" s="664"/>
      <c r="AX798" s="899" t="str">
        <f>CONCATENATE(IF(COLUMN(AX797)&lt;=26,CHAR(96+COLUMN(AX797)),(CHAR(96+(ROUNDDOWN((COLUMN(AX797)-1)/26,0)))&amp;CHAR(96+IF(MOD(COLUMN(AX797),26)=0,26,MOD(COLUMN(AX797),26))))),AX797)</f>
        <v>axFALSE</v>
      </c>
      <c r="AY798" s="897"/>
      <c r="BG798" s="664"/>
      <c r="BJ798" s="899" t="str">
        <f>CONCATENATE(IF(COLUMN(BJ797)&lt;=26,CHAR(96+COLUMN(BJ797)),(CHAR(96+(ROUNDDOWN((COLUMN(BJ797)-1)/26,0)))&amp;CHAR(96+IF(MOD(COLUMN(BJ797),26)=0,26,MOD(COLUMN(BJ797),26))))),BJ797)</f>
        <v>bjFALSE</v>
      </c>
      <c r="BK798" s="897"/>
      <c r="BS798" s="664"/>
      <c r="BV798" s="899" t="str">
        <f>CONCATENATE(IF(COLUMN(BV797)&lt;=26,CHAR(96+COLUMN(BV797)),(CHAR(96+(ROUNDDOWN((COLUMN(BV797)-1)/26,0)))&amp;CHAR(96+IF(MOD(COLUMN(BV797),26)=0,26,MOD(COLUMN(BV797),26))))),BV797)</f>
        <v>bvFALSE</v>
      </c>
      <c r="BW798" s="897"/>
      <c r="CE798" s="664"/>
      <c r="CH798" s="899" t="str">
        <f>CONCATENATE(IF(COLUMN(CH797)&lt;=26,CHAR(96+COLUMN(CH797)),(CHAR(96+(ROUNDDOWN((COLUMN(CH797)-1)/26,0)))&amp;CHAR(96+IF(MOD(COLUMN(CH797),26)=0,26,MOD(COLUMN(CH797),26))))),CH797)</f>
        <v>chFALSE</v>
      </c>
      <c r="CI798" s="897"/>
      <c r="CQ798" s="664"/>
      <c r="CT798" s="899" t="str">
        <f>CONCATENATE(IF(COLUMN(CT797)&lt;=26,CHAR(96+COLUMN(CT797)),(CHAR(96+(ROUNDDOWN((COLUMN(CT797)-1)/26,0)))&amp;CHAR(96+IF(MOD(COLUMN(CT797),26)=0,26,MOD(COLUMN(CT797),26))))),CT797)</f>
        <v>ctFALSE</v>
      </c>
      <c r="CU798" s="897"/>
      <c r="DC798" s="664"/>
      <c r="DF798" s="899" t="str">
        <f>CONCATENATE(IF(COLUMN(DF797)&lt;=26,CHAR(96+COLUMN(DF797)),(CHAR(96+(ROUNDDOWN((COLUMN(DF797)-1)/26,0)))&amp;CHAR(96+IF(MOD(COLUMN(DF797),26)=0,26,MOD(COLUMN(DF797),26))))),DF797)</f>
        <v>dfFALSE</v>
      </c>
      <c r="DG798" s="897"/>
      <c r="DO798" s="664"/>
    </row>
    <row r="799" spans="2:119" ht="15.75" hidden="1" thickBot="1" x14ac:dyDescent="0.3">
      <c r="B799" s="899" t="str">
        <f>CONCATENATE(CHAR(64+COLUMN(C797)),B797)</f>
        <v>CFALSE</v>
      </c>
      <c r="C799" s="901"/>
      <c r="D799" s="902"/>
      <c r="E799" s="902"/>
      <c r="F799" s="902"/>
      <c r="G799" s="902"/>
      <c r="H799" s="902"/>
      <c r="I799" s="902"/>
      <c r="J799" s="902"/>
      <c r="K799" s="903"/>
      <c r="N799" s="899" t="str">
        <f>CONCATENATE(CHAR(64+COLUMN(O797)),N797)</f>
        <v>OFALSE</v>
      </c>
      <c r="O799" s="901"/>
      <c r="P799" s="902"/>
      <c r="Q799" s="902"/>
      <c r="R799" s="902"/>
      <c r="S799" s="902"/>
      <c r="T799" s="902"/>
      <c r="U799" s="902"/>
      <c r="V799" s="902"/>
      <c r="W799" s="903"/>
      <c r="Z799" s="899" t="str">
        <f>CONCATENATE(IF(COLUMN(AA797)&lt;=26,CHAR(96+COLUMN(AA797)),(CHAR(96+(ROUNDDOWN((COLUMN(AA797)-1)/26,0)))&amp;CHAR(96+IF(MOD(COLUMN(AA797),26)=0,26,MOD(COLUMN(AA797),26))))),Z797)</f>
        <v>aaFALSE</v>
      </c>
      <c r="AA799" s="901"/>
      <c r="AB799" s="902"/>
      <c r="AC799" s="902"/>
      <c r="AD799" s="902"/>
      <c r="AE799" s="902"/>
      <c r="AF799" s="902"/>
      <c r="AG799" s="902"/>
      <c r="AH799" s="902"/>
      <c r="AI799" s="903"/>
      <c r="AL799" s="899" t="str">
        <f>CONCATENATE(IF(COLUMN(AM797)&lt;=26,CHAR(96+COLUMN(AM797)),(CHAR(96+(ROUNDDOWN((COLUMN(AM797)-1)/26,0)))&amp;CHAR(96+IF(MOD(COLUMN(AM797),26)=0,26,MOD(COLUMN(AM797),26))))),AL797)</f>
        <v>amFALSE</v>
      </c>
      <c r="AM799" s="901"/>
      <c r="AN799" s="902"/>
      <c r="AO799" s="902"/>
      <c r="AP799" s="902"/>
      <c r="AQ799" s="902"/>
      <c r="AR799" s="902"/>
      <c r="AS799" s="902"/>
      <c r="AT799" s="902"/>
      <c r="AU799" s="903"/>
      <c r="AX799" s="899" t="str">
        <f>CONCATENATE(IF(COLUMN(AY797)&lt;=26,CHAR(96+COLUMN(AY797)),(CHAR(96+(ROUNDDOWN((COLUMN(AY797)-1)/26,0)))&amp;CHAR(96+IF(MOD(COLUMN(AY797),26)=0,26,MOD(COLUMN(AY797),26))))),AX797)</f>
        <v>ayFALSE</v>
      </c>
      <c r="AY799" s="901"/>
      <c r="AZ799" s="902"/>
      <c r="BA799" s="902"/>
      <c r="BB799" s="902"/>
      <c r="BC799" s="902"/>
      <c r="BD799" s="902"/>
      <c r="BE799" s="902"/>
      <c r="BF799" s="902"/>
      <c r="BG799" s="903"/>
      <c r="BJ799" s="899" t="str">
        <f>CONCATENATE(IF(COLUMN(BK797)&lt;=26,CHAR(96+COLUMN(BK797)),(CHAR(96+(ROUNDDOWN((COLUMN(BK797)-1)/26,0)))&amp;CHAR(96+IF(MOD(COLUMN(BK797),26)=0,26,MOD(COLUMN(BK797),26))))),BJ797)</f>
        <v>bkFALSE</v>
      </c>
      <c r="BK799" s="901"/>
      <c r="BL799" s="902"/>
      <c r="BM799" s="902"/>
      <c r="BN799" s="902"/>
      <c r="BO799" s="902"/>
      <c r="BP799" s="902"/>
      <c r="BQ799" s="902"/>
      <c r="BR799" s="902"/>
      <c r="BS799" s="903"/>
      <c r="BV799" s="899" t="str">
        <f>CONCATENATE(IF(COLUMN(BW797)&lt;=26,CHAR(96+COLUMN(BW797)),(CHAR(96+(ROUNDDOWN((COLUMN(BW797)-1)/26,0)))&amp;CHAR(96+IF(MOD(COLUMN(BW797),26)=0,26,MOD(COLUMN(BW797),26))))),BV797)</f>
        <v>bwFALSE</v>
      </c>
      <c r="BW799" s="901"/>
      <c r="BX799" s="902"/>
      <c r="BY799" s="902"/>
      <c r="BZ799" s="902"/>
      <c r="CA799" s="902"/>
      <c r="CB799" s="902"/>
      <c r="CC799" s="902"/>
      <c r="CD799" s="902"/>
      <c r="CE799" s="903"/>
      <c r="CH799" s="899" t="str">
        <f>CONCATENATE(IF(COLUMN(CI797)&lt;=26,CHAR(96+COLUMN(CI797)),(CHAR(96+(ROUNDDOWN((COLUMN(CI797)-1)/26,0)))&amp;CHAR(96+IF(MOD(COLUMN(CI797),26)=0,26,MOD(COLUMN(CI797),26))))),CH797)</f>
        <v>ciFALSE</v>
      </c>
      <c r="CI799" s="901"/>
      <c r="CJ799" s="902"/>
      <c r="CK799" s="902"/>
      <c r="CL799" s="902"/>
      <c r="CM799" s="902"/>
      <c r="CN799" s="902"/>
      <c r="CO799" s="902"/>
      <c r="CP799" s="902"/>
      <c r="CQ799" s="903"/>
      <c r="CT799" s="899" t="str">
        <f>CONCATENATE(IF(COLUMN(CU797)&lt;=26,CHAR(96+COLUMN(CU797)),(CHAR(96+(ROUNDDOWN((COLUMN(CU797)-1)/26,0)))&amp;CHAR(96+IF(MOD(COLUMN(CU797),26)=0,26,MOD(COLUMN(CU797),26))))),CT797)</f>
        <v>cuFALSE</v>
      </c>
      <c r="CU799" s="901"/>
      <c r="CV799" s="902"/>
      <c r="CW799" s="902"/>
      <c r="CX799" s="902"/>
      <c r="CY799" s="902"/>
      <c r="CZ799" s="902"/>
      <c r="DA799" s="902"/>
      <c r="DB799" s="902"/>
      <c r="DC799" s="903"/>
      <c r="DF799" s="899" t="str">
        <f>CONCATENATE(IF(COLUMN(DG797)&lt;=26,CHAR(96+COLUMN(DG797)),(CHAR(96+(ROUNDDOWN((COLUMN(DG797)-1)/26,0)))&amp;CHAR(96+IF(MOD(COLUMN(DG797),26)=0,26,MOD(COLUMN(DG797),26))))),DF797)</f>
        <v>dgFALSE</v>
      </c>
      <c r="DG799" s="901"/>
      <c r="DH799" s="902"/>
      <c r="DI799" s="902"/>
      <c r="DJ799" s="902"/>
      <c r="DK799" s="902"/>
      <c r="DL799" s="902"/>
      <c r="DM799" s="902"/>
      <c r="DN799" s="902"/>
      <c r="DO799" s="903"/>
    </row>
    <row r="800" spans="2:119" hidden="1" x14ac:dyDescent="0.25">
      <c r="C800" s="662"/>
    </row>
    <row r="801" spans="3:3" hidden="1" x14ac:dyDescent="0.25">
      <c r="C801" s="662"/>
    </row>
    <row r="802" spans="3:3" hidden="1" x14ac:dyDescent="0.25">
      <c r="C802" s="662"/>
    </row>
    <row r="803" spans="3:3" hidden="1" x14ac:dyDescent="0.25">
      <c r="C803" s="662"/>
    </row>
    <row r="804" spans="3:3" hidden="1" x14ac:dyDescent="0.25">
      <c r="C804" s="662"/>
    </row>
    <row r="805" spans="3:3" hidden="1" x14ac:dyDescent="0.25">
      <c r="C805" s="662"/>
    </row>
    <row r="806" spans="3:3" hidden="1" x14ac:dyDescent="0.25">
      <c r="C806" s="662"/>
    </row>
    <row r="807" spans="3:3" hidden="1" x14ac:dyDescent="0.25">
      <c r="C807" s="662"/>
    </row>
    <row r="808" spans="3:3" hidden="1" x14ac:dyDescent="0.25">
      <c r="C808" s="662"/>
    </row>
    <row r="809" spans="3:3" hidden="1" x14ac:dyDescent="0.25">
      <c r="C809" s="662"/>
    </row>
    <row r="810" spans="3:3" hidden="1" x14ac:dyDescent="0.25">
      <c r="C810" s="662"/>
    </row>
    <row r="811" spans="3:3" hidden="1" x14ac:dyDescent="0.25">
      <c r="C811" s="662"/>
    </row>
    <row r="812" spans="3:3" hidden="1" x14ac:dyDescent="0.25">
      <c r="C812" s="662"/>
    </row>
    <row r="813" spans="3:3" hidden="1" x14ac:dyDescent="0.25">
      <c r="C813" s="662"/>
    </row>
    <row r="814" spans="3:3" hidden="1" x14ac:dyDescent="0.25">
      <c r="C814" s="662"/>
    </row>
    <row r="815" spans="3:3" hidden="1" x14ac:dyDescent="0.25">
      <c r="C815" s="662"/>
    </row>
    <row r="816" spans="3:3" x14ac:dyDescent="0.25">
      <c r="C816" s="662"/>
    </row>
    <row r="817" spans="2:12" ht="26.25" x14ac:dyDescent="0.4">
      <c r="B817" s="935" t="s">
        <v>124</v>
      </c>
      <c r="C817" s="662"/>
    </row>
    <row r="818" spans="2:12" ht="15.75" thickBot="1" x14ac:dyDescent="0.3">
      <c r="C818" s="662"/>
    </row>
    <row r="819" spans="2:12" x14ac:dyDescent="0.25">
      <c r="B819" s="904" t="s">
        <v>145</v>
      </c>
      <c r="C819" s="905">
        <v>0</v>
      </c>
      <c r="D819" s="905">
        <v>0</v>
      </c>
      <c r="E819" s="905">
        <v>0</v>
      </c>
      <c r="F819" s="905">
        <v>0</v>
      </c>
      <c r="G819" s="905">
        <v>0</v>
      </c>
      <c r="H819" s="905">
        <v>0</v>
      </c>
      <c r="I819" s="905">
        <v>0</v>
      </c>
      <c r="J819" s="905">
        <v>0</v>
      </c>
      <c r="K819" s="905">
        <v>0</v>
      </c>
      <c r="L819" s="947">
        <v>0</v>
      </c>
    </row>
    <row r="820" spans="2:12" x14ac:dyDescent="0.25">
      <c r="B820" s="951" t="s">
        <v>146</v>
      </c>
      <c r="C820" s="946">
        <v>0</v>
      </c>
      <c r="D820" s="946">
        <v>0</v>
      </c>
      <c r="E820" s="946">
        <v>0</v>
      </c>
      <c r="F820" s="946">
        <v>0</v>
      </c>
      <c r="G820" s="946">
        <v>0</v>
      </c>
      <c r="H820" s="946">
        <v>0</v>
      </c>
      <c r="I820" s="946">
        <v>0</v>
      </c>
      <c r="J820" s="946">
        <v>0</v>
      </c>
      <c r="K820" s="946">
        <v>0</v>
      </c>
      <c r="L820" s="948">
        <v>0</v>
      </c>
    </row>
    <row r="821" spans="2:12" x14ac:dyDescent="0.25">
      <c r="B821" s="951" t="s">
        <v>147</v>
      </c>
      <c r="C821" s="949">
        <v>0</v>
      </c>
      <c r="D821" s="949">
        <v>0</v>
      </c>
      <c r="E821" s="949">
        <v>0</v>
      </c>
      <c r="F821" s="949">
        <v>0</v>
      </c>
      <c r="G821" s="949">
        <v>0</v>
      </c>
      <c r="H821" s="949">
        <v>0</v>
      </c>
      <c r="I821" s="949">
        <v>0</v>
      </c>
      <c r="J821" s="949">
        <v>0</v>
      </c>
      <c r="K821" s="949">
        <v>0</v>
      </c>
      <c r="L821" s="950">
        <v>0</v>
      </c>
    </row>
    <row r="822" spans="2:12" x14ac:dyDescent="0.25">
      <c r="B822" s="894" t="s">
        <v>78</v>
      </c>
      <c r="C822" s="933">
        <f>+SUM(C819:C821)</f>
        <v>0</v>
      </c>
      <c r="D822" s="933">
        <f t="shared" ref="D822:K822" si="2501">+SUM(D819:D821)</f>
        <v>0</v>
      </c>
      <c r="E822" s="933">
        <f t="shared" si="2501"/>
        <v>0</v>
      </c>
      <c r="F822" s="933">
        <f t="shared" si="2501"/>
        <v>0</v>
      </c>
      <c r="G822" s="933">
        <f t="shared" si="2501"/>
        <v>0</v>
      </c>
      <c r="H822" s="933">
        <f t="shared" si="2501"/>
        <v>0</v>
      </c>
      <c r="I822" s="933">
        <f t="shared" si="2501"/>
        <v>0</v>
      </c>
      <c r="J822" s="933">
        <f t="shared" si="2501"/>
        <v>0</v>
      </c>
      <c r="K822" s="933">
        <f t="shared" si="2501"/>
        <v>0</v>
      </c>
      <c r="L822" s="934">
        <f>+SUM(L819:L821)</f>
        <v>0</v>
      </c>
    </row>
    <row r="823" spans="2:12" x14ac:dyDescent="0.25">
      <c r="B823" s="668"/>
      <c r="C823" s="662"/>
      <c r="L823" s="664"/>
    </row>
    <row r="824" spans="2:12" x14ac:dyDescent="0.25">
      <c r="B824" s="661" t="s">
        <v>112</v>
      </c>
      <c r="C824" s="662"/>
      <c r="L824" s="664"/>
    </row>
    <row r="825" spans="2:12" x14ac:dyDescent="0.25">
      <c r="B825" s="665" t="str">
        <f>B177</f>
        <v>Series A</v>
      </c>
      <c r="C825" s="666">
        <f ca="1">C177</f>
        <v>0</v>
      </c>
      <c r="D825" s="666">
        <f ca="1">O177</f>
        <v>0</v>
      </c>
      <c r="E825" s="666">
        <f ca="1">AA177</f>
        <v>0</v>
      </c>
      <c r="F825" s="666">
        <f ca="1">AM177</f>
        <v>0</v>
      </c>
      <c r="G825" s="666">
        <f ca="1">AY177</f>
        <v>0</v>
      </c>
      <c r="H825" s="666">
        <f ca="1">BK177</f>
        <v>0</v>
      </c>
      <c r="I825" s="666">
        <f ca="1">BW177</f>
        <v>0</v>
      </c>
      <c r="J825" s="666">
        <f ca="1">CI177</f>
        <v>0</v>
      </c>
      <c r="K825" s="666">
        <f ca="1">CU177</f>
        <v>0</v>
      </c>
      <c r="L825" s="667">
        <f ca="1">DG177</f>
        <v>0</v>
      </c>
    </row>
    <row r="826" spans="2:12" x14ac:dyDescent="0.25">
      <c r="B826" s="665" t="str">
        <f t="shared" ref="B826:C846" si="2502">B178</f>
        <v>Series B</v>
      </c>
      <c r="C826" s="666">
        <f t="shared" ca="1" si="2502"/>
        <v>0</v>
      </c>
      <c r="D826" s="666">
        <f t="shared" ref="D826:D846" ca="1" si="2503">O178</f>
        <v>0</v>
      </c>
      <c r="E826" s="666">
        <f t="shared" ref="E826:E846" ca="1" si="2504">AA178</f>
        <v>0</v>
      </c>
      <c r="F826" s="666">
        <f t="shared" ref="F826:F846" ca="1" si="2505">AM178</f>
        <v>0</v>
      </c>
      <c r="G826" s="666">
        <f t="shared" ref="G826:G846" ca="1" si="2506">AY178</f>
        <v>0</v>
      </c>
      <c r="H826" s="666">
        <f t="shared" ref="H826:H846" ca="1" si="2507">BK178</f>
        <v>0</v>
      </c>
      <c r="I826" s="666">
        <f t="shared" ref="I826:I846" ca="1" si="2508">BW178</f>
        <v>0</v>
      </c>
      <c r="J826" s="666">
        <f t="shared" ref="J826:J846" ca="1" si="2509">CI178</f>
        <v>0</v>
      </c>
      <c r="K826" s="666">
        <f t="shared" ref="K826:K846" ca="1" si="2510">CU178</f>
        <v>0</v>
      </c>
      <c r="L826" s="667">
        <f t="shared" ref="L826:L846" ca="1" si="2511">DG178</f>
        <v>0</v>
      </c>
    </row>
    <row r="827" spans="2:12" x14ac:dyDescent="0.25">
      <c r="B827" s="665" t="str">
        <f t="shared" si="2502"/>
        <v>Series C</v>
      </c>
      <c r="C827" s="666">
        <f t="shared" ca="1" si="2502"/>
        <v>0</v>
      </c>
      <c r="D827" s="666">
        <f t="shared" ca="1" si="2503"/>
        <v>0</v>
      </c>
      <c r="E827" s="666">
        <f t="shared" ca="1" si="2504"/>
        <v>0</v>
      </c>
      <c r="F827" s="666">
        <f t="shared" ca="1" si="2505"/>
        <v>0</v>
      </c>
      <c r="G827" s="666">
        <f t="shared" ca="1" si="2506"/>
        <v>0</v>
      </c>
      <c r="H827" s="666">
        <f t="shared" ca="1" si="2507"/>
        <v>0</v>
      </c>
      <c r="I827" s="666">
        <f t="shared" ca="1" si="2508"/>
        <v>0</v>
      </c>
      <c r="J827" s="666">
        <f t="shared" ca="1" si="2509"/>
        <v>0</v>
      </c>
      <c r="K827" s="666">
        <f t="shared" ca="1" si="2510"/>
        <v>0</v>
      </c>
      <c r="L827" s="667">
        <f t="shared" ca="1" si="2511"/>
        <v>0</v>
      </c>
    </row>
    <row r="828" spans="2:12" x14ac:dyDescent="0.25">
      <c r="B828" s="665" t="str">
        <f t="shared" si="2502"/>
        <v>Series D</v>
      </c>
      <c r="C828" s="666">
        <f t="shared" ca="1" si="2502"/>
        <v>0</v>
      </c>
      <c r="D828" s="666">
        <f t="shared" ca="1" si="2503"/>
        <v>0</v>
      </c>
      <c r="E828" s="666">
        <f t="shared" ca="1" si="2504"/>
        <v>0</v>
      </c>
      <c r="F828" s="666">
        <f t="shared" ca="1" si="2505"/>
        <v>0</v>
      </c>
      <c r="G828" s="666">
        <f t="shared" ca="1" si="2506"/>
        <v>0</v>
      </c>
      <c r="H828" s="666">
        <f t="shared" ca="1" si="2507"/>
        <v>0</v>
      </c>
      <c r="I828" s="666">
        <f t="shared" ca="1" si="2508"/>
        <v>0</v>
      </c>
      <c r="J828" s="666">
        <f t="shared" ca="1" si="2509"/>
        <v>0</v>
      </c>
      <c r="K828" s="666">
        <f t="shared" ca="1" si="2510"/>
        <v>0</v>
      </c>
      <c r="L828" s="667">
        <f t="shared" ca="1" si="2511"/>
        <v>0</v>
      </c>
    </row>
    <row r="829" spans="2:12" x14ac:dyDescent="0.25">
      <c r="B829" s="665" t="str">
        <f t="shared" si="2502"/>
        <v>-</v>
      </c>
      <c r="C829" s="666">
        <f t="shared" ca="1" si="2502"/>
        <v>0</v>
      </c>
      <c r="D829" s="666">
        <f t="shared" ca="1" si="2503"/>
        <v>0</v>
      </c>
      <c r="E829" s="666">
        <f t="shared" ca="1" si="2504"/>
        <v>0</v>
      </c>
      <c r="F829" s="666">
        <f t="shared" ca="1" si="2505"/>
        <v>0</v>
      </c>
      <c r="G829" s="666">
        <f t="shared" ca="1" si="2506"/>
        <v>0</v>
      </c>
      <c r="H829" s="666">
        <f t="shared" ca="1" si="2507"/>
        <v>0</v>
      </c>
      <c r="I829" s="666">
        <f t="shared" ca="1" si="2508"/>
        <v>0</v>
      </c>
      <c r="J829" s="666">
        <f t="shared" ca="1" si="2509"/>
        <v>0</v>
      </c>
      <c r="K829" s="666">
        <f t="shared" ca="1" si="2510"/>
        <v>0</v>
      </c>
      <c r="L829" s="667">
        <f t="shared" ca="1" si="2511"/>
        <v>0</v>
      </c>
    </row>
    <row r="830" spans="2:12" x14ac:dyDescent="0.25">
      <c r="B830" s="665" t="str">
        <f t="shared" si="2502"/>
        <v>-</v>
      </c>
      <c r="C830" s="666">
        <f t="shared" ca="1" si="2502"/>
        <v>0</v>
      </c>
      <c r="D830" s="666">
        <f t="shared" ca="1" si="2503"/>
        <v>0</v>
      </c>
      <c r="E830" s="666">
        <f t="shared" ca="1" si="2504"/>
        <v>0</v>
      </c>
      <c r="F830" s="666">
        <f t="shared" ca="1" si="2505"/>
        <v>0</v>
      </c>
      <c r="G830" s="666">
        <f t="shared" ca="1" si="2506"/>
        <v>0</v>
      </c>
      <c r="H830" s="666">
        <f t="shared" ca="1" si="2507"/>
        <v>0</v>
      </c>
      <c r="I830" s="666">
        <f t="shared" ca="1" si="2508"/>
        <v>0</v>
      </c>
      <c r="J830" s="666">
        <f t="shared" ca="1" si="2509"/>
        <v>0</v>
      </c>
      <c r="K830" s="666">
        <f t="shared" ca="1" si="2510"/>
        <v>0</v>
      </c>
      <c r="L830" s="667">
        <f t="shared" ca="1" si="2511"/>
        <v>0</v>
      </c>
    </row>
    <row r="831" spans="2:12" x14ac:dyDescent="0.25">
      <c r="B831" s="665" t="str">
        <f t="shared" si="2502"/>
        <v>-</v>
      </c>
      <c r="C831" s="666">
        <f t="shared" ca="1" si="2502"/>
        <v>0</v>
      </c>
      <c r="D831" s="666">
        <f t="shared" ca="1" si="2503"/>
        <v>0</v>
      </c>
      <c r="E831" s="666">
        <f t="shared" ca="1" si="2504"/>
        <v>0</v>
      </c>
      <c r="F831" s="666">
        <f t="shared" ca="1" si="2505"/>
        <v>0</v>
      </c>
      <c r="G831" s="666">
        <f t="shared" ca="1" si="2506"/>
        <v>0</v>
      </c>
      <c r="H831" s="666">
        <f t="shared" ca="1" si="2507"/>
        <v>0</v>
      </c>
      <c r="I831" s="666">
        <f t="shared" ca="1" si="2508"/>
        <v>0</v>
      </c>
      <c r="J831" s="666">
        <f t="shared" ca="1" si="2509"/>
        <v>0</v>
      </c>
      <c r="K831" s="666">
        <f t="shared" ca="1" si="2510"/>
        <v>0</v>
      </c>
      <c r="L831" s="667">
        <f t="shared" ca="1" si="2511"/>
        <v>0</v>
      </c>
    </row>
    <row r="832" spans="2:12" x14ac:dyDescent="0.25">
      <c r="B832" s="665" t="str">
        <f t="shared" si="2502"/>
        <v>-</v>
      </c>
      <c r="C832" s="666">
        <f t="shared" ca="1" si="2502"/>
        <v>0</v>
      </c>
      <c r="D832" s="666">
        <f t="shared" ca="1" si="2503"/>
        <v>0</v>
      </c>
      <c r="E832" s="666">
        <f t="shared" ca="1" si="2504"/>
        <v>0</v>
      </c>
      <c r="F832" s="666">
        <f t="shared" ca="1" si="2505"/>
        <v>0</v>
      </c>
      <c r="G832" s="666">
        <f t="shared" ca="1" si="2506"/>
        <v>0</v>
      </c>
      <c r="H832" s="666">
        <f t="shared" ca="1" si="2507"/>
        <v>0</v>
      </c>
      <c r="I832" s="666">
        <f t="shared" ca="1" si="2508"/>
        <v>0</v>
      </c>
      <c r="J832" s="666">
        <f t="shared" ca="1" si="2509"/>
        <v>0</v>
      </c>
      <c r="K832" s="666">
        <f t="shared" ca="1" si="2510"/>
        <v>0</v>
      </c>
      <c r="L832" s="667">
        <f t="shared" ca="1" si="2511"/>
        <v>0</v>
      </c>
    </row>
    <row r="833" spans="2:12" x14ac:dyDescent="0.25">
      <c r="B833" s="665" t="str">
        <f t="shared" si="2502"/>
        <v>-</v>
      </c>
      <c r="C833" s="666">
        <f t="shared" ca="1" si="2502"/>
        <v>0</v>
      </c>
      <c r="D833" s="666">
        <f t="shared" ca="1" si="2503"/>
        <v>0</v>
      </c>
      <c r="E833" s="666">
        <f t="shared" ca="1" si="2504"/>
        <v>0</v>
      </c>
      <c r="F833" s="666">
        <f t="shared" ca="1" si="2505"/>
        <v>0</v>
      </c>
      <c r="G833" s="666">
        <f t="shared" ca="1" si="2506"/>
        <v>0</v>
      </c>
      <c r="H833" s="666">
        <f t="shared" ca="1" si="2507"/>
        <v>0</v>
      </c>
      <c r="I833" s="666">
        <f t="shared" ca="1" si="2508"/>
        <v>0</v>
      </c>
      <c r="J833" s="666">
        <f t="shared" ca="1" si="2509"/>
        <v>0</v>
      </c>
      <c r="K833" s="666">
        <f t="shared" ca="1" si="2510"/>
        <v>0</v>
      </c>
      <c r="L833" s="667">
        <f t="shared" ca="1" si="2511"/>
        <v>0</v>
      </c>
    </row>
    <row r="834" spans="2:12" x14ac:dyDescent="0.25">
      <c r="B834" s="665" t="str">
        <f t="shared" si="2502"/>
        <v>-</v>
      </c>
      <c r="C834" s="666">
        <f t="shared" ca="1" si="2502"/>
        <v>0</v>
      </c>
      <c r="D834" s="666">
        <f t="shared" ca="1" si="2503"/>
        <v>0</v>
      </c>
      <c r="E834" s="666">
        <f t="shared" ca="1" si="2504"/>
        <v>0</v>
      </c>
      <c r="F834" s="666">
        <f t="shared" ca="1" si="2505"/>
        <v>0</v>
      </c>
      <c r="G834" s="666">
        <f t="shared" ca="1" si="2506"/>
        <v>0</v>
      </c>
      <c r="H834" s="666">
        <f t="shared" ca="1" si="2507"/>
        <v>0</v>
      </c>
      <c r="I834" s="666">
        <f t="shared" ca="1" si="2508"/>
        <v>0</v>
      </c>
      <c r="J834" s="666">
        <f t="shared" ca="1" si="2509"/>
        <v>0</v>
      </c>
      <c r="K834" s="666">
        <f t="shared" ca="1" si="2510"/>
        <v>0</v>
      </c>
      <c r="L834" s="667">
        <f t="shared" ca="1" si="2511"/>
        <v>0</v>
      </c>
    </row>
    <row r="835" spans="2:12" x14ac:dyDescent="0.25">
      <c r="B835" s="665" t="str">
        <f t="shared" si="2502"/>
        <v>Warrants Series A</v>
      </c>
      <c r="C835" s="666">
        <f t="shared" ca="1" si="2502"/>
        <v>0</v>
      </c>
      <c r="D835" s="666">
        <f t="shared" ca="1" si="2503"/>
        <v>0</v>
      </c>
      <c r="E835" s="666">
        <f t="shared" ca="1" si="2504"/>
        <v>0</v>
      </c>
      <c r="F835" s="666">
        <f t="shared" ca="1" si="2505"/>
        <v>0</v>
      </c>
      <c r="G835" s="666">
        <f t="shared" ca="1" si="2506"/>
        <v>0</v>
      </c>
      <c r="H835" s="666">
        <f t="shared" ca="1" si="2507"/>
        <v>0</v>
      </c>
      <c r="I835" s="666">
        <f t="shared" ca="1" si="2508"/>
        <v>0</v>
      </c>
      <c r="J835" s="666">
        <f t="shared" ca="1" si="2509"/>
        <v>0</v>
      </c>
      <c r="K835" s="666">
        <f t="shared" ca="1" si="2510"/>
        <v>0</v>
      </c>
      <c r="L835" s="667">
        <f t="shared" ca="1" si="2511"/>
        <v>0</v>
      </c>
    </row>
    <row r="836" spans="2:12" x14ac:dyDescent="0.25">
      <c r="B836" s="665" t="str">
        <f t="shared" si="2502"/>
        <v>Warrants Series B</v>
      </c>
      <c r="C836" s="666">
        <f t="shared" ca="1" si="2502"/>
        <v>0</v>
      </c>
      <c r="D836" s="666">
        <f t="shared" ca="1" si="2503"/>
        <v>0</v>
      </c>
      <c r="E836" s="666">
        <f t="shared" ca="1" si="2504"/>
        <v>0</v>
      </c>
      <c r="F836" s="666">
        <f t="shared" ca="1" si="2505"/>
        <v>0</v>
      </c>
      <c r="G836" s="666">
        <f t="shared" ca="1" si="2506"/>
        <v>0</v>
      </c>
      <c r="H836" s="666">
        <f t="shared" ca="1" si="2507"/>
        <v>0</v>
      </c>
      <c r="I836" s="666">
        <f t="shared" ca="1" si="2508"/>
        <v>0</v>
      </c>
      <c r="J836" s="666">
        <f t="shared" ca="1" si="2509"/>
        <v>0</v>
      </c>
      <c r="K836" s="666">
        <f t="shared" ca="1" si="2510"/>
        <v>0</v>
      </c>
      <c r="L836" s="667">
        <f t="shared" ca="1" si="2511"/>
        <v>0</v>
      </c>
    </row>
    <row r="837" spans="2:12" x14ac:dyDescent="0.25">
      <c r="B837" s="665" t="str">
        <f t="shared" si="2502"/>
        <v>Warrants Series C</v>
      </c>
      <c r="C837" s="666">
        <f t="shared" ca="1" si="2502"/>
        <v>0</v>
      </c>
      <c r="D837" s="666">
        <f t="shared" ca="1" si="2503"/>
        <v>0</v>
      </c>
      <c r="E837" s="666">
        <f t="shared" ca="1" si="2504"/>
        <v>0</v>
      </c>
      <c r="F837" s="666">
        <f t="shared" ca="1" si="2505"/>
        <v>0</v>
      </c>
      <c r="G837" s="666">
        <f t="shared" ca="1" si="2506"/>
        <v>0</v>
      </c>
      <c r="H837" s="666">
        <f t="shared" ca="1" si="2507"/>
        <v>0</v>
      </c>
      <c r="I837" s="666">
        <f t="shared" ca="1" si="2508"/>
        <v>0</v>
      </c>
      <c r="J837" s="666">
        <f t="shared" ca="1" si="2509"/>
        <v>0</v>
      </c>
      <c r="K837" s="666">
        <f t="shared" ca="1" si="2510"/>
        <v>0</v>
      </c>
      <c r="L837" s="667">
        <f t="shared" ca="1" si="2511"/>
        <v>0</v>
      </c>
    </row>
    <row r="838" spans="2:12" x14ac:dyDescent="0.25">
      <c r="B838" s="665" t="str">
        <f t="shared" si="2502"/>
        <v>Warrants Series D</v>
      </c>
      <c r="C838" s="666">
        <f t="shared" ca="1" si="2502"/>
        <v>0</v>
      </c>
      <c r="D838" s="666">
        <f t="shared" ca="1" si="2503"/>
        <v>0</v>
      </c>
      <c r="E838" s="666">
        <f t="shared" ca="1" si="2504"/>
        <v>0</v>
      </c>
      <c r="F838" s="666">
        <f t="shared" ca="1" si="2505"/>
        <v>0</v>
      </c>
      <c r="G838" s="666">
        <f t="shared" ca="1" si="2506"/>
        <v>0</v>
      </c>
      <c r="H838" s="666">
        <f t="shared" ca="1" si="2507"/>
        <v>0</v>
      </c>
      <c r="I838" s="666">
        <f t="shared" ca="1" si="2508"/>
        <v>0</v>
      </c>
      <c r="J838" s="666">
        <f t="shared" ca="1" si="2509"/>
        <v>0</v>
      </c>
      <c r="K838" s="666">
        <f t="shared" ca="1" si="2510"/>
        <v>0</v>
      </c>
      <c r="L838" s="667">
        <f t="shared" ca="1" si="2511"/>
        <v>0</v>
      </c>
    </row>
    <row r="839" spans="2:12" x14ac:dyDescent="0.25">
      <c r="B839" s="665" t="str">
        <f t="shared" si="2502"/>
        <v>Warrants -</v>
      </c>
      <c r="C839" s="666">
        <f t="shared" ca="1" si="2502"/>
        <v>0</v>
      </c>
      <c r="D839" s="666">
        <f t="shared" ca="1" si="2503"/>
        <v>0</v>
      </c>
      <c r="E839" s="666">
        <f t="shared" ca="1" si="2504"/>
        <v>0</v>
      </c>
      <c r="F839" s="666">
        <f t="shared" ca="1" si="2505"/>
        <v>0</v>
      </c>
      <c r="G839" s="666">
        <f t="shared" ca="1" si="2506"/>
        <v>0</v>
      </c>
      <c r="H839" s="666">
        <f t="shared" ca="1" si="2507"/>
        <v>0</v>
      </c>
      <c r="I839" s="666">
        <f t="shared" ca="1" si="2508"/>
        <v>0</v>
      </c>
      <c r="J839" s="666">
        <f t="shared" ca="1" si="2509"/>
        <v>0</v>
      </c>
      <c r="K839" s="666">
        <f t="shared" ca="1" si="2510"/>
        <v>0</v>
      </c>
      <c r="L839" s="667">
        <f t="shared" ca="1" si="2511"/>
        <v>0</v>
      </c>
    </row>
    <row r="840" spans="2:12" x14ac:dyDescent="0.25">
      <c r="B840" s="665" t="str">
        <f t="shared" si="2502"/>
        <v>Warrants -</v>
      </c>
      <c r="C840" s="666">
        <f t="shared" ca="1" si="2502"/>
        <v>0</v>
      </c>
      <c r="D840" s="666">
        <f t="shared" ca="1" si="2503"/>
        <v>0</v>
      </c>
      <c r="E840" s="666">
        <f t="shared" ca="1" si="2504"/>
        <v>0</v>
      </c>
      <c r="F840" s="666">
        <f t="shared" ca="1" si="2505"/>
        <v>0</v>
      </c>
      <c r="G840" s="666">
        <f t="shared" ca="1" si="2506"/>
        <v>0</v>
      </c>
      <c r="H840" s="666">
        <f t="shared" ca="1" si="2507"/>
        <v>0</v>
      </c>
      <c r="I840" s="666">
        <f t="shared" ca="1" si="2508"/>
        <v>0</v>
      </c>
      <c r="J840" s="666">
        <f t="shared" ca="1" si="2509"/>
        <v>0</v>
      </c>
      <c r="K840" s="666">
        <f t="shared" ca="1" si="2510"/>
        <v>0</v>
      </c>
      <c r="L840" s="667">
        <f t="shared" ca="1" si="2511"/>
        <v>0</v>
      </c>
    </row>
    <row r="841" spans="2:12" x14ac:dyDescent="0.25">
      <c r="B841" s="665" t="str">
        <f t="shared" si="2502"/>
        <v>Warrants -</v>
      </c>
      <c r="C841" s="666">
        <f t="shared" ca="1" si="2502"/>
        <v>0</v>
      </c>
      <c r="D841" s="666">
        <f t="shared" ca="1" si="2503"/>
        <v>0</v>
      </c>
      <c r="E841" s="666">
        <f t="shared" ca="1" si="2504"/>
        <v>0</v>
      </c>
      <c r="F841" s="666">
        <f t="shared" ca="1" si="2505"/>
        <v>0</v>
      </c>
      <c r="G841" s="666">
        <f t="shared" ca="1" si="2506"/>
        <v>0</v>
      </c>
      <c r="H841" s="666">
        <f t="shared" ca="1" si="2507"/>
        <v>0</v>
      </c>
      <c r="I841" s="666">
        <f t="shared" ca="1" si="2508"/>
        <v>0</v>
      </c>
      <c r="J841" s="666">
        <f t="shared" ca="1" si="2509"/>
        <v>0</v>
      </c>
      <c r="K841" s="666">
        <f t="shared" ca="1" si="2510"/>
        <v>0</v>
      </c>
      <c r="L841" s="667">
        <f t="shared" ca="1" si="2511"/>
        <v>0</v>
      </c>
    </row>
    <row r="842" spans="2:12" x14ac:dyDescent="0.25">
      <c r="B842" s="665" t="str">
        <f t="shared" si="2502"/>
        <v>Warrants -</v>
      </c>
      <c r="C842" s="666">
        <f t="shared" ca="1" si="2502"/>
        <v>0</v>
      </c>
      <c r="D842" s="666">
        <f t="shared" ca="1" si="2503"/>
        <v>0</v>
      </c>
      <c r="E842" s="666">
        <f t="shared" ca="1" si="2504"/>
        <v>0</v>
      </c>
      <c r="F842" s="666">
        <f t="shared" ca="1" si="2505"/>
        <v>0</v>
      </c>
      <c r="G842" s="666">
        <f t="shared" ca="1" si="2506"/>
        <v>0</v>
      </c>
      <c r="H842" s="666">
        <f t="shared" ca="1" si="2507"/>
        <v>0</v>
      </c>
      <c r="I842" s="666">
        <f t="shared" ca="1" si="2508"/>
        <v>0</v>
      </c>
      <c r="J842" s="666">
        <f t="shared" ca="1" si="2509"/>
        <v>0</v>
      </c>
      <c r="K842" s="666">
        <f t="shared" ca="1" si="2510"/>
        <v>0</v>
      </c>
      <c r="L842" s="667">
        <f t="shared" ca="1" si="2511"/>
        <v>0</v>
      </c>
    </row>
    <row r="843" spans="2:12" x14ac:dyDescent="0.25">
      <c r="B843" s="665" t="str">
        <f t="shared" si="2502"/>
        <v>Warrants -</v>
      </c>
      <c r="C843" s="666">
        <f t="shared" ca="1" si="2502"/>
        <v>0</v>
      </c>
      <c r="D843" s="666">
        <f t="shared" ca="1" si="2503"/>
        <v>0</v>
      </c>
      <c r="E843" s="666">
        <f t="shared" ca="1" si="2504"/>
        <v>0</v>
      </c>
      <c r="F843" s="666">
        <f t="shared" ca="1" si="2505"/>
        <v>0</v>
      </c>
      <c r="G843" s="666">
        <f t="shared" ca="1" si="2506"/>
        <v>0</v>
      </c>
      <c r="H843" s="666">
        <f t="shared" ca="1" si="2507"/>
        <v>0</v>
      </c>
      <c r="I843" s="666">
        <f t="shared" ca="1" si="2508"/>
        <v>0</v>
      </c>
      <c r="J843" s="666">
        <f t="shared" ca="1" si="2509"/>
        <v>0</v>
      </c>
      <c r="K843" s="666">
        <f t="shared" ca="1" si="2510"/>
        <v>0</v>
      </c>
      <c r="L843" s="667">
        <f t="shared" ca="1" si="2511"/>
        <v>0</v>
      </c>
    </row>
    <row r="844" spans="2:12" x14ac:dyDescent="0.25">
      <c r="B844" s="665" t="str">
        <f t="shared" si="2502"/>
        <v>Warrants -</v>
      </c>
      <c r="C844" s="666">
        <f t="shared" ca="1" si="2502"/>
        <v>0</v>
      </c>
      <c r="D844" s="666">
        <f t="shared" ca="1" si="2503"/>
        <v>0</v>
      </c>
      <c r="E844" s="666">
        <f t="shared" ca="1" si="2504"/>
        <v>0</v>
      </c>
      <c r="F844" s="666">
        <f t="shared" ca="1" si="2505"/>
        <v>0</v>
      </c>
      <c r="G844" s="666">
        <f t="shared" ca="1" si="2506"/>
        <v>0</v>
      </c>
      <c r="H844" s="666">
        <f t="shared" ca="1" si="2507"/>
        <v>0</v>
      </c>
      <c r="I844" s="666">
        <f t="shared" ca="1" si="2508"/>
        <v>0</v>
      </c>
      <c r="J844" s="666">
        <f t="shared" ca="1" si="2509"/>
        <v>0</v>
      </c>
      <c r="K844" s="666">
        <f t="shared" ca="1" si="2510"/>
        <v>0</v>
      </c>
      <c r="L844" s="667">
        <f t="shared" ca="1" si="2511"/>
        <v>0</v>
      </c>
    </row>
    <row r="845" spans="2:12" x14ac:dyDescent="0.25">
      <c r="B845" s="665" t="str">
        <f t="shared" si="2502"/>
        <v>Common</v>
      </c>
      <c r="C845" s="666">
        <f t="shared" ca="1" si="2502"/>
        <v>0</v>
      </c>
      <c r="D845" s="666">
        <f t="shared" ca="1" si="2503"/>
        <v>0</v>
      </c>
      <c r="E845" s="666">
        <f t="shared" ca="1" si="2504"/>
        <v>0</v>
      </c>
      <c r="F845" s="666">
        <f t="shared" ca="1" si="2505"/>
        <v>0</v>
      </c>
      <c r="G845" s="666">
        <f t="shared" ca="1" si="2506"/>
        <v>0</v>
      </c>
      <c r="H845" s="666">
        <f t="shared" ca="1" si="2507"/>
        <v>0</v>
      </c>
      <c r="I845" s="666">
        <f t="shared" ca="1" si="2508"/>
        <v>0</v>
      </c>
      <c r="J845" s="666">
        <f t="shared" ca="1" si="2509"/>
        <v>0</v>
      </c>
      <c r="K845" s="666">
        <f t="shared" ca="1" si="2510"/>
        <v>0</v>
      </c>
      <c r="L845" s="667">
        <f t="shared" ca="1" si="2511"/>
        <v>0</v>
      </c>
    </row>
    <row r="846" spans="2:12" ht="15.75" thickBot="1" x14ac:dyDescent="0.3">
      <c r="B846" s="665" t="str">
        <f t="shared" si="2502"/>
        <v>Options</v>
      </c>
      <c r="C846" s="931">
        <f t="shared" ca="1" si="2502"/>
        <v>0</v>
      </c>
      <c r="D846" s="931">
        <f t="shared" ca="1" si="2503"/>
        <v>0</v>
      </c>
      <c r="E846" s="931">
        <f t="shared" ca="1" si="2504"/>
        <v>0</v>
      </c>
      <c r="F846" s="931">
        <f t="shared" ca="1" si="2505"/>
        <v>0</v>
      </c>
      <c r="G846" s="931">
        <f t="shared" ca="1" si="2506"/>
        <v>0</v>
      </c>
      <c r="H846" s="931">
        <f t="shared" ca="1" si="2507"/>
        <v>0</v>
      </c>
      <c r="I846" s="931">
        <f t="shared" ca="1" si="2508"/>
        <v>0</v>
      </c>
      <c r="J846" s="931">
        <f t="shared" ca="1" si="2509"/>
        <v>0</v>
      </c>
      <c r="K846" s="931">
        <f t="shared" ca="1" si="2510"/>
        <v>0</v>
      </c>
      <c r="L846" s="932">
        <f t="shared" ca="1" si="2511"/>
        <v>0</v>
      </c>
    </row>
    <row r="847" spans="2:12" x14ac:dyDescent="0.25">
      <c r="B847" s="894" t="s">
        <v>140</v>
      </c>
      <c r="C847" s="933">
        <f ca="1">SUM(C825:C846)</f>
        <v>0</v>
      </c>
      <c r="D847" s="933">
        <f t="shared" ref="D847:L847" ca="1" si="2512">SUM(D825:D846)</f>
        <v>0</v>
      </c>
      <c r="E847" s="933">
        <f t="shared" ca="1" si="2512"/>
        <v>0</v>
      </c>
      <c r="F847" s="933">
        <f t="shared" ca="1" si="2512"/>
        <v>0</v>
      </c>
      <c r="G847" s="933">
        <f t="shared" ca="1" si="2512"/>
        <v>0</v>
      </c>
      <c r="H847" s="933">
        <f t="shared" ca="1" si="2512"/>
        <v>0</v>
      </c>
      <c r="I847" s="933">
        <f t="shared" ca="1" si="2512"/>
        <v>0</v>
      </c>
      <c r="J847" s="933">
        <f t="shared" ca="1" si="2512"/>
        <v>0</v>
      </c>
      <c r="K847" s="933">
        <f t="shared" ca="1" si="2512"/>
        <v>0</v>
      </c>
      <c r="L847" s="934">
        <f t="shared" ca="1" si="2512"/>
        <v>0</v>
      </c>
    </row>
    <row r="848" spans="2:12" x14ac:dyDescent="0.25">
      <c r="B848" s="668"/>
      <c r="C848" s="662"/>
      <c r="L848" s="664"/>
    </row>
    <row r="849" spans="2:12" x14ac:dyDescent="0.25">
      <c r="B849" s="668"/>
      <c r="C849" s="662"/>
      <c r="L849" s="664"/>
    </row>
    <row r="850" spans="2:12" x14ac:dyDescent="0.25">
      <c r="B850" s="661" t="s">
        <v>113</v>
      </c>
      <c r="C850" s="662"/>
      <c r="L850" s="664"/>
    </row>
    <row r="851" spans="2:12" x14ac:dyDescent="0.25">
      <c r="B851" s="665" t="str">
        <f>B825</f>
        <v>Series A</v>
      </c>
      <c r="C851" s="895">
        <f ca="1">IF(SUM($F$29:$F$37)=0,0,C825/SUM($F$29:$F$37))</f>
        <v>0</v>
      </c>
      <c r="D851" s="895">
        <f t="shared" ref="D851:K851" ca="1" si="2513">IF(SUM($F$29:$F$37)=0,0,D825/SUM($F$29:$F$37))</f>
        <v>0</v>
      </c>
      <c r="E851" s="895">
        <f t="shared" ca="1" si="2513"/>
        <v>0</v>
      </c>
      <c r="F851" s="895">
        <f t="shared" ca="1" si="2513"/>
        <v>0</v>
      </c>
      <c r="G851" s="895">
        <f t="shared" ca="1" si="2513"/>
        <v>0</v>
      </c>
      <c r="H851" s="895">
        <f t="shared" ca="1" si="2513"/>
        <v>0</v>
      </c>
      <c r="I851" s="895">
        <f t="shared" ca="1" si="2513"/>
        <v>0</v>
      </c>
      <c r="J851" s="895">
        <f t="shared" ca="1" si="2513"/>
        <v>0</v>
      </c>
      <c r="K851" s="895">
        <f t="shared" ca="1" si="2513"/>
        <v>0</v>
      </c>
      <c r="L851" s="906">
        <f ca="1">IF(SUM($F$29:$F$37)=0,0,L825/SUM($F$29:$F$37))</f>
        <v>0</v>
      </c>
    </row>
    <row r="852" spans="2:12" x14ac:dyDescent="0.25">
      <c r="B852" s="665" t="str">
        <f t="shared" ref="B852:B870" si="2514">B826</f>
        <v>Series B</v>
      </c>
      <c r="C852" s="895">
        <f ca="1">IF(SUM($G$29:$G$37)=0,0,C826/SUM($G$29:$G$37))</f>
        <v>0</v>
      </c>
      <c r="D852" s="895">
        <f t="shared" ref="D852:L852" ca="1" si="2515">IF(SUM($G$29:$G$37)=0,0,D826/SUM($G$29:$G$37))</f>
        <v>0</v>
      </c>
      <c r="E852" s="895">
        <f t="shared" ca="1" si="2515"/>
        <v>0</v>
      </c>
      <c r="F852" s="895">
        <f t="shared" ca="1" si="2515"/>
        <v>0</v>
      </c>
      <c r="G852" s="895">
        <f t="shared" ca="1" si="2515"/>
        <v>0</v>
      </c>
      <c r="H852" s="895">
        <f t="shared" ca="1" si="2515"/>
        <v>0</v>
      </c>
      <c r="I852" s="895">
        <f t="shared" ca="1" si="2515"/>
        <v>0</v>
      </c>
      <c r="J852" s="895">
        <f t="shared" ca="1" si="2515"/>
        <v>0</v>
      </c>
      <c r="K852" s="895">
        <f t="shared" ca="1" si="2515"/>
        <v>0</v>
      </c>
      <c r="L852" s="906">
        <f t="shared" ca="1" si="2515"/>
        <v>0</v>
      </c>
    </row>
    <row r="853" spans="2:12" x14ac:dyDescent="0.25">
      <c r="B853" s="665" t="str">
        <f t="shared" si="2514"/>
        <v>Series C</v>
      </c>
      <c r="C853" s="895">
        <f ca="1">IF(SUM($H$29:$H$37)=0,0,C827/SUM($H$29:$H$37))</f>
        <v>0</v>
      </c>
      <c r="D853" s="895">
        <f t="shared" ref="D853:L853" ca="1" si="2516">IF(SUM($H$29:$H$37)=0,0,D827/SUM($H$29:$H$37))</f>
        <v>0</v>
      </c>
      <c r="E853" s="895">
        <f t="shared" ca="1" si="2516"/>
        <v>0</v>
      </c>
      <c r="F853" s="895">
        <f t="shared" ca="1" si="2516"/>
        <v>0</v>
      </c>
      <c r="G853" s="895">
        <f t="shared" ca="1" si="2516"/>
        <v>0</v>
      </c>
      <c r="H853" s="895">
        <f t="shared" ca="1" si="2516"/>
        <v>0</v>
      </c>
      <c r="I853" s="895">
        <f t="shared" ca="1" si="2516"/>
        <v>0</v>
      </c>
      <c r="J853" s="895">
        <f t="shared" ca="1" si="2516"/>
        <v>0</v>
      </c>
      <c r="K853" s="895">
        <f t="shared" ca="1" si="2516"/>
        <v>0</v>
      </c>
      <c r="L853" s="906">
        <f t="shared" ca="1" si="2516"/>
        <v>0</v>
      </c>
    </row>
    <row r="854" spans="2:12" x14ac:dyDescent="0.25">
      <c r="B854" s="665" t="str">
        <f t="shared" si="2514"/>
        <v>Series D</v>
      </c>
      <c r="C854" s="895">
        <f ca="1">IF(SUM($I$29:$I$37)=0,0,C828/SUM($I$29:$I$37))</f>
        <v>0</v>
      </c>
      <c r="D854" s="895">
        <f t="shared" ref="D854:L854" ca="1" si="2517">IF(SUM($I$29:$I$37)=0,0,D828/SUM($I$29:$I$37))</f>
        <v>0</v>
      </c>
      <c r="E854" s="895">
        <f t="shared" ca="1" si="2517"/>
        <v>0</v>
      </c>
      <c r="F854" s="895">
        <f t="shared" ca="1" si="2517"/>
        <v>0</v>
      </c>
      <c r="G854" s="895">
        <f t="shared" ca="1" si="2517"/>
        <v>0</v>
      </c>
      <c r="H854" s="895">
        <f t="shared" ca="1" si="2517"/>
        <v>0</v>
      </c>
      <c r="I854" s="895">
        <f t="shared" ca="1" si="2517"/>
        <v>0</v>
      </c>
      <c r="J854" s="895">
        <f t="shared" ca="1" si="2517"/>
        <v>0</v>
      </c>
      <c r="K854" s="895">
        <f t="shared" ca="1" si="2517"/>
        <v>0</v>
      </c>
      <c r="L854" s="906">
        <f t="shared" ca="1" si="2517"/>
        <v>0</v>
      </c>
    </row>
    <row r="855" spans="2:12" x14ac:dyDescent="0.25">
      <c r="B855" s="665" t="str">
        <f t="shared" si="2514"/>
        <v>-</v>
      </c>
      <c r="C855" s="895">
        <f>IF(SUM($J$29:$J$37)=0,0,C829/SUM($J$29:$J$37))</f>
        <v>0</v>
      </c>
      <c r="D855" s="895">
        <f t="shared" ref="D855:L855" si="2518">IF(SUM($J$29:$J$37)=0,0,D829/SUM($J$29:$J$37))</f>
        <v>0</v>
      </c>
      <c r="E855" s="895">
        <f t="shared" si="2518"/>
        <v>0</v>
      </c>
      <c r="F855" s="895">
        <f t="shared" si="2518"/>
        <v>0</v>
      </c>
      <c r="G855" s="895">
        <f t="shared" si="2518"/>
        <v>0</v>
      </c>
      <c r="H855" s="895">
        <f t="shared" si="2518"/>
        <v>0</v>
      </c>
      <c r="I855" s="895">
        <f t="shared" si="2518"/>
        <v>0</v>
      </c>
      <c r="J855" s="895">
        <f t="shared" si="2518"/>
        <v>0</v>
      </c>
      <c r="K855" s="895">
        <f t="shared" si="2518"/>
        <v>0</v>
      </c>
      <c r="L855" s="906">
        <f t="shared" si="2518"/>
        <v>0</v>
      </c>
    </row>
    <row r="856" spans="2:12" x14ac:dyDescent="0.25">
      <c r="B856" s="665" t="str">
        <f t="shared" si="2514"/>
        <v>-</v>
      </c>
      <c r="C856" s="895">
        <f>IF(SUM($K$29:$K$37)=0,0,C830/SUM($K$29:$K$37))</f>
        <v>0</v>
      </c>
      <c r="D856" s="895">
        <f t="shared" ref="D856:L856" si="2519">IF(SUM($K$29:$K$37)=0,0,D830/SUM($K$29:$K$37))</f>
        <v>0</v>
      </c>
      <c r="E856" s="895">
        <f t="shared" si="2519"/>
        <v>0</v>
      </c>
      <c r="F856" s="895">
        <f t="shared" si="2519"/>
        <v>0</v>
      </c>
      <c r="G856" s="895">
        <f t="shared" si="2519"/>
        <v>0</v>
      </c>
      <c r="H856" s="895">
        <f t="shared" si="2519"/>
        <v>0</v>
      </c>
      <c r="I856" s="895">
        <f t="shared" si="2519"/>
        <v>0</v>
      </c>
      <c r="J856" s="895">
        <f t="shared" si="2519"/>
        <v>0</v>
      </c>
      <c r="K856" s="895">
        <f t="shared" si="2519"/>
        <v>0</v>
      </c>
      <c r="L856" s="906">
        <f t="shared" si="2519"/>
        <v>0</v>
      </c>
    </row>
    <row r="857" spans="2:12" x14ac:dyDescent="0.25">
      <c r="B857" s="665" t="str">
        <f t="shared" si="2514"/>
        <v>-</v>
      </c>
      <c r="C857" s="895">
        <f>IF(SUM($L$29:$L$37)=0,0,C831/SUM($L$29:$L$37))</f>
        <v>0</v>
      </c>
      <c r="D857" s="895">
        <f t="shared" ref="D857:L857" si="2520">IF(SUM($L$29:$L$37)=0,0,D831/SUM($L$29:$L$37))</f>
        <v>0</v>
      </c>
      <c r="E857" s="895">
        <f t="shared" si="2520"/>
        <v>0</v>
      </c>
      <c r="F857" s="895">
        <f t="shared" si="2520"/>
        <v>0</v>
      </c>
      <c r="G857" s="895">
        <f t="shared" si="2520"/>
        <v>0</v>
      </c>
      <c r="H857" s="895">
        <f t="shared" si="2520"/>
        <v>0</v>
      </c>
      <c r="I857" s="895">
        <f t="shared" si="2520"/>
        <v>0</v>
      </c>
      <c r="J857" s="895">
        <f t="shared" si="2520"/>
        <v>0</v>
      </c>
      <c r="K857" s="895">
        <f t="shared" si="2520"/>
        <v>0</v>
      </c>
      <c r="L857" s="906">
        <f t="shared" si="2520"/>
        <v>0</v>
      </c>
    </row>
    <row r="858" spans="2:12" x14ac:dyDescent="0.25">
      <c r="B858" s="665" t="str">
        <f t="shared" si="2514"/>
        <v>-</v>
      </c>
      <c r="C858" s="895">
        <f>IF(SUM($M$29:$M$37)=0,0,C832/SUM($M$29:$M$37))</f>
        <v>0</v>
      </c>
      <c r="D858" s="895">
        <f t="shared" ref="D858:L858" si="2521">IF(SUM($M$29:$M$37)=0,0,D832/SUM($M$29:$M$37))</f>
        <v>0</v>
      </c>
      <c r="E858" s="895">
        <f t="shared" si="2521"/>
        <v>0</v>
      </c>
      <c r="F858" s="895">
        <f t="shared" si="2521"/>
        <v>0</v>
      </c>
      <c r="G858" s="895">
        <f t="shared" si="2521"/>
        <v>0</v>
      </c>
      <c r="H858" s="895">
        <f t="shared" si="2521"/>
        <v>0</v>
      </c>
      <c r="I858" s="895">
        <f t="shared" si="2521"/>
        <v>0</v>
      </c>
      <c r="J858" s="895">
        <f t="shared" si="2521"/>
        <v>0</v>
      </c>
      <c r="K858" s="895">
        <f t="shared" si="2521"/>
        <v>0</v>
      </c>
      <c r="L858" s="906">
        <f t="shared" si="2521"/>
        <v>0</v>
      </c>
    </row>
    <row r="859" spans="2:12" x14ac:dyDescent="0.25">
      <c r="B859" s="665" t="str">
        <f t="shared" si="2514"/>
        <v>-</v>
      </c>
      <c r="C859" s="895">
        <f>IF(SUM($N$29:$N$37)=0,0,C833/SUM($N$29:$N$37))</f>
        <v>0</v>
      </c>
      <c r="D859" s="895">
        <f t="shared" ref="D859:L859" si="2522">IF(SUM($N$29:$N$37)=0,0,D833/SUM($N$29:$N$37))</f>
        <v>0</v>
      </c>
      <c r="E859" s="895">
        <f t="shared" si="2522"/>
        <v>0</v>
      </c>
      <c r="F859" s="895">
        <f t="shared" si="2522"/>
        <v>0</v>
      </c>
      <c r="G859" s="895">
        <f t="shared" si="2522"/>
        <v>0</v>
      </c>
      <c r="H859" s="895">
        <f t="shared" si="2522"/>
        <v>0</v>
      </c>
      <c r="I859" s="895">
        <f t="shared" si="2522"/>
        <v>0</v>
      </c>
      <c r="J859" s="895">
        <f t="shared" si="2522"/>
        <v>0</v>
      </c>
      <c r="K859" s="895">
        <f t="shared" si="2522"/>
        <v>0</v>
      </c>
      <c r="L859" s="906">
        <f t="shared" si="2522"/>
        <v>0</v>
      </c>
    </row>
    <row r="860" spans="2:12" x14ac:dyDescent="0.25">
      <c r="B860" s="665" t="str">
        <f t="shared" si="2514"/>
        <v>-</v>
      </c>
      <c r="C860" s="895">
        <f>IF(SUM($O$29:$O$37)=0,0,C834/SUM($O$29:$O$37))</f>
        <v>0</v>
      </c>
      <c r="D860" s="895">
        <f t="shared" ref="D860:L860" si="2523">IF(SUM($O$29:$O$37)=0,0,D834/SUM($O$29:$O$37))</f>
        <v>0</v>
      </c>
      <c r="E860" s="895">
        <f t="shared" si="2523"/>
        <v>0</v>
      </c>
      <c r="F860" s="895">
        <f t="shared" si="2523"/>
        <v>0</v>
      </c>
      <c r="G860" s="895">
        <f t="shared" si="2523"/>
        <v>0</v>
      </c>
      <c r="H860" s="895">
        <f t="shared" si="2523"/>
        <v>0</v>
      </c>
      <c r="I860" s="895">
        <f t="shared" si="2523"/>
        <v>0</v>
      </c>
      <c r="J860" s="895">
        <f t="shared" si="2523"/>
        <v>0</v>
      </c>
      <c r="K860" s="895">
        <f t="shared" si="2523"/>
        <v>0</v>
      </c>
      <c r="L860" s="906">
        <f t="shared" si="2523"/>
        <v>0</v>
      </c>
    </row>
    <row r="861" spans="2:12" x14ac:dyDescent="0.25">
      <c r="B861" s="665" t="str">
        <f t="shared" si="2514"/>
        <v>Warrants Series A</v>
      </c>
      <c r="C861" s="895">
        <f ca="1">IF($F$38=0,0,C835/$F$38)</f>
        <v>0</v>
      </c>
      <c r="D861" s="895">
        <f t="shared" ref="D861:L861" ca="1" si="2524">IF($F$38=0,0,D835/$F$38)</f>
        <v>0</v>
      </c>
      <c r="E861" s="895">
        <f t="shared" ca="1" si="2524"/>
        <v>0</v>
      </c>
      <c r="F861" s="895">
        <f ca="1">IF($F$38=0,0,F835/$F$38)</f>
        <v>0</v>
      </c>
      <c r="G861" s="895">
        <f t="shared" ca="1" si="2524"/>
        <v>0</v>
      </c>
      <c r="H861" s="895">
        <f t="shared" ca="1" si="2524"/>
        <v>0</v>
      </c>
      <c r="I861" s="895">
        <f t="shared" ca="1" si="2524"/>
        <v>0</v>
      </c>
      <c r="J861" s="895">
        <f t="shared" ca="1" si="2524"/>
        <v>0</v>
      </c>
      <c r="K861" s="895">
        <f t="shared" ca="1" si="2524"/>
        <v>0</v>
      </c>
      <c r="L861" s="906">
        <f t="shared" ca="1" si="2524"/>
        <v>0</v>
      </c>
    </row>
    <row r="862" spans="2:12" x14ac:dyDescent="0.25">
      <c r="B862" s="665" t="str">
        <f t="shared" si="2514"/>
        <v>Warrants Series B</v>
      </c>
      <c r="C862" s="895">
        <f ca="1">IF($G$38=0,0,C836/$G$38)</f>
        <v>0</v>
      </c>
      <c r="D862" s="895">
        <f t="shared" ref="D862:L862" ca="1" si="2525">IF($G$38=0,0,D836/$G$38)</f>
        <v>0</v>
      </c>
      <c r="E862" s="895">
        <f t="shared" ca="1" si="2525"/>
        <v>0</v>
      </c>
      <c r="F862" s="895">
        <f t="shared" ca="1" si="2525"/>
        <v>0</v>
      </c>
      <c r="G862" s="895">
        <f t="shared" ca="1" si="2525"/>
        <v>0</v>
      </c>
      <c r="H862" s="895">
        <f t="shared" ca="1" si="2525"/>
        <v>0</v>
      </c>
      <c r="I862" s="895">
        <f t="shared" ca="1" si="2525"/>
        <v>0</v>
      </c>
      <c r="J862" s="895">
        <f t="shared" ca="1" si="2525"/>
        <v>0</v>
      </c>
      <c r="K862" s="895">
        <f t="shared" ca="1" si="2525"/>
        <v>0</v>
      </c>
      <c r="L862" s="906">
        <f t="shared" ca="1" si="2525"/>
        <v>0</v>
      </c>
    </row>
    <row r="863" spans="2:12" x14ac:dyDescent="0.25">
      <c r="B863" s="665" t="str">
        <f t="shared" si="2514"/>
        <v>Warrants Series C</v>
      </c>
      <c r="C863" s="895">
        <f ca="1">IF($H$38=0,0,C837/$H$38)</f>
        <v>0</v>
      </c>
      <c r="D863" s="895">
        <f t="shared" ref="D863:L863" ca="1" si="2526">IF($H$38=0,0,D837/$H$38)</f>
        <v>0</v>
      </c>
      <c r="E863" s="895">
        <f t="shared" ca="1" si="2526"/>
        <v>0</v>
      </c>
      <c r="F863" s="895">
        <f t="shared" ca="1" si="2526"/>
        <v>0</v>
      </c>
      <c r="G863" s="895">
        <f t="shared" ca="1" si="2526"/>
        <v>0</v>
      </c>
      <c r="H863" s="895">
        <f t="shared" ca="1" si="2526"/>
        <v>0</v>
      </c>
      <c r="I863" s="895">
        <f t="shared" ca="1" si="2526"/>
        <v>0</v>
      </c>
      <c r="J863" s="895">
        <f t="shared" ca="1" si="2526"/>
        <v>0</v>
      </c>
      <c r="K863" s="895">
        <f t="shared" ca="1" si="2526"/>
        <v>0</v>
      </c>
      <c r="L863" s="906">
        <f t="shared" ca="1" si="2526"/>
        <v>0</v>
      </c>
    </row>
    <row r="864" spans="2:12" x14ac:dyDescent="0.25">
      <c r="B864" s="665" t="str">
        <f t="shared" si="2514"/>
        <v>Warrants Series D</v>
      </c>
      <c r="C864" s="895">
        <f ca="1">IF($I$38=0,0,C838/$I$38)</f>
        <v>0</v>
      </c>
      <c r="D864" s="895">
        <f t="shared" ref="D864:L864" ca="1" si="2527">IF($I$38=0,0,D838/$I$38)</f>
        <v>0</v>
      </c>
      <c r="E864" s="895">
        <f t="shared" ca="1" si="2527"/>
        <v>0</v>
      </c>
      <c r="F864" s="895">
        <f t="shared" ca="1" si="2527"/>
        <v>0</v>
      </c>
      <c r="G864" s="895">
        <f t="shared" ca="1" si="2527"/>
        <v>0</v>
      </c>
      <c r="H864" s="895">
        <f t="shared" ca="1" si="2527"/>
        <v>0</v>
      </c>
      <c r="I864" s="895">
        <f t="shared" ca="1" si="2527"/>
        <v>0</v>
      </c>
      <c r="J864" s="895">
        <f t="shared" ca="1" si="2527"/>
        <v>0</v>
      </c>
      <c r="K864" s="895">
        <f t="shared" ca="1" si="2527"/>
        <v>0</v>
      </c>
      <c r="L864" s="906">
        <f t="shared" ca="1" si="2527"/>
        <v>0</v>
      </c>
    </row>
    <row r="865" spans="2:40" x14ac:dyDescent="0.25">
      <c r="B865" s="665" t="str">
        <f t="shared" si="2514"/>
        <v>Warrants -</v>
      </c>
      <c r="C865" s="895">
        <f>IF($J$38=0,0,C839/$J$38)</f>
        <v>0</v>
      </c>
      <c r="D865" s="895">
        <f t="shared" ref="D865:L865" si="2528">IF($J$38=0,0,D839/$J$38)</f>
        <v>0</v>
      </c>
      <c r="E865" s="895">
        <f t="shared" si="2528"/>
        <v>0</v>
      </c>
      <c r="F865" s="895">
        <f t="shared" si="2528"/>
        <v>0</v>
      </c>
      <c r="G865" s="895">
        <f t="shared" si="2528"/>
        <v>0</v>
      </c>
      <c r="H865" s="895">
        <f t="shared" si="2528"/>
        <v>0</v>
      </c>
      <c r="I865" s="895">
        <f t="shared" si="2528"/>
        <v>0</v>
      </c>
      <c r="J865" s="895">
        <f t="shared" si="2528"/>
        <v>0</v>
      </c>
      <c r="K865" s="895">
        <f t="shared" si="2528"/>
        <v>0</v>
      </c>
      <c r="L865" s="906">
        <f t="shared" si="2528"/>
        <v>0</v>
      </c>
    </row>
    <row r="866" spans="2:40" x14ac:dyDescent="0.25">
      <c r="B866" s="665" t="str">
        <f t="shared" si="2514"/>
        <v>Warrants -</v>
      </c>
      <c r="C866" s="895">
        <f>IF($K$38=0,0,C840/$K$38)</f>
        <v>0</v>
      </c>
      <c r="D866" s="895">
        <f t="shared" ref="D866:L866" si="2529">IF($K$38=0,0,D840/$K$38)</f>
        <v>0</v>
      </c>
      <c r="E866" s="895">
        <f t="shared" si="2529"/>
        <v>0</v>
      </c>
      <c r="F866" s="895">
        <f t="shared" si="2529"/>
        <v>0</v>
      </c>
      <c r="G866" s="895">
        <f t="shared" si="2529"/>
        <v>0</v>
      </c>
      <c r="H866" s="895">
        <f t="shared" si="2529"/>
        <v>0</v>
      </c>
      <c r="I866" s="895">
        <f t="shared" si="2529"/>
        <v>0</v>
      </c>
      <c r="J866" s="895">
        <f t="shared" si="2529"/>
        <v>0</v>
      </c>
      <c r="K866" s="895">
        <f t="shared" si="2529"/>
        <v>0</v>
      </c>
      <c r="L866" s="906">
        <f t="shared" si="2529"/>
        <v>0</v>
      </c>
    </row>
    <row r="867" spans="2:40" x14ac:dyDescent="0.25">
      <c r="B867" s="665" t="str">
        <f t="shared" si="2514"/>
        <v>Warrants -</v>
      </c>
      <c r="C867" s="895">
        <f>IF($L$38=0,0,C841/$L$38)</f>
        <v>0</v>
      </c>
      <c r="D867" s="895">
        <f t="shared" ref="D867:L867" si="2530">IF($L$38=0,0,D841/$L$38)</f>
        <v>0</v>
      </c>
      <c r="E867" s="895">
        <f t="shared" si="2530"/>
        <v>0</v>
      </c>
      <c r="F867" s="895">
        <f t="shared" si="2530"/>
        <v>0</v>
      </c>
      <c r="G867" s="895">
        <f t="shared" si="2530"/>
        <v>0</v>
      </c>
      <c r="H867" s="895">
        <f t="shared" si="2530"/>
        <v>0</v>
      </c>
      <c r="I867" s="895">
        <f t="shared" si="2530"/>
        <v>0</v>
      </c>
      <c r="J867" s="895">
        <f t="shared" si="2530"/>
        <v>0</v>
      </c>
      <c r="K867" s="895">
        <f t="shared" si="2530"/>
        <v>0</v>
      </c>
      <c r="L867" s="906">
        <f t="shared" si="2530"/>
        <v>0</v>
      </c>
    </row>
    <row r="868" spans="2:40" x14ac:dyDescent="0.25">
      <c r="B868" s="665" t="str">
        <f t="shared" si="2514"/>
        <v>Warrants -</v>
      </c>
      <c r="C868" s="895">
        <f>IF($M$38=0,0,C842/$M$38)</f>
        <v>0</v>
      </c>
      <c r="D868" s="895">
        <f t="shared" ref="D868:L868" si="2531">IF($M$38=0,0,D842/$M$38)</f>
        <v>0</v>
      </c>
      <c r="E868" s="895">
        <f t="shared" si="2531"/>
        <v>0</v>
      </c>
      <c r="F868" s="895">
        <f t="shared" si="2531"/>
        <v>0</v>
      </c>
      <c r="G868" s="895">
        <f t="shared" si="2531"/>
        <v>0</v>
      </c>
      <c r="H868" s="895">
        <f t="shared" si="2531"/>
        <v>0</v>
      </c>
      <c r="I868" s="895">
        <f t="shared" si="2531"/>
        <v>0</v>
      </c>
      <c r="J868" s="895">
        <f t="shared" si="2531"/>
        <v>0</v>
      </c>
      <c r="K868" s="895">
        <f t="shared" si="2531"/>
        <v>0</v>
      </c>
      <c r="L868" s="906">
        <f t="shared" si="2531"/>
        <v>0</v>
      </c>
    </row>
    <row r="869" spans="2:40" x14ac:dyDescent="0.25">
      <c r="B869" s="665" t="str">
        <f t="shared" si="2514"/>
        <v>Warrants -</v>
      </c>
      <c r="C869" s="895">
        <f>IF($N$38=0,0,C843/$N$38)</f>
        <v>0</v>
      </c>
      <c r="D869" s="895">
        <f t="shared" ref="D869:L869" si="2532">IF($N$38=0,0,D843/$N$38)</f>
        <v>0</v>
      </c>
      <c r="E869" s="895">
        <f t="shared" si="2532"/>
        <v>0</v>
      </c>
      <c r="F869" s="895">
        <f t="shared" si="2532"/>
        <v>0</v>
      </c>
      <c r="G869" s="895">
        <f t="shared" si="2532"/>
        <v>0</v>
      </c>
      <c r="H869" s="895">
        <f t="shared" si="2532"/>
        <v>0</v>
      </c>
      <c r="I869" s="895">
        <f t="shared" si="2532"/>
        <v>0</v>
      </c>
      <c r="J869" s="895">
        <f t="shared" si="2532"/>
        <v>0</v>
      </c>
      <c r="K869" s="895">
        <f t="shared" si="2532"/>
        <v>0</v>
      </c>
      <c r="L869" s="906">
        <f t="shared" si="2532"/>
        <v>0</v>
      </c>
    </row>
    <row r="870" spans="2:40" x14ac:dyDescent="0.25">
      <c r="B870" s="665" t="str">
        <f t="shared" si="2514"/>
        <v>Warrants -</v>
      </c>
      <c r="C870" s="895">
        <f>IF($O$38=0,0,C844/$O$38)</f>
        <v>0</v>
      </c>
      <c r="D870" s="895">
        <f t="shared" ref="D870:L870" si="2533">IF($O$38=0,0,D844/$O$38)</f>
        <v>0</v>
      </c>
      <c r="E870" s="895">
        <f t="shared" si="2533"/>
        <v>0</v>
      </c>
      <c r="F870" s="895">
        <f t="shared" si="2533"/>
        <v>0</v>
      </c>
      <c r="G870" s="895">
        <f t="shared" si="2533"/>
        <v>0</v>
      </c>
      <c r="H870" s="895">
        <f t="shared" si="2533"/>
        <v>0</v>
      </c>
      <c r="I870" s="895">
        <f t="shared" si="2533"/>
        <v>0</v>
      </c>
      <c r="J870" s="895">
        <f t="shared" si="2533"/>
        <v>0</v>
      </c>
      <c r="K870" s="895">
        <f t="shared" si="2533"/>
        <v>0</v>
      </c>
      <c r="L870" s="906">
        <f t="shared" si="2533"/>
        <v>0</v>
      </c>
    </row>
    <row r="871" spans="2:40" x14ac:dyDescent="0.25">
      <c r="B871" s="665"/>
      <c r="C871" s="666"/>
      <c r="D871" s="881"/>
      <c r="E871" s="881"/>
      <c r="F871" s="881"/>
      <c r="G871" s="881"/>
      <c r="H871" s="881"/>
      <c r="I871" s="881"/>
      <c r="J871" s="881"/>
      <c r="K871" s="881"/>
      <c r="L871" s="945"/>
    </row>
    <row r="872" spans="2:40" x14ac:dyDescent="0.25">
      <c r="B872" s="907"/>
      <c r="C872" s="908"/>
      <c r="D872" s="881"/>
      <c r="E872" s="881"/>
      <c r="F872" s="881"/>
      <c r="G872" s="881"/>
      <c r="H872" s="881"/>
      <c r="I872" s="881"/>
      <c r="J872" s="881"/>
      <c r="K872" s="881"/>
      <c r="L872" s="945"/>
    </row>
    <row r="873" spans="2:40" outlineLevel="1" x14ac:dyDescent="0.25">
      <c r="B873" s="661" t="str">
        <f>CONCATENATE(B202," Gross Return Analysis")</f>
        <v>HTGC Gross Return Analysis</v>
      </c>
      <c r="C873" s="666"/>
      <c r="D873" s="881"/>
      <c r="E873" s="881"/>
      <c r="F873" s="881"/>
      <c r="G873" s="881"/>
      <c r="H873" s="881"/>
      <c r="I873" s="881"/>
      <c r="J873" s="881"/>
      <c r="K873" s="881"/>
      <c r="L873" s="945"/>
    </row>
    <row r="874" spans="2:40" outlineLevel="1" x14ac:dyDescent="0.25">
      <c r="B874" s="668" t="s">
        <v>114</v>
      </c>
      <c r="C874" s="666">
        <f ca="1">C227</f>
        <v>0</v>
      </c>
      <c r="D874" s="666">
        <f ca="1">O227</f>
        <v>0</v>
      </c>
      <c r="E874" s="666">
        <f ca="1">AA227</f>
        <v>0</v>
      </c>
      <c r="F874" s="666">
        <f ca="1">AM227</f>
        <v>0</v>
      </c>
      <c r="G874" s="666">
        <f ca="1">AY227</f>
        <v>0</v>
      </c>
      <c r="H874" s="666">
        <f ca="1">BK227</f>
        <v>0</v>
      </c>
      <c r="I874" s="666">
        <f ca="1">BW227</f>
        <v>0</v>
      </c>
      <c r="J874" s="666">
        <f ca="1">CI227</f>
        <v>0</v>
      </c>
      <c r="K874" s="666">
        <f ca="1">CU227</f>
        <v>0</v>
      </c>
      <c r="L874" s="667">
        <f ca="1">DG227</f>
        <v>0</v>
      </c>
      <c r="U874" s="663"/>
      <c r="Z874" s="663"/>
      <c r="AA874" s="663"/>
      <c r="AB874" s="663"/>
      <c r="AC874" s="663"/>
      <c r="AD874" s="663"/>
      <c r="AE874" s="663"/>
      <c r="AF874" s="663"/>
      <c r="AG874" s="663"/>
      <c r="AH874" s="663"/>
      <c r="AI874" s="663"/>
      <c r="AJ874" s="663"/>
      <c r="AK874" s="663"/>
      <c r="AL874" s="663"/>
      <c r="AM874" s="663"/>
      <c r="AN874" s="663"/>
    </row>
    <row r="875" spans="2:40" outlineLevel="1" x14ac:dyDescent="0.25">
      <c r="B875" s="668" t="s">
        <v>115</v>
      </c>
      <c r="C875" s="895">
        <f ca="1">C228</f>
        <v>0</v>
      </c>
      <c r="D875" s="895">
        <f ca="1">O228</f>
        <v>0</v>
      </c>
      <c r="E875" s="895">
        <f ca="1">AA228</f>
        <v>0</v>
      </c>
      <c r="F875" s="895">
        <f ca="1">AM228</f>
        <v>0</v>
      </c>
      <c r="G875" s="895">
        <f ca="1">AY228</f>
        <v>0</v>
      </c>
      <c r="H875" s="895">
        <f ca="1">BK228</f>
        <v>0</v>
      </c>
      <c r="I875" s="895">
        <f ca="1">BW228</f>
        <v>0</v>
      </c>
      <c r="J875" s="895">
        <f ca="1">CI228</f>
        <v>0</v>
      </c>
      <c r="K875" s="895">
        <f ca="1">CU228</f>
        <v>0</v>
      </c>
      <c r="L875" s="906">
        <f ca="1">DG228</f>
        <v>0</v>
      </c>
      <c r="U875" s="663"/>
      <c r="Z875" s="663"/>
      <c r="AA875" s="663"/>
      <c r="AB875" s="663"/>
      <c r="AC875" s="663"/>
      <c r="AD875" s="663"/>
      <c r="AE875" s="663"/>
      <c r="AF875" s="663"/>
      <c r="AG875" s="663"/>
      <c r="AH875" s="663"/>
      <c r="AI875" s="663"/>
      <c r="AJ875" s="663"/>
      <c r="AK875" s="663"/>
      <c r="AL875" s="663"/>
      <c r="AM875" s="663"/>
      <c r="AN875" s="663"/>
    </row>
    <row r="876" spans="2:40" outlineLevel="1" x14ac:dyDescent="0.25">
      <c r="B876" s="668" t="str">
        <f>CONCATENATE("IRR in ", TEXT((C55-O5)/365*12,0)," months (",TEXT(C55,"mm/yy"),")")</f>
        <v>IRR in 38 months (03/12)</v>
      </c>
      <c r="C876" s="888" t="e">
        <f ca="1">C240</f>
        <v>#NUM!</v>
      </c>
      <c r="D876" s="888" t="e">
        <f ca="1">O240</f>
        <v>#NUM!</v>
      </c>
      <c r="E876" s="888" t="e">
        <f ca="1">AA240</f>
        <v>#NUM!</v>
      </c>
      <c r="F876" s="888" t="e">
        <f ca="1">AM240</f>
        <v>#NUM!</v>
      </c>
      <c r="G876" s="888" t="e">
        <f ca="1">AY240</f>
        <v>#NUM!</v>
      </c>
      <c r="H876" s="888" t="e">
        <f ca="1">BK240</f>
        <v>#NUM!</v>
      </c>
      <c r="I876" s="888" t="e">
        <f ca="1">BW240</f>
        <v>#NUM!</v>
      </c>
      <c r="J876" s="888" t="e">
        <f ca="1">CI240</f>
        <v>#NUM!</v>
      </c>
      <c r="K876" s="888" t="e">
        <f ca="1">CU240</f>
        <v>#NUM!</v>
      </c>
      <c r="L876" s="909" t="e">
        <f ca="1">DG240</f>
        <v>#NUM!</v>
      </c>
      <c r="U876" s="663"/>
      <c r="Z876" s="663"/>
      <c r="AA876" s="663"/>
      <c r="AB876" s="663"/>
      <c r="AC876" s="663"/>
      <c r="AD876" s="663"/>
      <c r="AE876" s="663"/>
      <c r="AF876" s="663"/>
      <c r="AG876" s="663"/>
      <c r="AH876" s="663"/>
      <c r="AI876" s="663"/>
      <c r="AJ876" s="663"/>
      <c r="AK876" s="663"/>
      <c r="AL876" s="663"/>
      <c r="AM876" s="663"/>
      <c r="AN876" s="663"/>
    </row>
    <row r="877" spans="2:40" outlineLevel="1" x14ac:dyDescent="0.25">
      <c r="B877" s="668" t="str">
        <f>CONCATENATE("IRR in ", TEXT((C55-O5+C56)/365*12,0)," months (",TEXT(C55+C56,"mm/yy"),")")</f>
        <v>IRR in 44 months (09/12)</v>
      </c>
      <c r="C877" s="888" t="e">
        <f ca="1">+C255</f>
        <v>#NUM!</v>
      </c>
      <c r="D877" s="888" t="e">
        <f ca="1">+O255</f>
        <v>#NUM!</v>
      </c>
      <c r="E877" s="888" t="e">
        <f ca="1">+AA255</f>
        <v>#NUM!</v>
      </c>
      <c r="F877" s="888" t="e">
        <f ca="1">+AM255</f>
        <v>#NUM!</v>
      </c>
      <c r="G877" s="888" t="e">
        <f ca="1">+AY255</f>
        <v>#NUM!</v>
      </c>
      <c r="H877" s="888" t="e">
        <f ca="1">+BK255</f>
        <v>#NUM!</v>
      </c>
      <c r="I877" s="888" t="e">
        <f ca="1">+BW255</f>
        <v>#NUM!</v>
      </c>
      <c r="J877" s="888" t="e">
        <f ca="1">+CI255</f>
        <v>#NUM!</v>
      </c>
      <c r="K877" s="888" t="e">
        <f ca="1">+CU255</f>
        <v>#NUM!</v>
      </c>
      <c r="L877" s="909" t="e">
        <f ca="1">+DG255</f>
        <v>#NUM!</v>
      </c>
      <c r="U877" s="663"/>
      <c r="Z877" s="663"/>
      <c r="AA877" s="663"/>
      <c r="AB877" s="663"/>
      <c r="AC877" s="663"/>
      <c r="AD877" s="663"/>
      <c r="AE877" s="663"/>
      <c r="AF877" s="663"/>
      <c r="AG877" s="663"/>
      <c r="AH877" s="663"/>
      <c r="AI877" s="663"/>
      <c r="AJ877" s="663"/>
      <c r="AK877" s="663"/>
      <c r="AL877" s="663"/>
      <c r="AM877" s="663"/>
      <c r="AN877" s="663"/>
    </row>
    <row r="878" spans="2:40" outlineLevel="1" x14ac:dyDescent="0.25">
      <c r="B878" s="668" t="str">
        <f>CONCATENATE("IRR in ", TEXT((C55-O5+C56*2)/365*12,0)," months (",TEXT(C55+C56*2,"mm/yy"),")")</f>
        <v>IRR in 50 months (03/13)</v>
      </c>
      <c r="C878" s="888" t="e">
        <f ca="1">+C270</f>
        <v>#NUM!</v>
      </c>
      <c r="D878" s="888" t="e">
        <f ca="1">+O270</f>
        <v>#NUM!</v>
      </c>
      <c r="E878" s="888" t="e">
        <f ca="1">+AA270</f>
        <v>#NUM!</v>
      </c>
      <c r="F878" s="888" t="e">
        <f ca="1">+AM270</f>
        <v>#NUM!</v>
      </c>
      <c r="G878" s="888" t="e">
        <f ca="1">+AY270</f>
        <v>#NUM!</v>
      </c>
      <c r="H878" s="888" t="e">
        <f ca="1">+BK270</f>
        <v>#NUM!</v>
      </c>
      <c r="I878" s="888" t="e">
        <f ca="1">+BW270</f>
        <v>#NUM!</v>
      </c>
      <c r="J878" s="888" t="e">
        <f ca="1">+CI270</f>
        <v>#NUM!</v>
      </c>
      <c r="K878" s="888" t="e">
        <f ca="1">+CU270</f>
        <v>#NUM!</v>
      </c>
      <c r="L878" s="909" t="e">
        <f ca="1">+DG270</f>
        <v>#NUM!</v>
      </c>
      <c r="U878" s="663"/>
      <c r="Z878" s="663"/>
      <c r="AA878" s="663"/>
      <c r="AB878" s="663"/>
      <c r="AC878" s="663"/>
      <c r="AD878" s="663"/>
      <c r="AE878" s="663"/>
      <c r="AF878" s="663"/>
      <c r="AG878" s="663"/>
      <c r="AH878" s="663"/>
      <c r="AI878" s="663"/>
      <c r="AJ878" s="663"/>
      <c r="AK878" s="663"/>
      <c r="AL878" s="663"/>
      <c r="AM878" s="663"/>
      <c r="AN878" s="663"/>
    </row>
    <row r="879" spans="2:40" outlineLevel="1" x14ac:dyDescent="0.25">
      <c r="B879" s="668" t="str">
        <f>CONCATENATE("IRR in ", TEXT((C55-O5+C56*3)/365*12,0)," months (",TEXT(C55+C56*3,"mm/yy"),")")</f>
        <v>IRR in 56 months (09/13)</v>
      </c>
      <c r="C879" s="888" t="e">
        <f ca="1">+C285</f>
        <v>#NUM!</v>
      </c>
      <c r="D879" s="888" t="e">
        <f ca="1">+O285</f>
        <v>#NUM!</v>
      </c>
      <c r="E879" s="888" t="e">
        <f ca="1">+AA285</f>
        <v>#NUM!</v>
      </c>
      <c r="F879" s="888" t="e">
        <f ca="1">+AM285</f>
        <v>#NUM!</v>
      </c>
      <c r="G879" s="888" t="e">
        <f ca="1">+AY285</f>
        <v>#NUM!</v>
      </c>
      <c r="H879" s="888" t="e">
        <f ca="1">+BK285</f>
        <v>#NUM!</v>
      </c>
      <c r="I879" s="888" t="e">
        <f ca="1">+BW285</f>
        <v>#NUM!</v>
      </c>
      <c r="J879" s="888" t="e">
        <f ca="1">+CI285</f>
        <v>#NUM!</v>
      </c>
      <c r="K879" s="888" t="e">
        <f ca="1">+CU285</f>
        <v>#NUM!</v>
      </c>
      <c r="L879" s="909" t="e">
        <f ca="1">+DG285</f>
        <v>#NUM!</v>
      </c>
      <c r="U879" s="663"/>
      <c r="Z879" s="663"/>
      <c r="AA879" s="663"/>
      <c r="AB879" s="663"/>
      <c r="AC879" s="663"/>
      <c r="AD879" s="663"/>
      <c r="AE879" s="663"/>
      <c r="AF879" s="663"/>
      <c r="AG879" s="663"/>
      <c r="AH879" s="663"/>
      <c r="AI879" s="663"/>
      <c r="AJ879" s="663"/>
      <c r="AK879" s="663"/>
      <c r="AL879" s="663"/>
      <c r="AM879" s="663"/>
      <c r="AN879" s="663"/>
    </row>
    <row r="880" spans="2:40" outlineLevel="1" x14ac:dyDescent="0.25">
      <c r="B880" s="668"/>
      <c r="C880" s="666"/>
      <c r="D880" s="666"/>
      <c r="E880" s="666"/>
      <c r="F880" s="666"/>
      <c r="G880" s="666"/>
      <c r="H880" s="666"/>
      <c r="I880" s="666"/>
      <c r="J880" s="666"/>
      <c r="K880" s="666"/>
      <c r="L880" s="667"/>
      <c r="U880" s="663"/>
      <c r="Z880" s="663"/>
      <c r="AA880" s="663"/>
      <c r="AB880" s="663"/>
      <c r="AC880" s="663"/>
      <c r="AD880" s="663"/>
      <c r="AE880" s="663"/>
      <c r="AF880" s="663"/>
      <c r="AG880" s="663"/>
      <c r="AH880" s="663"/>
      <c r="AI880" s="663"/>
      <c r="AJ880" s="663"/>
      <c r="AK880" s="663"/>
      <c r="AL880" s="663"/>
      <c r="AM880" s="663"/>
      <c r="AN880" s="663"/>
    </row>
    <row r="881" spans="2:40" x14ac:dyDescent="0.25">
      <c r="B881" s="668"/>
      <c r="C881" s="666"/>
      <c r="D881" s="666"/>
      <c r="E881" s="666"/>
      <c r="F881" s="666"/>
      <c r="G881" s="666"/>
      <c r="H881" s="666"/>
      <c r="I881" s="666"/>
      <c r="J881" s="666"/>
      <c r="K881" s="666"/>
      <c r="L881" s="667"/>
      <c r="U881" s="663"/>
      <c r="Z881" s="663"/>
      <c r="AA881" s="663"/>
      <c r="AB881" s="663"/>
      <c r="AC881" s="663"/>
      <c r="AD881" s="663"/>
      <c r="AE881" s="663"/>
      <c r="AF881" s="663"/>
      <c r="AG881" s="663"/>
      <c r="AH881" s="663"/>
      <c r="AI881" s="663"/>
      <c r="AJ881" s="663"/>
      <c r="AK881" s="663"/>
      <c r="AL881" s="663"/>
      <c r="AM881" s="663"/>
      <c r="AN881" s="663"/>
    </row>
    <row r="882" spans="2:40" outlineLevel="1" x14ac:dyDescent="0.25">
      <c r="B882" s="661" t="str">
        <f t="shared" ref="B882" si="2534">CONCATENATE(B203," Gross Return Analysis")</f>
        <v>Inv B Gross Return Analysis</v>
      </c>
      <c r="C882" s="666"/>
      <c r="D882" s="666"/>
      <c r="E882" s="666"/>
      <c r="F882" s="666"/>
      <c r="G882" s="666"/>
      <c r="H882" s="666"/>
      <c r="I882" s="666"/>
      <c r="J882" s="666"/>
      <c r="K882" s="666"/>
      <c r="L882" s="667"/>
      <c r="U882" s="663"/>
      <c r="Z882" s="663"/>
      <c r="AA882" s="663"/>
      <c r="AB882" s="663"/>
      <c r="AC882" s="663"/>
      <c r="AD882" s="663"/>
      <c r="AE882" s="663"/>
      <c r="AF882" s="663"/>
      <c r="AG882" s="663"/>
      <c r="AH882" s="663"/>
      <c r="AI882" s="663"/>
      <c r="AJ882" s="663"/>
      <c r="AK882" s="663"/>
      <c r="AL882" s="663"/>
      <c r="AM882" s="663"/>
      <c r="AN882" s="663"/>
    </row>
    <row r="883" spans="2:40" outlineLevel="1" x14ac:dyDescent="0.25">
      <c r="B883" s="668" t="s">
        <v>114</v>
      </c>
      <c r="C883" s="666">
        <f ca="1">C291</f>
        <v>0</v>
      </c>
      <c r="D883" s="666">
        <f ca="1">O291</f>
        <v>0</v>
      </c>
      <c r="E883" s="666">
        <f ca="1">AA291</f>
        <v>0</v>
      </c>
      <c r="F883" s="666">
        <f ca="1">AM291</f>
        <v>0</v>
      </c>
      <c r="G883" s="666">
        <f ca="1">AY291</f>
        <v>0</v>
      </c>
      <c r="H883" s="666">
        <f ca="1">BK291</f>
        <v>0</v>
      </c>
      <c r="I883" s="666">
        <f ca="1">BW291</f>
        <v>0</v>
      </c>
      <c r="J883" s="666">
        <f ca="1">CI291</f>
        <v>0</v>
      </c>
      <c r="K883" s="666">
        <f ca="1">CU291</f>
        <v>0</v>
      </c>
      <c r="L883" s="667">
        <f ca="1">DG291</f>
        <v>0</v>
      </c>
      <c r="U883" s="663"/>
      <c r="Z883" s="663"/>
      <c r="AA883" s="663"/>
      <c r="AB883" s="663"/>
      <c r="AC883" s="663"/>
      <c r="AD883" s="663"/>
      <c r="AE883" s="663"/>
      <c r="AF883" s="663"/>
      <c r="AG883" s="663"/>
      <c r="AH883" s="663"/>
      <c r="AI883" s="663"/>
      <c r="AJ883" s="663"/>
      <c r="AK883" s="663"/>
      <c r="AL883" s="663"/>
      <c r="AM883" s="663"/>
      <c r="AN883" s="663"/>
    </row>
    <row r="884" spans="2:40" outlineLevel="1" x14ac:dyDescent="0.25">
      <c r="B884" s="668" t="s">
        <v>115</v>
      </c>
      <c r="C884" s="895">
        <f ca="1">C292</f>
        <v>0</v>
      </c>
      <c r="D884" s="895">
        <f ca="1">O292</f>
        <v>0</v>
      </c>
      <c r="E884" s="895">
        <f ca="1">AA292</f>
        <v>0</v>
      </c>
      <c r="F884" s="895">
        <f ca="1">AM292</f>
        <v>0</v>
      </c>
      <c r="G884" s="895">
        <f ca="1">AY292</f>
        <v>0</v>
      </c>
      <c r="H884" s="895">
        <f ca="1">BK292</f>
        <v>0</v>
      </c>
      <c r="I884" s="895">
        <f ca="1">BW292</f>
        <v>0</v>
      </c>
      <c r="J884" s="895">
        <f ca="1">CI292</f>
        <v>0</v>
      </c>
      <c r="K884" s="895">
        <f ca="1">CU292</f>
        <v>0</v>
      </c>
      <c r="L884" s="906">
        <f ca="1">DG292</f>
        <v>0</v>
      </c>
      <c r="U884" s="663"/>
      <c r="Z884" s="663"/>
      <c r="AA884" s="663"/>
      <c r="AB884" s="663"/>
      <c r="AC884" s="663"/>
      <c r="AD884" s="663"/>
      <c r="AE884" s="663"/>
      <c r="AF884" s="663"/>
      <c r="AG884" s="663"/>
      <c r="AH884" s="663"/>
      <c r="AI884" s="663"/>
      <c r="AJ884" s="663"/>
      <c r="AK884" s="663"/>
      <c r="AL884" s="663"/>
      <c r="AM884" s="663"/>
      <c r="AN884" s="663"/>
    </row>
    <row r="885" spans="2:40" outlineLevel="1" x14ac:dyDescent="0.25">
      <c r="B885" s="668" t="str">
        <f>B876</f>
        <v>IRR in 38 months (03/12)</v>
      </c>
      <c r="C885" s="888" t="e">
        <f ca="1">+C304</f>
        <v>#NUM!</v>
      </c>
      <c r="D885" s="888" t="e">
        <f ca="1">+O304</f>
        <v>#NUM!</v>
      </c>
      <c r="E885" s="888" t="e">
        <f ca="1">+AA304</f>
        <v>#NUM!</v>
      </c>
      <c r="F885" s="888" t="e">
        <f ca="1">+AM304</f>
        <v>#NUM!</v>
      </c>
      <c r="G885" s="888" t="e">
        <f ca="1">+AY304</f>
        <v>#NUM!</v>
      </c>
      <c r="H885" s="888" t="e">
        <f ca="1">+BK304</f>
        <v>#NUM!</v>
      </c>
      <c r="I885" s="888" t="e">
        <f ca="1">+BW304</f>
        <v>#NUM!</v>
      </c>
      <c r="J885" s="888" t="e">
        <f ca="1">+CI304</f>
        <v>#NUM!</v>
      </c>
      <c r="K885" s="888" t="e">
        <f ca="1">+CU304</f>
        <v>#NUM!</v>
      </c>
      <c r="L885" s="909" t="e">
        <f ca="1">+DG304</f>
        <v>#NUM!</v>
      </c>
      <c r="U885" s="663"/>
      <c r="Z885" s="663"/>
      <c r="AA885" s="663"/>
      <c r="AB885" s="663"/>
      <c r="AC885" s="663"/>
      <c r="AD885" s="663"/>
      <c r="AE885" s="663"/>
      <c r="AF885" s="663"/>
      <c r="AG885" s="663"/>
      <c r="AH885" s="663"/>
      <c r="AI885" s="663"/>
      <c r="AJ885" s="663"/>
      <c r="AK885" s="663"/>
      <c r="AL885" s="663"/>
      <c r="AM885" s="663"/>
      <c r="AN885" s="663"/>
    </row>
    <row r="886" spans="2:40" outlineLevel="1" x14ac:dyDescent="0.25">
      <c r="B886" s="668" t="str">
        <f t="shared" ref="B886:B888" si="2535">B877</f>
        <v>IRR in 44 months (09/12)</v>
      </c>
      <c r="C886" s="888" t="e">
        <f ca="1">+C319</f>
        <v>#NUM!</v>
      </c>
      <c r="D886" s="888" t="e">
        <f ca="1">+O319</f>
        <v>#NUM!</v>
      </c>
      <c r="E886" s="888" t="e">
        <f ca="1">+AA319</f>
        <v>#NUM!</v>
      </c>
      <c r="F886" s="888" t="e">
        <f ca="1">+AM319</f>
        <v>#NUM!</v>
      </c>
      <c r="G886" s="888" t="e">
        <f ca="1">+AY319</f>
        <v>#NUM!</v>
      </c>
      <c r="H886" s="888" t="e">
        <f ca="1">+BK319</f>
        <v>#NUM!</v>
      </c>
      <c r="I886" s="888" t="e">
        <f ca="1">+BW319</f>
        <v>#NUM!</v>
      </c>
      <c r="J886" s="888" t="e">
        <f ca="1">+CI319</f>
        <v>#NUM!</v>
      </c>
      <c r="K886" s="888" t="e">
        <f ca="1">+CU319</f>
        <v>#NUM!</v>
      </c>
      <c r="L886" s="909" t="e">
        <f ca="1">+DG319</f>
        <v>#NUM!</v>
      </c>
      <c r="U886" s="663"/>
      <c r="Z886" s="663"/>
      <c r="AA886" s="663"/>
      <c r="AB886" s="663"/>
      <c r="AC886" s="663"/>
      <c r="AD886" s="663"/>
      <c r="AE886" s="663"/>
      <c r="AF886" s="663"/>
      <c r="AG886" s="663"/>
      <c r="AH886" s="663"/>
      <c r="AI886" s="663"/>
      <c r="AJ886" s="663"/>
      <c r="AK886" s="663"/>
      <c r="AL886" s="663"/>
      <c r="AM886" s="663"/>
      <c r="AN886" s="663"/>
    </row>
    <row r="887" spans="2:40" outlineLevel="1" x14ac:dyDescent="0.25">
      <c r="B887" s="668" t="str">
        <f t="shared" si="2535"/>
        <v>IRR in 50 months (03/13)</v>
      </c>
      <c r="C887" s="888" t="e">
        <f ca="1">+C334</f>
        <v>#NUM!</v>
      </c>
      <c r="D887" s="888" t="e">
        <f ca="1">+O334</f>
        <v>#NUM!</v>
      </c>
      <c r="E887" s="888" t="e">
        <f ca="1">+AA334</f>
        <v>#NUM!</v>
      </c>
      <c r="F887" s="888" t="e">
        <f ca="1">+AM334</f>
        <v>#NUM!</v>
      </c>
      <c r="G887" s="888" t="e">
        <f ca="1">+AY334</f>
        <v>#NUM!</v>
      </c>
      <c r="H887" s="888" t="e">
        <f ca="1">+BK334</f>
        <v>#NUM!</v>
      </c>
      <c r="I887" s="888" t="e">
        <f ca="1">+BW334</f>
        <v>#NUM!</v>
      </c>
      <c r="J887" s="888" t="e">
        <f ca="1">+CI334</f>
        <v>#NUM!</v>
      </c>
      <c r="K887" s="888" t="e">
        <f ca="1">+CU334</f>
        <v>#NUM!</v>
      </c>
      <c r="L887" s="909" t="e">
        <f ca="1">+DG334</f>
        <v>#NUM!</v>
      </c>
      <c r="U887" s="663"/>
      <c r="Z887" s="663"/>
      <c r="AA887" s="663"/>
      <c r="AB887" s="663"/>
      <c r="AC887" s="663"/>
      <c r="AD887" s="663"/>
      <c r="AE887" s="663"/>
      <c r="AF887" s="663"/>
      <c r="AG887" s="663"/>
      <c r="AH887" s="663"/>
      <c r="AI887" s="663"/>
      <c r="AJ887" s="663"/>
      <c r="AK887" s="663"/>
      <c r="AL887" s="663"/>
      <c r="AM887" s="663"/>
      <c r="AN887" s="663"/>
    </row>
    <row r="888" spans="2:40" outlineLevel="1" x14ac:dyDescent="0.25">
      <c r="B888" s="668" t="str">
        <f t="shared" si="2535"/>
        <v>IRR in 56 months (09/13)</v>
      </c>
      <c r="C888" s="888" t="e">
        <f ca="1">+C349</f>
        <v>#NUM!</v>
      </c>
      <c r="D888" s="888" t="e">
        <f ca="1">+O349</f>
        <v>#NUM!</v>
      </c>
      <c r="E888" s="888" t="e">
        <f ca="1">+AA349</f>
        <v>#NUM!</v>
      </c>
      <c r="F888" s="888" t="e">
        <f ca="1">+AM349</f>
        <v>#NUM!</v>
      </c>
      <c r="G888" s="888" t="e">
        <f ca="1">+AY349</f>
        <v>#NUM!</v>
      </c>
      <c r="H888" s="888" t="e">
        <f ca="1">+BK349</f>
        <v>#NUM!</v>
      </c>
      <c r="I888" s="888" t="e">
        <f ca="1">+BW349</f>
        <v>#NUM!</v>
      </c>
      <c r="J888" s="888" t="e">
        <f ca="1">+CI349</f>
        <v>#NUM!</v>
      </c>
      <c r="K888" s="888" t="e">
        <f ca="1">+CU349</f>
        <v>#NUM!</v>
      </c>
      <c r="L888" s="909" t="e">
        <f ca="1">+DG349</f>
        <v>#NUM!</v>
      </c>
      <c r="U888" s="663"/>
      <c r="Z888" s="663"/>
      <c r="AA888" s="663"/>
      <c r="AB888" s="663"/>
      <c r="AC888" s="663"/>
      <c r="AD888" s="663"/>
      <c r="AE888" s="663"/>
      <c r="AF888" s="663"/>
      <c r="AG888" s="663"/>
      <c r="AH888" s="663"/>
      <c r="AI888" s="663"/>
      <c r="AJ888" s="663"/>
      <c r="AK888" s="663"/>
      <c r="AL888" s="663"/>
      <c r="AM888" s="663"/>
      <c r="AN888" s="663"/>
    </row>
    <row r="889" spans="2:40" outlineLevel="1" x14ac:dyDescent="0.25">
      <c r="B889" s="894"/>
      <c r="C889" s="666"/>
      <c r="D889" s="666"/>
      <c r="E889" s="666"/>
      <c r="F889" s="666"/>
      <c r="G889" s="666"/>
      <c r="H889" s="666"/>
      <c r="I889" s="666"/>
      <c r="J889" s="666"/>
      <c r="K889" s="666"/>
      <c r="L889" s="667"/>
      <c r="U889" s="663"/>
      <c r="Z889" s="663"/>
      <c r="AA889" s="663"/>
      <c r="AB889" s="663"/>
      <c r="AC889" s="663"/>
      <c r="AD889" s="663"/>
      <c r="AE889" s="663"/>
      <c r="AF889" s="663"/>
      <c r="AG889" s="663"/>
      <c r="AH889" s="663"/>
      <c r="AI889" s="663"/>
      <c r="AJ889" s="663"/>
      <c r="AK889" s="663"/>
      <c r="AL889" s="663"/>
      <c r="AM889" s="663"/>
      <c r="AN889" s="663"/>
    </row>
    <row r="890" spans="2:40" x14ac:dyDescent="0.25">
      <c r="B890" s="894"/>
      <c r="C890" s="666"/>
      <c r="D890" s="666"/>
      <c r="E890" s="666"/>
      <c r="F890" s="666"/>
      <c r="G890" s="666"/>
      <c r="H890" s="666"/>
      <c r="I890" s="666"/>
      <c r="J890" s="666"/>
      <c r="K890" s="666"/>
      <c r="L890" s="667"/>
      <c r="U890" s="663"/>
      <c r="Z890" s="663"/>
      <c r="AA890" s="663"/>
      <c r="AB890" s="663"/>
      <c r="AC890" s="663"/>
      <c r="AD890" s="663"/>
      <c r="AE890" s="663"/>
      <c r="AF890" s="663"/>
      <c r="AG890" s="663"/>
      <c r="AH890" s="663"/>
      <c r="AI890" s="663"/>
      <c r="AJ890" s="663"/>
      <c r="AK890" s="663"/>
      <c r="AL890" s="663"/>
      <c r="AM890" s="663"/>
      <c r="AN890" s="663"/>
    </row>
    <row r="891" spans="2:40" outlineLevel="1" x14ac:dyDescent="0.25">
      <c r="B891" s="661" t="str">
        <f>CONCATENATE(B204," Gross Return Analysis")</f>
        <v>Inv C Gross Return Analysis</v>
      </c>
      <c r="C891" s="666"/>
      <c r="D891" s="666"/>
      <c r="E891" s="666"/>
      <c r="F891" s="666"/>
      <c r="G891" s="666"/>
      <c r="H891" s="666"/>
      <c r="I891" s="666"/>
      <c r="J891" s="666"/>
      <c r="K891" s="666"/>
      <c r="L891" s="667"/>
      <c r="U891" s="663"/>
      <c r="Z891" s="663"/>
      <c r="AA891" s="663"/>
      <c r="AB891" s="663"/>
      <c r="AC891" s="663"/>
      <c r="AD891" s="663"/>
      <c r="AE891" s="663"/>
      <c r="AF891" s="663"/>
      <c r="AG891" s="663"/>
      <c r="AH891" s="663"/>
      <c r="AI891" s="663"/>
      <c r="AJ891" s="663"/>
      <c r="AK891" s="663"/>
      <c r="AL891" s="663"/>
      <c r="AM891" s="663"/>
      <c r="AN891" s="663"/>
    </row>
    <row r="892" spans="2:40" outlineLevel="1" x14ac:dyDescent="0.25">
      <c r="B892" s="668" t="s">
        <v>114</v>
      </c>
      <c r="C892" s="666">
        <f ca="1">C355</f>
        <v>0</v>
      </c>
      <c r="D892" s="666">
        <f ca="1">O355</f>
        <v>0</v>
      </c>
      <c r="E892" s="666">
        <f ca="1">AA355</f>
        <v>0</v>
      </c>
      <c r="F892" s="666">
        <f ca="1">AM355</f>
        <v>0</v>
      </c>
      <c r="G892" s="666">
        <f ca="1">AY355</f>
        <v>0</v>
      </c>
      <c r="H892" s="666">
        <f ca="1">BK355</f>
        <v>0</v>
      </c>
      <c r="I892" s="666">
        <f ca="1">BW355</f>
        <v>0</v>
      </c>
      <c r="J892" s="666">
        <f ca="1">CI355</f>
        <v>0</v>
      </c>
      <c r="K892" s="666">
        <f ca="1">CU355</f>
        <v>0</v>
      </c>
      <c r="L892" s="667">
        <f ca="1">DG355</f>
        <v>0</v>
      </c>
      <c r="U892" s="663"/>
      <c r="Z892" s="663"/>
      <c r="AA892" s="663"/>
      <c r="AB892" s="663"/>
      <c r="AC892" s="663"/>
      <c r="AD892" s="663"/>
      <c r="AE892" s="663"/>
      <c r="AF892" s="663"/>
      <c r="AG892" s="663"/>
      <c r="AH892" s="663"/>
      <c r="AI892" s="663"/>
      <c r="AJ892" s="663"/>
      <c r="AK892" s="663"/>
      <c r="AL892" s="663"/>
      <c r="AM892" s="663"/>
      <c r="AN892" s="663"/>
    </row>
    <row r="893" spans="2:40" outlineLevel="1" x14ac:dyDescent="0.25">
      <c r="B893" s="668" t="s">
        <v>115</v>
      </c>
      <c r="C893" s="895">
        <f ca="1">C356</f>
        <v>0</v>
      </c>
      <c r="D893" s="895">
        <f ca="1">O356</f>
        <v>0</v>
      </c>
      <c r="E893" s="895">
        <f ca="1">AA356</f>
        <v>0</v>
      </c>
      <c r="F893" s="895">
        <f ca="1">AM356</f>
        <v>0</v>
      </c>
      <c r="G893" s="895">
        <f ca="1">AY356</f>
        <v>0</v>
      </c>
      <c r="H893" s="895">
        <f ca="1">BK356</f>
        <v>0</v>
      </c>
      <c r="I893" s="895">
        <f ca="1">BW356</f>
        <v>0</v>
      </c>
      <c r="J893" s="895">
        <f ca="1">CI356</f>
        <v>0</v>
      </c>
      <c r="K893" s="895">
        <f ca="1">CU356</f>
        <v>0</v>
      </c>
      <c r="L893" s="906">
        <f ca="1">DG356</f>
        <v>0</v>
      </c>
      <c r="U893" s="663"/>
      <c r="Z893" s="663"/>
      <c r="AA893" s="663"/>
      <c r="AB893" s="663"/>
      <c r="AC893" s="663"/>
      <c r="AD893" s="663"/>
      <c r="AE893" s="663"/>
      <c r="AF893" s="663"/>
      <c r="AG893" s="663"/>
      <c r="AH893" s="663"/>
      <c r="AI893" s="663"/>
      <c r="AJ893" s="663"/>
      <c r="AK893" s="663"/>
      <c r="AL893" s="663"/>
      <c r="AM893" s="663"/>
      <c r="AN893" s="663"/>
    </row>
    <row r="894" spans="2:40" outlineLevel="1" x14ac:dyDescent="0.25">
      <c r="B894" s="668" t="str">
        <f>B885</f>
        <v>IRR in 38 months (03/12)</v>
      </c>
      <c r="C894" s="888" t="e">
        <f ca="1">C368</f>
        <v>#NUM!</v>
      </c>
      <c r="D894" s="888" t="e">
        <f ca="1">O368</f>
        <v>#NUM!</v>
      </c>
      <c r="E894" s="888" t="e">
        <f ca="1">AA368</f>
        <v>#NUM!</v>
      </c>
      <c r="F894" s="888" t="e">
        <f ca="1">AM368</f>
        <v>#NUM!</v>
      </c>
      <c r="G894" s="888" t="e">
        <f ca="1">AY368</f>
        <v>#NUM!</v>
      </c>
      <c r="H894" s="888" t="e">
        <f ca="1">BK368</f>
        <v>#NUM!</v>
      </c>
      <c r="I894" s="888" t="e">
        <f ca="1">BW368</f>
        <v>#NUM!</v>
      </c>
      <c r="J894" s="888" t="e">
        <f ca="1">CI368</f>
        <v>#NUM!</v>
      </c>
      <c r="K894" s="888" t="e">
        <f ca="1">CU368</f>
        <v>#NUM!</v>
      </c>
      <c r="L894" s="909" t="e">
        <f ca="1">DG368</f>
        <v>#NUM!</v>
      </c>
      <c r="U894" s="663"/>
      <c r="Z894" s="663"/>
      <c r="AA894" s="663"/>
      <c r="AB894" s="663"/>
      <c r="AC894" s="663"/>
      <c r="AD894" s="663"/>
      <c r="AE894" s="663"/>
      <c r="AF894" s="663"/>
      <c r="AG894" s="663"/>
      <c r="AH894" s="663"/>
      <c r="AI894" s="663"/>
      <c r="AJ894" s="663"/>
      <c r="AK894" s="663"/>
      <c r="AL894" s="663"/>
      <c r="AM894" s="663"/>
      <c r="AN894" s="663"/>
    </row>
    <row r="895" spans="2:40" outlineLevel="1" x14ac:dyDescent="0.25">
      <c r="B895" s="668" t="str">
        <f t="shared" ref="B895:B897" si="2536">B886</f>
        <v>IRR in 44 months (09/12)</v>
      </c>
      <c r="C895" s="888" t="e">
        <f ca="1">C383</f>
        <v>#NUM!</v>
      </c>
      <c r="D895" s="888" t="e">
        <f ca="1">O383</f>
        <v>#NUM!</v>
      </c>
      <c r="E895" s="888" t="e">
        <f ca="1">AA383</f>
        <v>#NUM!</v>
      </c>
      <c r="F895" s="888" t="e">
        <f ca="1">AM383</f>
        <v>#NUM!</v>
      </c>
      <c r="G895" s="888" t="e">
        <f ca="1">AY383</f>
        <v>#NUM!</v>
      </c>
      <c r="H895" s="888" t="e">
        <f ca="1">BK383</f>
        <v>#NUM!</v>
      </c>
      <c r="I895" s="888" t="e">
        <f ca="1">BW383</f>
        <v>#NUM!</v>
      </c>
      <c r="J895" s="888" t="e">
        <f ca="1">CI383</f>
        <v>#NUM!</v>
      </c>
      <c r="K895" s="888" t="e">
        <f ca="1">CU383</f>
        <v>#NUM!</v>
      </c>
      <c r="L895" s="909" t="e">
        <f ca="1">DG383</f>
        <v>#NUM!</v>
      </c>
      <c r="U895" s="663"/>
      <c r="Z895" s="663"/>
      <c r="AA895" s="663"/>
      <c r="AB895" s="663"/>
      <c r="AC895" s="663"/>
      <c r="AD895" s="663"/>
      <c r="AE895" s="663"/>
      <c r="AF895" s="663"/>
      <c r="AG895" s="663"/>
      <c r="AH895" s="663"/>
      <c r="AI895" s="663"/>
      <c r="AJ895" s="663"/>
      <c r="AK895" s="663"/>
      <c r="AL895" s="663"/>
      <c r="AM895" s="663"/>
      <c r="AN895" s="663"/>
    </row>
    <row r="896" spans="2:40" outlineLevel="1" x14ac:dyDescent="0.25">
      <c r="B896" s="668" t="str">
        <f t="shared" si="2536"/>
        <v>IRR in 50 months (03/13)</v>
      </c>
      <c r="C896" s="888" t="e">
        <f ca="1">C398</f>
        <v>#NUM!</v>
      </c>
      <c r="D896" s="888" t="e">
        <f ca="1">O398</f>
        <v>#NUM!</v>
      </c>
      <c r="E896" s="888" t="e">
        <f ca="1">AA398</f>
        <v>#NUM!</v>
      </c>
      <c r="F896" s="888" t="e">
        <f ca="1">AM398</f>
        <v>#NUM!</v>
      </c>
      <c r="G896" s="888" t="e">
        <f ca="1">AY398</f>
        <v>#NUM!</v>
      </c>
      <c r="H896" s="888" t="e">
        <f ca="1">BK398</f>
        <v>#NUM!</v>
      </c>
      <c r="I896" s="888" t="e">
        <f ca="1">BW398</f>
        <v>#NUM!</v>
      </c>
      <c r="J896" s="888" t="e">
        <f ca="1">CI398</f>
        <v>#NUM!</v>
      </c>
      <c r="K896" s="888" t="e">
        <f ca="1">CU398</f>
        <v>#NUM!</v>
      </c>
      <c r="L896" s="909" t="e">
        <f ca="1">DG398</f>
        <v>#NUM!</v>
      </c>
      <c r="U896" s="663"/>
      <c r="Z896" s="663"/>
      <c r="AA896" s="663"/>
      <c r="AB896" s="663"/>
      <c r="AC896" s="663"/>
      <c r="AD896" s="663"/>
      <c r="AE896" s="663"/>
      <c r="AF896" s="663"/>
      <c r="AG896" s="663"/>
      <c r="AH896" s="663"/>
      <c r="AI896" s="663"/>
      <c r="AJ896" s="663"/>
      <c r="AK896" s="663"/>
      <c r="AL896" s="663"/>
      <c r="AM896" s="663"/>
      <c r="AN896" s="663"/>
    </row>
    <row r="897" spans="2:40" outlineLevel="1" x14ac:dyDescent="0.25">
      <c r="B897" s="668" t="str">
        <f t="shared" si="2536"/>
        <v>IRR in 56 months (09/13)</v>
      </c>
      <c r="C897" s="888" t="e">
        <f ca="1">C413</f>
        <v>#NUM!</v>
      </c>
      <c r="D897" s="888" t="e">
        <f ca="1">O413</f>
        <v>#NUM!</v>
      </c>
      <c r="E897" s="888" t="e">
        <f ca="1">AA413</f>
        <v>#NUM!</v>
      </c>
      <c r="F897" s="888" t="e">
        <f ca="1">AM413</f>
        <v>#NUM!</v>
      </c>
      <c r="G897" s="888" t="e">
        <f ca="1">AY413</f>
        <v>#NUM!</v>
      </c>
      <c r="H897" s="888" t="e">
        <f ca="1">BK413</f>
        <v>#NUM!</v>
      </c>
      <c r="I897" s="888" t="e">
        <f ca="1">BW413</f>
        <v>#NUM!</v>
      </c>
      <c r="J897" s="888" t="e">
        <f ca="1">CI413</f>
        <v>#NUM!</v>
      </c>
      <c r="K897" s="888" t="e">
        <f ca="1">CU413</f>
        <v>#NUM!</v>
      </c>
      <c r="L897" s="909" t="e">
        <f ca="1">DG413</f>
        <v>#NUM!</v>
      </c>
      <c r="U897" s="663"/>
      <c r="Z897" s="663"/>
      <c r="AA897" s="663"/>
      <c r="AB897" s="663"/>
      <c r="AC897" s="663"/>
      <c r="AD897" s="663"/>
      <c r="AE897" s="663"/>
      <c r="AF897" s="663"/>
      <c r="AG897" s="663"/>
      <c r="AH897" s="663"/>
      <c r="AI897" s="663"/>
      <c r="AJ897" s="663"/>
      <c r="AK897" s="663"/>
      <c r="AL897" s="663"/>
      <c r="AM897" s="663"/>
      <c r="AN897" s="663"/>
    </row>
    <row r="898" spans="2:40" outlineLevel="1" x14ac:dyDescent="0.25">
      <c r="B898" s="894"/>
      <c r="C898" s="666"/>
      <c r="D898" s="666"/>
      <c r="E898" s="666"/>
      <c r="F898" s="666"/>
      <c r="G898" s="666"/>
      <c r="H898" s="666"/>
      <c r="I898" s="666"/>
      <c r="J898" s="666"/>
      <c r="K898" s="666"/>
      <c r="L898" s="667"/>
      <c r="U898" s="663"/>
      <c r="Z898" s="663"/>
      <c r="AA898" s="663"/>
      <c r="AB898" s="663"/>
      <c r="AC898" s="663"/>
      <c r="AD898" s="663"/>
      <c r="AE898" s="663"/>
      <c r="AF898" s="663"/>
      <c r="AG898" s="663"/>
      <c r="AH898" s="663"/>
      <c r="AI898" s="663"/>
      <c r="AJ898" s="663"/>
      <c r="AK898" s="663"/>
      <c r="AL898" s="663"/>
      <c r="AM898" s="663"/>
      <c r="AN898" s="663"/>
    </row>
    <row r="899" spans="2:40" x14ac:dyDescent="0.25">
      <c r="B899" s="894"/>
      <c r="C899" s="666"/>
      <c r="D899" s="666"/>
      <c r="E899" s="666"/>
      <c r="F899" s="666"/>
      <c r="G899" s="666"/>
      <c r="H899" s="666"/>
      <c r="I899" s="666"/>
      <c r="J899" s="666"/>
      <c r="K899" s="666"/>
      <c r="L899" s="667"/>
      <c r="U899" s="663"/>
      <c r="Z899" s="663"/>
      <c r="AA899" s="663"/>
      <c r="AB899" s="663"/>
      <c r="AC899" s="663"/>
      <c r="AD899" s="663"/>
      <c r="AE899" s="663"/>
      <c r="AF899" s="663"/>
      <c r="AG899" s="663"/>
      <c r="AH899" s="663"/>
      <c r="AI899" s="663"/>
      <c r="AJ899" s="663"/>
      <c r="AK899" s="663"/>
      <c r="AL899" s="663"/>
      <c r="AM899" s="663"/>
      <c r="AN899" s="663"/>
    </row>
    <row r="900" spans="2:40" outlineLevel="1" x14ac:dyDescent="0.25">
      <c r="B900" s="661" t="str">
        <f>CONCATENATE(B205," Gross Return Analysis")</f>
        <v>Inv D Gross Return Analysis</v>
      </c>
      <c r="C900" s="666"/>
      <c r="D900" s="666"/>
      <c r="E900" s="666"/>
      <c r="F900" s="666"/>
      <c r="G900" s="666"/>
      <c r="H900" s="666"/>
      <c r="I900" s="666"/>
      <c r="J900" s="666"/>
      <c r="K900" s="666"/>
      <c r="L900" s="667"/>
      <c r="U900" s="663"/>
      <c r="Z900" s="663"/>
      <c r="AA900" s="663"/>
      <c r="AB900" s="663"/>
      <c r="AC900" s="663"/>
      <c r="AD900" s="663"/>
      <c r="AE900" s="663"/>
      <c r="AF900" s="663"/>
      <c r="AG900" s="663"/>
      <c r="AH900" s="663"/>
      <c r="AI900" s="663"/>
      <c r="AJ900" s="663"/>
      <c r="AK900" s="663"/>
      <c r="AL900" s="663"/>
      <c r="AM900" s="663"/>
      <c r="AN900" s="663"/>
    </row>
    <row r="901" spans="2:40" outlineLevel="1" x14ac:dyDescent="0.25">
      <c r="B901" s="668" t="s">
        <v>114</v>
      </c>
      <c r="C901" s="666">
        <f ca="1">C419</f>
        <v>0</v>
      </c>
      <c r="D901" s="666">
        <f ca="1">O419</f>
        <v>0</v>
      </c>
      <c r="E901" s="666">
        <f ca="1">AA419</f>
        <v>0</v>
      </c>
      <c r="F901" s="666">
        <f ca="1">AM419</f>
        <v>0</v>
      </c>
      <c r="G901" s="666">
        <f ca="1">AY419</f>
        <v>0</v>
      </c>
      <c r="H901" s="666">
        <f ca="1">BK419</f>
        <v>0</v>
      </c>
      <c r="I901" s="666">
        <f ca="1">BW419</f>
        <v>0</v>
      </c>
      <c r="J901" s="666">
        <f ca="1">CI419</f>
        <v>0</v>
      </c>
      <c r="K901" s="666">
        <f ca="1">CU419</f>
        <v>0</v>
      </c>
      <c r="L901" s="667">
        <f ca="1">DG419</f>
        <v>0</v>
      </c>
      <c r="U901" s="663"/>
      <c r="Z901" s="663"/>
      <c r="AA901" s="663"/>
      <c r="AB901" s="663"/>
      <c r="AC901" s="663"/>
      <c r="AD901" s="663"/>
      <c r="AE901" s="663"/>
      <c r="AF901" s="663"/>
      <c r="AG901" s="663"/>
      <c r="AH901" s="663"/>
      <c r="AI901" s="663"/>
      <c r="AJ901" s="663"/>
      <c r="AK901" s="663"/>
      <c r="AL901" s="663"/>
      <c r="AM901" s="663"/>
      <c r="AN901" s="663"/>
    </row>
    <row r="902" spans="2:40" outlineLevel="1" x14ac:dyDescent="0.25">
      <c r="B902" s="668" t="s">
        <v>115</v>
      </c>
      <c r="C902" s="895">
        <f ca="1">C420</f>
        <v>0</v>
      </c>
      <c r="D902" s="895">
        <f ca="1">O420</f>
        <v>0</v>
      </c>
      <c r="E902" s="895">
        <f ca="1">AA420</f>
        <v>0</v>
      </c>
      <c r="F902" s="895">
        <f ca="1">AM420</f>
        <v>0</v>
      </c>
      <c r="G902" s="895">
        <f ca="1">AY420</f>
        <v>0</v>
      </c>
      <c r="H902" s="895">
        <f ca="1">BK420</f>
        <v>0</v>
      </c>
      <c r="I902" s="895">
        <f ca="1">BW420</f>
        <v>0</v>
      </c>
      <c r="J902" s="895">
        <f ca="1">CI420</f>
        <v>0</v>
      </c>
      <c r="K902" s="895">
        <f ca="1">CU420</f>
        <v>0</v>
      </c>
      <c r="L902" s="906">
        <f ca="1">DG420</f>
        <v>0</v>
      </c>
      <c r="U902" s="663"/>
      <c r="Z902" s="663"/>
      <c r="AA902" s="663"/>
      <c r="AB902" s="663"/>
      <c r="AC902" s="663"/>
      <c r="AD902" s="663"/>
      <c r="AE902" s="663"/>
      <c r="AF902" s="663"/>
      <c r="AG902" s="663"/>
      <c r="AH902" s="663"/>
      <c r="AI902" s="663"/>
      <c r="AJ902" s="663"/>
      <c r="AK902" s="663"/>
      <c r="AL902" s="663"/>
      <c r="AM902" s="663"/>
      <c r="AN902" s="663"/>
    </row>
    <row r="903" spans="2:40" outlineLevel="1" x14ac:dyDescent="0.25">
      <c r="B903" s="668" t="str">
        <f>B894</f>
        <v>IRR in 38 months (03/12)</v>
      </c>
      <c r="C903" s="888" t="e">
        <f ca="1">C432</f>
        <v>#NUM!</v>
      </c>
      <c r="D903" s="888" t="e">
        <f ca="1">O432</f>
        <v>#NUM!</v>
      </c>
      <c r="E903" s="888" t="e">
        <f ca="1">AA432</f>
        <v>#NUM!</v>
      </c>
      <c r="F903" s="888" t="e">
        <f ca="1">AM432</f>
        <v>#NUM!</v>
      </c>
      <c r="G903" s="888" t="e">
        <f ca="1">AY432</f>
        <v>#NUM!</v>
      </c>
      <c r="H903" s="888" t="e">
        <f ca="1">BK432</f>
        <v>#NUM!</v>
      </c>
      <c r="I903" s="888" t="e">
        <f ca="1">BW432</f>
        <v>#NUM!</v>
      </c>
      <c r="J903" s="888" t="e">
        <f ca="1">CI432</f>
        <v>#NUM!</v>
      </c>
      <c r="K903" s="888" t="e">
        <f ca="1">CU432</f>
        <v>#NUM!</v>
      </c>
      <c r="L903" s="909" t="e">
        <f ca="1">DG432</f>
        <v>#NUM!</v>
      </c>
      <c r="U903" s="663"/>
      <c r="Z903" s="663"/>
      <c r="AA903" s="663"/>
      <c r="AB903" s="663"/>
      <c r="AC903" s="663"/>
      <c r="AD903" s="663"/>
      <c r="AE903" s="663"/>
      <c r="AF903" s="663"/>
      <c r="AG903" s="663"/>
      <c r="AH903" s="663"/>
      <c r="AI903" s="663"/>
      <c r="AJ903" s="663"/>
      <c r="AK903" s="663"/>
      <c r="AL903" s="663"/>
      <c r="AM903" s="663"/>
      <c r="AN903" s="663"/>
    </row>
    <row r="904" spans="2:40" outlineLevel="1" x14ac:dyDescent="0.25">
      <c r="B904" s="668" t="str">
        <f t="shared" ref="B904:B906" si="2537">B895</f>
        <v>IRR in 44 months (09/12)</v>
      </c>
      <c r="C904" s="888" t="e">
        <f ca="1">+C447</f>
        <v>#NUM!</v>
      </c>
      <c r="D904" s="888" t="e">
        <f ca="1">+O447</f>
        <v>#NUM!</v>
      </c>
      <c r="E904" s="888" t="e">
        <f ca="1">+AA447</f>
        <v>#NUM!</v>
      </c>
      <c r="F904" s="888" t="e">
        <f ca="1">+AM447</f>
        <v>#NUM!</v>
      </c>
      <c r="G904" s="888" t="e">
        <f ca="1">+AY447</f>
        <v>#NUM!</v>
      </c>
      <c r="H904" s="888" t="e">
        <f ca="1">+BK447</f>
        <v>#NUM!</v>
      </c>
      <c r="I904" s="888" t="e">
        <f ca="1">+BW447</f>
        <v>#NUM!</v>
      </c>
      <c r="J904" s="888" t="e">
        <f ca="1">+CI447</f>
        <v>#NUM!</v>
      </c>
      <c r="K904" s="888" t="e">
        <f ca="1">+CU447</f>
        <v>#NUM!</v>
      </c>
      <c r="L904" s="909" t="e">
        <f ca="1">+DG447</f>
        <v>#NUM!</v>
      </c>
      <c r="U904" s="663"/>
      <c r="Z904" s="663"/>
      <c r="AA904" s="663"/>
      <c r="AB904" s="663"/>
      <c r="AC904" s="663"/>
      <c r="AD904" s="663"/>
      <c r="AE904" s="663"/>
      <c r="AF904" s="663"/>
      <c r="AG904" s="663"/>
      <c r="AH904" s="663"/>
      <c r="AI904" s="663"/>
      <c r="AJ904" s="663"/>
      <c r="AK904" s="663"/>
      <c r="AL904" s="663"/>
      <c r="AM904" s="663"/>
      <c r="AN904" s="663"/>
    </row>
    <row r="905" spans="2:40" outlineLevel="1" x14ac:dyDescent="0.25">
      <c r="B905" s="668" t="str">
        <f t="shared" si="2537"/>
        <v>IRR in 50 months (03/13)</v>
      </c>
      <c r="C905" s="888" t="e">
        <f ca="1">+C462</f>
        <v>#NUM!</v>
      </c>
      <c r="D905" s="888" t="e">
        <f ca="1">+O462</f>
        <v>#NUM!</v>
      </c>
      <c r="E905" s="888" t="e">
        <f ca="1">+AA462</f>
        <v>#NUM!</v>
      </c>
      <c r="F905" s="888" t="e">
        <f ca="1">+AM462</f>
        <v>#NUM!</v>
      </c>
      <c r="G905" s="888" t="e">
        <f ca="1">+AY462</f>
        <v>#NUM!</v>
      </c>
      <c r="H905" s="888" t="e">
        <f ca="1">+BK462</f>
        <v>#NUM!</v>
      </c>
      <c r="I905" s="888" t="e">
        <f ca="1">+BW462</f>
        <v>#NUM!</v>
      </c>
      <c r="J905" s="888" t="e">
        <f ca="1">+CI462</f>
        <v>#NUM!</v>
      </c>
      <c r="K905" s="888" t="e">
        <f ca="1">+CU462</f>
        <v>#NUM!</v>
      </c>
      <c r="L905" s="909" t="e">
        <f ca="1">+DG462</f>
        <v>#NUM!</v>
      </c>
      <c r="U905" s="663"/>
      <c r="Z905" s="663"/>
      <c r="AA905" s="663"/>
      <c r="AB905" s="663"/>
      <c r="AC905" s="663"/>
      <c r="AD905" s="663"/>
      <c r="AE905" s="663"/>
      <c r="AF905" s="663"/>
      <c r="AG905" s="663"/>
      <c r="AH905" s="663"/>
      <c r="AI905" s="663"/>
      <c r="AJ905" s="663"/>
      <c r="AK905" s="663"/>
      <c r="AL905" s="663"/>
      <c r="AM905" s="663"/>
      <c r="AN905" s="663"/>
    </row>
    <row r="906" spans="2:40" outlineLevel="1" x14ac:dyDescent="0.25">
      <c r="B906" s="668" t="str">
        <f t="shared" si="2537"/>
        <v>IRR in 56 months (09/13)</v>
      </c>
      <c r="C906" s="888" t="e">
        <f ca="1">+C477</f>
        <v>#NUM!</v>
      </c>
      <c r="D906" s="888" t="e">
        <f ca="1">+O477</f>
        <v>#NUM!</v>
      </c>
      <c r="E906" s="888" t="e">
        <f ca="1">+AA477</f>
        <v>#NUM!</v>
      </c>
      <c r="F906" s="888" t="e">
        <f ca="1">+AM477</f>
        <v>#NUM!</v>
      </c>
      <c r="G906" s="888" t="e">
        <f ca="1">+AY477</f>
        <v>#NUM!</v>
      </c>
      <c r="H906" s="888" t="e">
        <f ca="1">+BK477</f>
        <v>#NUM!</v>
      </c>
      <c r="I906" s="888" t="e">
        <f ca="1">+BW477</f>
        <v>#NUM!</v>
      </c>
      <c r="J906" s="888" t="e">
        <f ca="1">+CI477</f>
        <v>#NUM!</v>
      </c>
      <c r="K906" s="888" t="e">
        <f ca="1">+CU477</f>
        <v>#NUM!</v>
      </c>
      <c r="L906" s="909" t="e">
        <f ca="1">+DG477</f>
        <v>#NUM!</v>
      </c>
      <c r="U906" s="663"/>
      <c r="Z906" s="663"/>
      <c r="AA906" s="663"/>
      <c r="AB906" s="663"/>
      <c r="AC906" s="663"/>
      <c r="AD906" s="663"/>
      <c r="AE906" s="663"/>
      <c r="AF906" s="663"/>
      <c r="AG906" s="663"/>
      <c r="AH906" s="663"/>
      <c r="AI906" s="663"/>
      <c r="AJ906" s="663"/>
      <c r="AK906" s="663"/>
      <c r="AL906" s="663"/>
      <c r="AM906" s="663"/>
      <c r="AN906" s="663"/>
    </row>
    <row r="907" spans="2:40" outlineLevel="1" x14ac:dyDescent="0.25">
      <c r="B907" s="894"/>
      <c r="C907" s="666"/>
      <c r="D907" s="666"/>
      <c r="E907" s="666"/>
      <c r="F907" s="666"/>
      <c r="G907" s="666"/>
      <c r="H907" s="666"/>
      <c r="I907" s="666"/>
      <c r="J907" s="666"/>
      <c r="K907" s="666"/>
      <c r="L907" s="667"/>
      <c r="U907" s="663"/>
      <c r="Z907" s="663"/>
      <c r="AA907" s="663"/>
      <c r="AB907" s="663"/>
      <c r="AC907" s="663"/>
      <c r="AD907" s="663"/>
      <c r="AE907" s="663"/>
      <c r="AF907" s="663"/>
      <c r="AG907" s="663"/>
      <c r="AH907" s="663"/>
      <c r="AI907" s="663"/>
      <c r="AJ907" s="663"/>
      <c r="AK907" s="663"/>
      <c r="AL907" s="663"/>
      <c r="AM907" s="663"/>
      <c r="AN907" s="663"/>
    </row>
    <row r="908" spans="2:40" x14ac:dyDescent="0.25">
      <c r="B908" s="894"/>
      <c r="C908" s="666"/>
      <c r="D908" s="666"/>
      <c r="E908" s="666"/>
      <c r="F908" s="666"/>
      <c r="G908" s="666"/>
      <c r="H908" s="666"/>
      <c r="I908" s="666"/>
      <c r="J908" s="666"/>
      <c r="K908" s="666"/>
      <c r="L908" s="667"/>
      <c r="U908" s="663"/>
      <c r="Z908" s="663"/>
      <c r="AA908" s="663"/>
      <c r="AB908" s="663"/>
      <c r="AC908" s="663"/>
      <c r="AD908" s="663"/>
      <c r="AE908" s="663"/>
      <c r="AF908" s="663"/>
      <c r="AG908" s="663"/>
      <c r="AH908" s="663"/>
      <c r="AI908" s="663"/>
      <c r="AJ908" s="663"/>
      <c r="AK908" s="663"/>
      <c r="AL908" s="663"/>
      <c r="AM908" s="663"/>
      <c r="AN908" s="663"/>
    </row>
    <row r="909" spans="2:40" outlineLevel="1" x14ac:dyDescent="0.25">
      <c r="B909" s="661" t="str">
        <f>CONCATENATE(B206," Gross Return Analysis")</f>
        <v>Inv E Gross Return Analysis</v>
      </c>
      <c r="C909" s="666"/>
      <c r="D909" s="666"/>
      <c r="E909" s="666"/>
      <c r="F909" s="666"/>
      <c r="G909" s="666"/>
      <c r="H909" s="666"/>
      <c r="I909" s="666"/>
      <c r="J909" s="666"/>
      <c r="K909" s="666"/>
      <c r="L909" s="667"/>
      <c r="U909" s="663"/>
      <c r="Z909" s="663"/>
      <c r="AA909" s="663"/>
      <c r="AB909" s="663"/>
      <c r="AC909" s="663"/>
      <c r="AD909" s="663"/>
      <c r="AE909" s="663"/>
      <c r="AF909" s="663"/>
      <c r="AG909" s="663"/>
      <c r="AH909" s="663"/>
      <c r="AI909" s="663"/>
      <c r="AJ909" s="663"/>
      <c r="AK909" s="663"/>
      <c r="AL909" s="663"/>
      <c r="AM909" s="663"/>
      <c r="AN909" s="663"/>
    </row>
    <row r="910" spans="2:40" outlineLevel="1" x14ac:dyDescent="0.25">
      <c r="B910" s="668" t="s">
        <v>114</v>
      </c>
      <c r="C910" s="666">
        <f ca="1">C483</f>
        <v>0</v>
      </c>
      <c r="D910" s="666">
        <f ca="1">O483</f>
        <v>0</v>
      </c>
      <c r="E910" s="666">
        <f ca="1">AA483</f>
        <v>0</v>
      </c>
      <c r="F910" s="666">
        <f ca="1">AM483</f>
        <v>0</v>
      </c>
      <c r="G910" s="666">
        <f ca="1">AY483</f>
        <v>0</v>
      </c>
      <c r="H910" s="666">
        <f ca="1">BK483</f>
        <v>0</v>
      </c>
      <c r="I910" s="666">
        <f ca="1">BW483</f>
        <v>0</v>
      </c>
      <c r="J910" s="666">
        <f ca="1">CI483</f>
        <v>0</v>
      </c>
      <c r="K910" s="666">
        <f ca="1">CU483</f>
        <v>0</v>
      </c>
      <c r="L910" s="667">
        <f ca="1">DG483</f>
        <v>0</v>
      </c>
      <c r="U910" s="663"/>
      <c r="Z910" s="663"/>
      <c r="AA910" s="663"/>
      <c r="AB910" s="663"/>
      <c r="AC910" s="663"/>
      <c r="AD910" s="663"/>
      <c r="AE910" s="663"/>
      <c r="AF910" s="663"/>
      <c r="AG910" s="663"/>
      <c r="AH910" s="663"/>
      <c r="AI910" s="663"/>
      <c r="AJ910" s="663"/>
      <c r="AK910" s="663"/>
      <c r="AL910" s="663"/>
      <c r="AM910" s="663"/>
      <c r="AN910" s="663"/>
    </row>
    <row r="911" spans="2:40" outlineLevel="1" x14ac:dyDescent="0.25">
      <c r="B911" s="668" t="s">
        <v>115</v>
      </c>
      <c r="C911" s="895">
        <f ca="1">C484</f>
        <v>0</v>
      </c>
      <c r="D911" s="895">
        <f ca="1">O484</f>
        <v>0</v>
      </c>
      <c r="E911" s="895">
        <f ca="1">AA484</f>
        <v>0</v>
      </c>
      <c r="F911" s="895">
        <f ca="1">AM484</f>
        <v>0</v>
      </c>
      <c r="G911" s="895">
        <f ca="1">AY484</f>
        <v>0</v>
      </c>
      <c r="H911" s="895">
        <f ca="1">BK484</f>
        <v>0</v>
      </c>
      <c r="I911" s="895">
        <f ca="1">BW484</f>
        <v>0</v>
      </c>
      <c r="J911" s="895">
        <f ca="1">CI484</f>
        <v>0</v>
      </c>
      <c r="K911" s="895">
        <f ca="1">CU484</f>
        <v>0</v>
      </c>
      <c r="L911" s="906">
        <f ca="1">DG484</f>
        <v>0</v>
      </c>
      <c r="U911" s="663"/>
      <c r="Z911" s="663"/>
      <c r="AA911" s="663"/>
      <c r="AB911" s="663"/>
      <c r="AC911" s="663"/>
      <c r="AD911" s="663"/>
      <c r="AE911" s="663"/>
      <c r="AF911" s="663"/>
      <c r="AG911" s="663"/>
      <c r="AH911" s="663"/>
      <c r="AI911" s="663"/>
      <c r="AJ911" s="663"/>
      <c r="AK911" s="663"/>
      <c r="AL911" s="663"/>
      <c r="AM911" s="663"/>
      <c r="AN911" s="663"/>
    </row>
    <row r="912" spans="2:40" outlineLevel="1" x14ac:dyDescent="0.25">
      <c r="B912" s="668" t="str">
        <f>B903</f>
        <v>IRR in 38 months (03/12)</v>
      </c>
      <c r="C912" s="888" t="e">
        <f ca="1">C496</f>
        <v>#NUM!</v>
      </c>
      <c r="D912" s="888" t="e">
        <f ca="1">O496</f>
        <v>#NUM!</v>
      </c>
      <c r="E912" s="888" t="e">
        <f ca="1">AA496</f>
        <v>#NUM!</v>
      </c>
      <c r="F912" s="888" t="e">
        <f ca="1">AM496</f>
        <v>#NUM!</v>
      </c>
      <c r="G912" s="888" t="e">
        <f ca="1">AY496</f>
        <v>#NUM!</v>
      </c>
      <c r="H912" s="888" t="e">
        <f ca="1">BK496</f>
        <v>#NUM!</v>
      </c>
      <c r="I912" s="888" t="e">
        <f ca="1">BW496</f>
        <v>#NUM!</v>
      </c>
      <c r="J912" s="888" t="e">
        <f ca="1">CI496</f>
        <v>#NUM!</v>
      </c>
      <c r="K912" s="888" t="e">
        <f ca="1">CU496</f>
        <v>#NUM!</v>
      </c>
      <c r="L912" s="909" t="e">
        <f ca="1">DG496</f>
        <v>#NUM!</v>
      </c>
      <c r="U912" s="663"/>
      <c r="Z912" s="663"/>
      <c r="AA912" s="663"/>
      <c r="AB912" s="663"/>
      <c r="AC912" s="663"/>
      <c r="AD912" s="663"/>
      <c r="AE912" s="663"/>
      <c r="AF912" s="663"/>
      <c r="AG912" s="663"/>
      <c r="AH912" s="663"/>
      <c r="AI912" s="663"/>
      <c r="AJ912" s="663"/>
      <c r="AK912" s="663"/>
      <c r="AL912" s="663"/>
      <c r="AM912" s="663"/>
      <c r="AN912" s="663"/>
    </row>
    <row r="913" spans="2:40" outlineLevel="1" x14ac:dyDescent="0.25">
      <c r="B913" s="668" t="str">
        <f t="shared" ref="B913:B915" si="2538">B904</f>
        <v>IRR in 44 months (09/12)</v>
      </c>
      <c r="C913" s="888" t="e">
        <f ca="1">+C511</f>
        <v>#NUM!</v>
      </c>
      <c r="D913" s="888" t="e">
        <f ca="1">+O511</f>
        <v>#NUM!</v>
      </c>
      <c r="E913" s="888" t="e">
        <f ca="1">+AA511</f>
        <v>#NUM!</v>
      </c>
      <c r="F913" s="888" t="e">
        <f ca="1">+AM511</f>
        <v>#NUM!</v>
      </c>
      <c r="G913" s="888" t="e">
        <f ca="1">+AY511</f>
        <v>#NUM!</v>
      </c>
      <c r="H913" s="888" t="e">
        <f ca="1">+BK511</f>
        <v>#NUM!</v>
      </c>
      <c r="I913" s="888" t="e">
        <f ca="1">+BW511</f>
        <v>#NUM!</v>
      </c>
      <c r="J913" s="888" t="e">
        <f ca="1">+CI511</f>
        <v>#NUM!</v>
      </c>
      <c r="K913" s="888" t="e">
        <f ca="1">+CU511</f>
        <v>#NUM!</v>
      </c>
      <c r="L913" s="909" t="e">
        <f ca="1">+DG511</f>
        <v>#NUM!</v>
      </c>
      <c r="U913" s="663"/>
      <c r="Z913" s="663"/>
      <c r="AA913" s="663"/>
      <c r="AB913" s="663"/>
      <c r="AC913" s="663"/>
      <c r="AD913" s="663"/>
      <c r="AE913" s="663"/>
      <c r="AF913" s="663"/>
      <c r="AG913" s="663"/>
      <c r="AH913" s="663"/>
      <c r="AI913" s="663"/>
      <c r="AJ913" s="663"/>
      <c r="AK913" s="663"/>
      <c r="AL913" s="663"/>
      <c r="AM913" s="663"/>
      <c r="AN913" s="663"/>
    </row>
    <row r="914" spans="2:40" outlineLevel="1" x14ac:dyDescent="0.25">
      <c r="B914" s="668" t="str">
        <f t="shared" si="2538"/>
        <v>IRR in 50 months (03/13)</v>
      </c>
      <c r="C914" s="888" t="e">
        <f ca="1">+C526</f>
        <v>#NUM!</v>
      </c>
      <c r="D914" s="888" t="e">
        <f ca="1">+O526</f>
        <v>#NUM!</v>
      </c>
      <c r="E914" s="888" t="e">
        <f ca="1">+AA526</f>
        <v>#NUM!</v>
      </c>
      <c r="F914" s="888" t="e">
        <f ca="1">+AM526</f>
        <v>#NUM!</v>
      </c>
      <c r="G914" s="888" t="e">
        <f ca="1">+AY526</f>
        <v>#NUM!</v>
      </c>
      <c r="H914" s="888" t="e">
        <f ca="1">+BK526</f>
        <v>#NUM!</v>
      </c>
      <c r="I914" s="888" t="e">
        <f ca="1">+BW526</f>
        <v>#NUM!</v>
      </c>
      <c r="J914" s="888" t="e">
        <f ca="1">+CI526</f>
        <v>#NUM!</v>
      </c>
      <c r="K914" s="888" t="e">
        <f ca="1">+CU526</f>
        <v>#NUM!</v>
      </c>
      <c r="L914" s="909" t="e">
        <f ca="1">+DG526</f>
        <v>#NUM!</v>
      </c>
      <c r="U914" s="663"/>
      <c r="Z914" s="663"/>
      <c r="AA914" s="663"/>
      <c r="AB914" s="663"/>
      <c r="AC914" s="663"/>
      <c r="AD914" s="663"/>
      <c r="AE914" s="663"/>
      <c r="AF914" s="663"/>
      <c r="AG914" s="663"/>
      <c r="AH914" s="663"/>
      <c r="AI914" s="663"/>
      <c r="AJ914" s="663"/>
      <c r="AK914" s="663"/>
      <c r="AL914" s="663"/>
      <c r="AM914" s="663"/>
      <c r="AN914" s="663"/>
    </row>
    <row r="915" spans="2:40" outlineLevel="1" x14ac:dyDescent="0.25">
      <c r="B915" s="668" t="str">
        <f t="shared" si="2538"/>
        <v>IRR in 56 months (09/13)</v>
      </c>
      <c r="C915" s="888" t="e">
        <f ca="1">+C541</f>
        <v>#NUM!</v>
      </c>
      <c r="D915" s="888" t="e">
        <f ca="1">+O541</f>
        <v>#NUM!</v>
      </c>
      <c r="E915" s="888" t="e">
        <f ca="1">+AA541</f>
        <v>#NUM!</v>
      </c>
      <c r="F915" s="888" t="e">
        <f ca="1">+AM541</f>
        <v>#NUM!</v>
      </c>
      <c r="G915" s="888" t="e">
        <f ca="1">+AY541</f>
        <v>#NUM!</v>
      </c>
      <c r="H915" s="888" t="e">
        <f ca="1">+BK541</f>
        <v>#NUM!</v>
      </c>
      <c r="I915" s="888" t="e">
        <f ca="1">+BW541</f>
        <v>#NUM!</v>
      </c>
      <c r="J915" s="888" t="e">
        <f ca="1">+CI541</f>
        <v>#NUM!</v>
      </c>
      <c r="K915" s="888" t="e">
        <f ca="1">+CU541</f>
        <v>#NUM!</v>
      </c>
      <c r="L915" s="909" t="e">
        <f ca="1">+DG541</f>
        <v>#NUM!</v>
      </c>
      <c r="U915" s="663"/>
      <c r="Z915" s="663"/>
      <c r="AA915" s="663"/>
      <c r="AB915" s="663"/>
      <c r="AC915" s="663"/>
      <c r="AD915" s="663"/>
      <c r="AE915" s="663"/>
      <c r="AF915" s="663"/>
      <c r="AG915" s="663"/>
      <c r="AH915" s="663"/>
      <c r="AI915" s="663"/>
      <c r="AJ915" s="663"/>
      <c r="AK915" s="663"/>
      <c r="AL915" s="663"/>
      <c r="AM915" s="663"/>
      <c r="AN915" s="663"/>
    </row>
    <row r="916" spans="2:40" outlineLevel="1" x14ac:dyDescent="0.25">
      <c r="B916" s="894"/>
      <c r="C916" s="666"/>
      <c r="D916" s="666"/>
      <c r="E916" s="666"/>
      <c r="F916" s="666"/>
      <c r="G916" s="666"/>
      <c r="H916" s="666"/>
      <c r="I916" s="666"/>
      <c r="J916" s="666"/>
      <c r="K916" s="666"/>
      <c r="L916" s="667"/>
      <c r="U916" s="663"/>
      <c r="Z916" s="663"/>
      <c r="AA916" s="663"/>
      <c r="AB916" s="663"/>
      <c r="AC916" s="663"/>
      <c r="AD916" s="663"/>
      <c r="AE916" s="663"/>
      <c r="AF916" s="663"/>
      <c r="AG916" s="663"/>
      <c r="AH916" s="663"/>
      <c r="AI916" s="663"/>
      <c r="AJ916" s="663"/>
      <c r="AK916" s="663"/>
      <c r="AL916" s="663"/>
      <c r="AM916" s="663"/>
      <c r="AN916" s="663"/>
    </row>
    <row r="917" spans="2:40" x14ac:dyDescent="0.25">
      <c r="B917" s="894"/>
      <c r="C917" s="666"/>
      <c r="D917" s="666"/>
      <c r="E917" s="666"/>
      <c r="F917" s="666"/>
      <c r="G917" s="666"/>
      <c r="H917" s="666"/>
      <c r="I917" s="666"/>
      <c r="J917" s="666"/>
      <c r="K917" s="666"/>
      <c r="L917" s="667"/>
      <c r="U917" s="663"/>
      <c r="Z917" s="663"/>
      <c r="AA917" s="663"/>
      <c r="AB917" s="663"/>
      <c r="AC917" s="663"/>
      <c r="AD917" s="663"/>
      <c r="AE917" s="663"/>
      <c r="AF917" s="663"/>
      <c r="AG917" s="663"/>
      <c r="AH917" s="663"/>
      <c r="AI917" s="663"/>
      <c r="AJ917" s="663"/>
      <c r="AK917" s="663"/>
      <c r="AL917" s="663"/>
      <c r="AM917" s="663"/>
      <c r="AN917" s="663"/>
    </row>
    <row r="918" spans="2:40" outlineLevel="1" x14ac:dyDescent="0.25">
      <c r="B918" s="661" t="str">
        <f>CONCATENATE(B207," Gross Return Analysis")</f>
        <v>Inv F Gross Return Analysis</v>
      </c>
      <c r="C918" s="881"/>
      <c r="D918" s="881"/>
      <c r="E918" s="881"/>
      <c r="F918" s="881"/>
      <c r="G918" s="881"/>
      <c r="H918" s="881"/>
      <c r="I918" s="881"/>
      <c r="J918" s="881"/>
      <c r="K918" s="881"/>
      <c r="L918" s="945"/>
      <c r="U918" s="663"/>
      <c r="Z918" s="663"/>
      <c r="AA918" s="663"/>
      <c r="AB918" s="663"/>
      <c r="AC918" s="663"/>
      <c r="AD918" s="663"/>
      <c r="AE918" s="663"/>
      <c r="AF918" s="663"/>
      <c r="AG918" s="663"/>
      <c r="AH918" s="663"/>
      <c r="AI918" s="663"/>
      <c r="AJ918" s="663"/>
      <c r="AK918" s="663"/>
      <c r="AL918" s="663"/>
      <c r="AM918" s="663"/>
      <c r="AN918" s="663"/>
    </row>
    <row r="919" spans="2:40" outlineLevel="1" x14ac:dyDescent="0.25">
      <c r="B919" s="668" t="s">
        <v>114</v>
      </c>
      <c r="C919" s="666">
        <f ca="1">C547</f>
        <v>0</v>
      </c>
      <c r="D919" s="666">
        <f ca="1">O547</f>
        <v>0</v>
      </c>
      <c r="E919" s="666">
        <f ca="1">AA547</f>
        <v>0</v>
      </c>
      <c r="F919" s="666">
        <f ca="1">AM547</f>
        <v>0</v>
      </c>
      <c r="G919" s="666">
        <f ca="1">AY547</f>
        <v>0</v>
      </c>
      <c r="H919" s="666">
        <f ca="1">BK547</f>
        <v>0</v>
      </c>
      <c r="I919" s="666">
        <f ca="1">BW547</f>
        <v>0</v>
      </c>
      <c r="J919" s="666">
        <f ca="1">CI547</f>
        <v>0</v>
      </c>
      <c r="K919" s="666">
        <f ca="1">CU547</f>
        <v>0</v>
      </c>
      <c r="L919" s="667">
        <f ca="1">DG547</f>
        <v>0</v>
      </c>
      <c r="U919" s="663"/>
      <c r="Z919" s="663"/>
      <c r="AA919" s="663"/>
      <c r="AB919" s="663"/>
      <c r="AC919" s="663"/>
      <c r="AD919" s="663"/>
      <c r="AE919" s="663"/>
      <c r="AF919" s="663"/>
      <c r="AG919" s="663"/>
      <c r="AH919" s="663"/>
      <c r="AI919" s="663"/>
      <c r="AJ919" s="663"/>
      <c r="AK919" s="663"/>
      <c r="AL919" s="663"/>
      <c r="AM919" s="663"/>
      <c r="AN919" s="663"/>
    </row>
    <row r="920" spans="2:40" outlineLevel="1" x14ac:dyDescent="0.25">
      <c r="B920" s="668" t="s">
        <v>115</v>
      </c>
      <c r="C920" s="895">
        <f ca="1">C548</f>
        <v>0</v>
      </c>
      <c r="D920" s="895">
        <f ca="1">O548</f>
        <v>0</v>
      </c>
      <c r="E920" s="895">
        <f ca="1">AA548</f>
        <v>0</v>
      </c>
      <c r="F920" s="895">
        <f ca="1">AM548</f>
        <v>0</v>
      </c>
      <c r="G920" s="895">
        <f ca="1">AY548</f>
        <v>0</v>
      </c>
      <c r="H920" s="895">
        <f ca="1">BK548</f>
        <v>0</v>
      </c>
      <c r="I920" s="895">
        <f ca="1">BW548</f>
        <v>0</v>
      </c>
      <c r="J920" s="895">
        <f ca="1">CI548</f>
        <v>0</v>
      </c>
      <c r="K920" s="895">
        <f ca="1">CU548</f>
        <v>0</v>
      </c>
      <c r="L920" s="906">
        <f ca="1">DG548</f>
        <v>0</v>
      </c>
      <c r="U920" s="663"/>
      <c r="Z920" s="663"/>
      <c r="AA920" s="663"/>
      <c r="AB920" s="663"/>
      <c r="AC920" s="663"/>
      <c r="AD920" s="663"/>
      <c r="AE920" s="663"/>
      <c r="AF920" s="663"/>
      <c r="AG920" s="663"/>
      <c r="AH920" s="663"/>
      <c r="AI920" s="663"/>
      <c r="AJ920" s="663"/>
      <c r="AK920" s="663"/>
      <c r="AL920" s="663"/>
      <c r="AM920" s="663"/>
      <c r="AN920" s="663"/>
    </row>
    <row r="921" spans="2:40" outlineLevel="1" x14ac:dyDescent="0.25">
      <c r="B921" s="668" t="str">
        <f>B912</f>
        <v>IRR in 38 months (03/12)</v>
      </c>
      <c r="C921" s="888" t="e">
        <f ca="1">+C560</f>
        <v>#NUM!</v>
      </c>
      <c r="D921" s="888" t="e">
        <f ca="1">+O560</f>
        <v>#NUM!</v>
      </c>
      <c r="E921" s="888" t="e">
        <f ca="1">+AA560</f>
        <v>#NUM!</v>
      </c>
      <c r="F921" s="888" t="e">
        <f ca="1">+AM560</f>
        <v>#NUM!</v>
      </c>
      <c r="G921" s="888" t="e">
        <f ca="1">+AY560</f>
        <v>#NUM!</v>
      </c>
      <c r="H921" s="888" t="e">
        <f ca="1">+BK560</f>
        <v>#NUM!</v>
      </c>
      <c r="I921" s="888" t="e">
        <f ca="1">+BW560</f>
        <v>#NUM!</v>
      </c>
      <c r="J921" s="888" t="e">
        <f ca="1">+CI560</f>
        <v>#NUM!</v>
      </c>
      <c r="K921" s="888" t="e">
        <f ca="1">+CU560</f>
        <v>#NUM!</v>
      </c>
      <c r="L921" s="909" t="e">
        <f ca="1">+DG560</f>
        <v>#NUM!</v>
      </c>
      <c r="U921" s="663"/>
      <c r="Z921" s="663"/>
      <c r="AA921" s="663"/>
      <c r="AB921" s="663"/>
      <c r="AC921" s="663"/>
      <c r="AD921" s="663"/>
      <c r="AE921" s="663"/>
      <c r="AF921" s="663"/>
      <c r="AG921" s="663"/>
      <c r="AH921" s="663"/>
      <c r="AI921" s="663"/>
      <c r="AJ921" s="663"/>
      <c r="AK921" s="663"/>
      <c r="AL921" s="663"/>
      <c r="AM921" s="663"/>
      <c r="AN921" s="663"/>
    </row>
    <row r="922" spans="2:40" outlineLevel="1" x14ac:dyDescent="0.25">
      <c r="B922" s="668" t="str">
        <f t="shared" ref="B922:B924" si="2539">B913</f>
        <v>IRR in 44 months (09/12)</v>
      </c>
      <c r="C922" s="888" t="e">
        <f ca="1">C575</f>
        <v>#NUM!</v>
      </c>
      <c r="D922" s="888" t="e">
        <f ca="1">O575</f>
        <v>#NUM!</v>
      </c>
      <c r="E922" s="888" t="e">
        <f ca="1">AA575</f>
        <v>#NUM!</v>
      </c>
      <c r="F922" s="888" t="e">
        <f ca="1">AM575</f>
        <v>#NUM!</v>
      </c>
      <c r="G922" s="888" t="e">
        <f ca="1">AY575</f>
        <v>#NUM!</v>
      </c>
      <c r="H922" s="888" t="e">
        <f ca="1">BK575</f>
        <v>#NUM!</v>
      </c>
      <c r="I922" s="888" t="e">
        <f ca="1">BW575</f>
        <v>#NUM!</v>
      </c>
      <c r="J922" s="888" t="e">
        <f ca="1">CI575</f>
        <v>#NUM!</v>
      </c>
      <c r="K922" s="888" t="e">
        <f ca="1">CU575</f>
        <v>#NUM!</v>
      </c>
      <c r="L922" s="909" t="e">
        <f ca="1">DG575</f>
        <v>#NUM!</v>
      </c>
      <c r="U922" s="663"/>
      <c r="Z922" s="663"/>
      <c r="AA922" s="663"/>
      <c r="AB922" s="663"/>
      <c r="AC922" s="663"/>
      <c r="AD922" s="663"/>
      <c r="AE922" s="663"/>
      <c r="AF922" s="663"/>
      <c r="AG922" s="663"/>
      <c r="AH922" s="663"/>
      <c r="AI922" s="663"/>
      <c r="AJ922" s="663"/>
      <c r="AK922" s="663"/>
      <c r="AL922" s="663"/>
      <c r="AM922" s="663"/>
      <c r="AN922" s="663"/>
    </row>
    <row r="923" spans="2:40" outlineLevel="1" x14ac:dyDescent="0.25">
      <c r="B923" s="668" t="str">
        <f t="shared" si="2539"/>
        <v>IRR in 50 months (03/13)</v>
      </c>
      <c r="C923" s="888" t="e">
        <f ca="1">C590</f>
        <v>#NUM!</v>
      </c>
      <c r="D923" s="888" t="e">
        <f ca="1">O590</f>
        <v>#NUM!</v>
      </c>
      <c r="E923" s="888" t="e">
        <f ca="1">AA590</f>
        <v>#NUM!</v>
      </c>
      <c r="F923" s="888" t="e">
        <f ca="1">AM590</f>
        <v>#NUM!</v>
      </c>
      <c r="G923" s="888" t="e">
        <f ca="1">AY590</f>
        <v>#NUM!</v>
      </c>
      <c r="H923" s="888" t="e">
        <f ca="1">BK590</f>
        <v>#NUM!</v>
      </c>
      <c r="I923" s="888" t="e">
        <f ca="1">BW590</f>
        <v>#NUM!</v>
      </c>
      <c r="J923" s="888" t="e">
        <f ca="1">CI590</f>
        <v>#NUM!</v>
      </c>
      <c r="K923" s="888" t="e">
        <f ca="1">CU590</f>
        <v>#NUM!</v>
      </c>
      <c r="L923" s="909" t="e">
        <f ca="1">DG590</f>
        <v>#NUM!</v>
      </c>
      <c r="U923" s="663"/>
      <c r="Z923" s="663"/>
      <c r="AA923" s="663"/>
      <c r="AB923" s="663"/>
      <c r="AC923" s="663"/>
      <c r="AD923" s="663"/>
      <c r="AE923" s="663"/>
      <c r="AF923" s="663"/>
      <c r="AG923" s="663"/>
      <c r="AH923" s="663"/>
      <c r="AI923" s="663"/>
      <c r="AJ923" s="663"/>
      <c r="AK923" s="663"/>
      <c r="AL923" s="663"/>
      <c r="AM923" s="663"/>
      <c r="AN923" s="663"/>
    </row>
    <row r="924" spans="2:40" outlineLevel="1" x14ac:dyDescent="0.25">
      <c r="B924" s="668" t="str">
        <f t="shared" si="2539"/>
        <v>IRR in 56 months (09/13)</v>
      </c>
      <c r="C924" s="888" t="e">
        <f ca="1">C605</f>
        <v>#NUM!</v>
      </c>
      <c r="D924" s="888" t="e">
        <f ca="1">O605</f>
        <v>#NUM!</v>
      </c>
      <c r="E924" s="888" t="e">
        <f ca="1">AA605</f>
        <v>#NUM!</v>
      </c>
      <c r="F924" s="888" t="e">
        <f ca="1">AM605</f>
        <v>#NUM!</v>
      </c>
      <c r="G924" s="888" t="e">
        <f ca="1">AY605</f>
        <v>#NUM!</v>
      </c>
      <c r="H924" s="888" t="e">
        <f ca="1">BK605</f>
        <v>#NUM!</v>
      </c>
      <c r="I924" s="888" t="e">
        <f ca="1">BW605</f>
        <v>#NUM!</v>
      </c>
      <c r="J924" s="888" t="e">
        <f ca="1">CI605</f>
        <v>#NUM!</v>
      </c>
      <c r="K924" s="888" t="e">
        <f ca="1">CU605</f>
        <v>#NUM!</v>
      </c>
      <c r="L924" s="909" t="e">
        <f ca="1">DG605</f>
        <v>#NUM!</v>
      </c>
      <c r="U924" s="663"/>
      <c r="Z924" s="663"/>
      <c r="AA924" s="663"/>
      <c r="AB924" s="663"/>
      <c r="AC924" s="663"/>
      <c r="AD924" s="663"/>
      <c r="AE924" s="663"/>
      <c r="AF924" s="663"/>
      <c r="AG924" s="663"/>
      <c r="AH924" s="663"/>
      <c r="AI924" s="663"/>
      <c r="AJ924" s="663"/>
      <c r="AK924" s="663"/>
      <c r="AL924" s="663"/>
      <c r="AM924" s="663"/>
      <c r="AN924" s="663"/>
    </row>
    <row r="925" spans="2:40" outlineLevel="1" x14ac:dyDescent="0.25">
      <c r="B925" s="894"/>
      <c r="C925" s="666"/>
      <c r="D925" s="666"/>
      <c r="E925" s="666"/>
      <c r="F925" s="666"/>
      <c r="G925" s="666"/>
      <c r="H925" s="666"/>
      <c r="I925" s="666"/>
      <c r="J925" s="666"/>
      <c r="K925" s="666"/>
      <c r="L925" s="667"/>
      <c r="U925" s="663"/>
      <c r="Z925" s="663"/>
      <c r="AA925" s="663"/>
      <c r="AB925" s="663"/>
      <c r="AC925" s="663"/>
      <c r="AD925" s="663"/>
      <c r="AE925" s="663"/>
      <c r="AF925" s="663"/>
      <c r="AG925" s="663"/>
      <c r="AH925" s="663"/>
      <c r="AI925" s="663"/>
      <c r="AJ925" s="663"/>
      <c r="AK925" s="663"/>
      <c r="AL925" s="663"/>
      <c r="AM925" s="663"/>
      <c r="AN925" s="663"/>
    </row>
    <row r="926" spans="2:40" x14ac:dyDescent="0.25">
      <c r="B926" s="894"/>
      <c r="C926" s="666"/>
      <c r="D926" s="666"/>
      <c r="E926" s="666"/>
      <c r="F926" s="666"/>
      <c r="G926" s="666"/>
      <c r="H926" s="666"/>
      <c r="I926" s="666"/>
      <c r="J926" s="666"/>
      <c r="K926" s="666"/>
      <c r="L926" s="667"/>
      <c r="U926" s="663"/>
      <c r="Z926" s="663"/>
      <c r="AA926" s="663"/>
      <c r="AB926" s="663"/>
      <c r="AC926" s="663"/>
      <c r="AD926" s="663"/>
      <c r="AE926" s="663"/>
      <c r="AF926" s="663"/>
      <c r="AG926" s="663"/>
      <c r="AH926" s="663"/>
      <c r="AI926" s="663"/>
      <c r="AJ926" s="663"/>
      <c r="AK926" s="663"/>
      <c r="AL926" s="663"/>
      <c r="AM926" s="663"/>
      <c r="AN926" s="663"/>
    </row>
    <row r="927" spans="2:40" outlineLevel="1" x14ac:dyDescent="0.25">
      <c r="B927" s="661" t="str">
        <f>CONCATENATE(B208," Gross Return Analysis")</f>
        <v>Inv G Gross Return Analysis</v>
      </c>
      <c r="C927" s="666"/>
      <c r="D927" s="666"/>
      <c r="E927" s="666"/>
      <c r="F927" s="666"/>
      <c r="G927" s="666"/>
      <c r="H927" s="666"/>
      <c r="I927" s="666"/>
      <c r="J927" s="666"/>
      <c r="K927" s="666"/>
      <c r="L927" s="667"/>
      <c r="U927" s="663"/>
      <c r="Z927" s="663"/>
      <c r="AA927" s="663"/>
      <c r="AB927" s="663"/>
      <c r="AC927" s="663"/>
      <c r="AD927" s="663"/>
      <c r="AE927" s="663"/>
      <c r="AF927" s="663"/>
      <c r="AG927" s="663"/>
      <c r="AH927" s="663"/>
      <c r="AI927" s="663"/>
      <c r="AJ927" s="663"/>
      <c r="AK927" s="663"/>
      <c r="AL927" s="663"/>
      <c r="AM927" s="663"/>
      <c r="AN927" s="663"/>
    </row>
    <row r="928" spans="2:40" outlineLevel="1" x14ac:dyDescent="0.25">
      <c r="B928" s="668" t="s">
        <v>114</v>
      </c>
      <c r="C928" s="666">
        <f ca="1">C611</f>
        <v>0</v>
      </c>
      <c r="D928" s="666">
        <f ca="1">O611</f>
        <v>0</v>
      </c>
      <c r="E928" s="666">
        <f ca="1">AA611</f>
        <v>0</v>
      </c>
      <c r="F928" s="666">
        <f ca="1">AM611</f>
        <v>0</v>
      </c>
      <c r="G928" s="666">
        <f ca="1">AY611</f>
        <v>0</v>
      </c>
      <c r="H928" s="666">
        <f ca="1">BK611</f>
        <v>0</v>
      </c>
      <c r="I928" s="666">
        <f ca="1">BW611</f>
        <v>0</v>
      </c>
      <c r="J928" s="666">
        <f ca="1">CI611</f>
        <v>0</v>
      </c>
      <c r="K928" s="666">
        <f ca="1">CU611</f>
        <v>0</v>
      </c>
      <c r="L928" s="667">
        <f ca="1">DG611</f>
        <v>0</v>
      </c>
      <c r="U928" s="663"/>
      <c r="Z928" s="663"/>
      <c r="AA928" s="663"/>
      <c r="AB928" s="663"/>
      <c r="AC928" s="663"/>
      <c r="AD928" s="663"/>
      <c r="AE928" s="663"/>
      <c r="AF928" s="663"/>
      <c r="AG928" s="663"/>
      <c r="AH928" s="663"/>
      <c r="AI928" s="663"/>
      <c r="AJ928" s="663"/>
      <c r="AK928" s="663"/>
      <c r="AL928" s="663"/>
      <c r="AM928" s="663"/>
      <c r="AN928" s="663"/>
    </row>
    <row r="929" spans="2:40" outlineLevel="1" x14ac:dyDescent="0.25">
      <c r="B929" s="668" t="s">
        <v>115</v>
      </c>
      <c r="C929" s="895">
        <f ca="1">C612</f>
        <v>0</v>
      </c>
      <c r="D929" s="895">
        <f ca="1">O612</f>
        <v>0</v>
      </c>
      <c r="E929" s="895">
        <f ca="1">AA612</f>
        <v>0</v>
      </c>
      <c r="F929" s="895">
        <f ca="1">AM612</f>
        <v>0</v>
      </c>
      <c r="G929" s="895">
        <f ca="1">AY612</f>
        <v>0</v>
      </c>
      <c r="H929" s="895">
        <f ca="1">BK612</f>
        <v>0</v>
      </c>
      <c r="I929" s="895">
        <f ca="1">BW612</f>
        <v>0</v>
      </c>
      <c r="J929" s="895">
        <f ca="1">CI612</f>
        <v>0</v>
      </c>
      <c r="K929" s="895">
        <f ca="1">CU612</f>
        <v>0</v>
      </c>
      <c r="L929" s="906">
        <f ca="1">DG612</f>
        <v>0</v>
      </c>
      <c r="U929" s="663"/>
      <c r="Z929" s="663"/>
      <c r="AA929" s="663"/>
      <c r="AB929" s="663"/>
      <c r="AC929" s="663"/>
      <c r="AD929" s="663"/>
      <c r="AE929" s="663"/>
      <c r="AF929" s="663"/>
      <c r="AG929" s="663"/>
      <c r="AH929" s="663"/>
      <c r="AI929" s="663"/>
      <c r="AJ929" s="663"/>
      <c r="AK929" s="663"/>
      <c r="AL929" s="663"/>
      <c r="AM929" s="663"/>
      <c r="AN929" s="663"/>
    </row>
    <row r="930" spans="2:40" outlineLevel="1" x14ac:dyDescent="0.25">
      <c r="B930" s="668" t="str">
        <f>B921</f>
        <v>IRR in 38 months (03/12)</v>
      </c>
      <c r="C930" s="888" t="e">
        <f ca="1">+C624</f>
        <v>#NUM!</v>
      </c>
      <c r="D930" s="888" t="e">
        <f ca="1">+O624</f>
        <v>#NUM!</v>
      </c>
      <c r="E930" s="888" t="e">
        <f ca="1">+AA624</f>
        <v>#NUM!</v>
      </c>
      <c r="F930" s="888" t="e">
        <f ca="1">+AM624</f>
        <v>#NUM!</v>
      </c>
      <c r="G930" s="888" t="e">
        <f ca="1">+AY624</f>
        <v>#NUM!</v>
      </c>
      <c r="H930" s="888" t="e">
        <f ca="1">+BK624</f>
        <v>#NUM!</v>
      </c>
      <c r="I930" s="888" t="e">
        <f ca="1">+BW624</f>
        <v>#NUM!</v>
      </c>
      <c r="J930" s="888" t="e">
        <f ca="1">+CI624</f>
        <v>#NUM!</v>
      </c>
      <c r="K930" s="888" t="e">
        <f ca="1">+CU624</f>
        <v>#NUM!</v>
      </c>
      <c r="L930" s="909" t="e">
        <f ca="1">+DG624</f>
        <v>#NUM!</v>
      </c>
      <c r="U930" s="663"/>
      <c r="Z930" s="663"/>
      <c r="AA930" s="663"/>
      <c r="AB930" s="663"/>
      <c r="AC930" s="663"/>
      <c r="AD930" s="663"/>
      <c r="AE930" s="663"/>
      <c r="AF930" s="663"/>
      <c r="AG930" s="663"/>
      <c r="AH930" s="663"/>
      <c r="AI930" s="663"/>
      <c r="AJ930" s="663"/>
      <c r="AK930" s="663"/>
      <c r="AL930" s="663"/>
      <c r="AM930" s="663"/>
      <c r="AN930" s="663"/>
    </row>
    <row r="931" spans="2:40" outlineLevel="1" x14ac:dyDescent="0.25">
      <c r="B931" s="668" t="str">
        <f t="shared" ref="B931:B933" si="2540">B922</f>
        <v>IRR in 44 months (09/12)</v>
      </c>
      <c r="C931" s="888" t="e">
        <f ca="1">+C639</f>
        <v>#NUM!</v>
      </c>
      <c r="D931" s="888" t="e">
        <f ca="1">+O639</f>
        <v>#NUM!</v>
      </c>
      <c r="E931" s="888" t="e">
        <f ca="1">+AA639</f>
        <v>#NUM!</v>
      </c>
      <c r="F931" s="888" t="e">
        <f ca="1">+AM639</f>
        <v>#NUM!</v>
      </c>
      <c r="G931" s="888" t="e">
        <f ca="1">+AY639</f>
        <v>#NUM!</v>
      </c>
      <c r="H931" s="888" t="e">
        <f ca="1">+BK639</f>
        <v>#NUM!</v>
      </c>
      <c r="I931" s="888" t="e">
        <f ca="1">+BW639</f>
        <v>#NUM!</v>
      </c>
      <c r="J931" s="888" t="e">
        <f ca="1">+CI639</f>
        <v>#NUM!</v>
      </c>
      <c r="K931" s="888" t="e">
        <f ca="1">+CU639</f>
        <v>#NUM!</v>
      </c>
      <c r="L931" s="909" t="e">
        <f ca="1">+DG639</f>
        <v>#NUM!</v>
      </c>
      <c r="U931" s="663"/>
      <c r="Z931" s="663"/>
      <c r="AA931" s="663"/>
      <c r="AB931" s="663"/>
      <c r="AC931" s="663"/>
      <c r="AD931" s="663"/>
      <c r="AE931" s="663"/>
      <c r="AF931" s="663"/>
      <c r="AG931" s="663"/>
      <c r="AH931" s="663"/>
      <c r="AI931" s="663"/>
      <c r="AJ931" s="663"/>
      <c r="AK931" s="663"/>
      <c r="AL931" s="663"/>
      <c r="AM931" s="663"/>
      <c r="AN931" s="663"/>
    </row>
    <row r="932" spans="2:40" outlineLevel="1" x14ac:dyDescent="0.25">
      <c r="B932" s="668" t="str">
        <f t="shared" si="2540"/>
        <v>IRR in 50 months (03/13)</v>
      </c>
      <c r="C932" s="888" t="e">
        <f ca="1">+C654</f>
        <v>#NUM!</v>
      </c>
      <c r="D932" s="888" t="e">
        <f ca="1">+O654</f>
        <v>#NUM!</v>
      </c>
      <c r="E932" s="888" t="e">
        <f ca="1">+AA654</f>
        <v>#NUM!</v>
      </c>
      <c r="F932" s="888" t="e">
        <f ca="1">+AM654</f>
        <v>#NUM!</v>
      </c>
      <c r="G932" s="888" t="e">
        <f ca="1">+AY654</f>
        <v>#NUM!</v>
      </c>
      <c r="H932" s="888" t="e">
        <f ca="1">+BK654</f>
        <v>#NUM!</v>
      </c>
      <c r="I932" s="888" t="e">
        <f ca="1">+BW654</f>
        <v>#NUM!</v>
      </c>
      <c r="J932" s="888" t="e">
        <f ca="1">+CI654</f>
        <v>#NUM!</v>
      </c>
      <c r="K932" s="888" t="e">
        <f ca="1">+CU654</f>
        <v>#NUM!</v>
      </c>
      <c r="L932" s="909" t="e">
        <f ca="1">+DG654</f>
        <v>#NUM!</v>
      </c>
      <c r="U932" s="663"/>
      <c r="Z932" s="663"/>
      <c r="AA932" s="663"/>
      <c r="AB932" s="663"/>
      <c r="AC932" s="663"/>
      <c r="AD932" s="663"/>
      <c r="AE932" s="663"/>
      <c r="AF932" s="663"/>
      <c r="AG932" s="663"/>
      <c r="AH932" s="663"/>
      <c r="AI932" s="663"/>
      <c r="AJ932" s="663"/>
      <c r="AK932" s="663"/>
      <c r="AL932" s="663"/>
      <c r="AM932" s="663"/>
      <c r="AN932" s="663"/>
    </row>
    <row r="933" spans="2:40" outlineLevel="1" x14ac:dyDescent="0.25">
      <c r="B933" s="668" t="str">
        <f t="shared" si="2540"/>
        <v>IRR in 56 months (09/13)</v>
      </c>
      <c r="C933" s="888" t="e">
        <f ca="1">+C669</f>
        <v>#NUM!</v>
      </c>
      <c r="D933" s="888" t="e">
        <f ca="1">+O669</f>
        <v>#NUM!</v>
      </c>
      <c r="E933" s="888" t="e">
        <f ca="1">+AA669</f>
        <v>#NUM!</v>
      </c>
      <c r="F933" s="888" t="e">
        <f ca="1">+AM669</f>
        <v>#NUM!</v>
      </c>
      <c r="G933" s="888" t="e">
        <f ca="1">+AY669</f>
        <v>#NUM!</v>
      </c>
      <c r="H933" s="888" t="e">
        <f ca="1">+BK669</f>
        <v>#NUM!</v>
      </c>
      <c r="I933" s="888" t="e">
        <f ca="1">+BW669</f>
        <v>#NUM!</v>
      </c>
      <c r="J933" s="888" t="e">
        <f ca="1">+CI669</f>
        <v>#NUM!</v>
      </c>
      <c r="K933" s="888" t="e">
        <f ca="1">+CU669</f>
        <v>#NUM!</v>
      </c>
      <c r="L933" s="909" t="e">
        <f ca="1">+DG669</f>
        <v>#NUM!</v>
      </c>
      <c r="U933" s="663"/>
      <c r="Z933" s="663"/>
      <c r="AA933" s="663"/>
      <c r="AB933" s="663"/>
      <c r="AC933" s="663"/>
      <c r="AD933" s="663"/>
      <c r="AE933" s="663"/>
      <c r="AF933" s="663"/>
      <c r="AG933" s="663"/>
      <c r="AH933" s="663"/>
      <c r="AI933" s="663"/>
      <c r="AJ933" s="663"/>
      <c r="AK933" s="663"/>
      <c r="AL933" s="663"/>
      <c r="AM933" s="663"/>
      <c r="AN933" s="663"/>
    </row>
    <row r="934" spans="2:40" outlineLevel="1" x14ac:dyDescent="0.25">
      <c r="B934" s="894"/>
      <c r="C934" s="666"/>
      <c r="D934" s="666"/>
      <c r="E934" s="666"/>
      <c r="F934" s="666"/>
      <c r="G934" s="666"/>
      <c r="H934" s="666"/>
      <c r="I934" s="666"/>
      <c r="J934" s="666"/>
      <c r="K934" s="666"/>
      <c r="L934" s="667"/>
      <c r="U934" s="663"/>
      <c r="Z934" s="663"/>
      <c r="AA934" s="663"/>
      <c r="AB934" s="663"/>
      <c r="AC934" s="663"/>
      <c r="AD934" s="663"/>
      <c r="AE934" s="663"/>
      <c r="AF934" s="663"/>
      <c r="AG934" s="663"/>
      <c r="AH934" s="663"/>
      <c r="AI934" s="663"/>
      <c r="AJ934" s="663"/>
      <c r="AK934" s="663"/>
      <c r="AL934" s="663"/>
      <c r="AM934" s="663"/>
      <c r="AN934" s="663"/>
    </row>
    <row r="935" spans="2:40" x14ac:dyDescent="0.25">
      <c r="B935" s="894"/>
      <c r="C935" s="666"/>
      <c r="D935" s="666"/>
      <c r="E935" s="666"/>
      <c r="F935" s="666"/>
      <c r="G935" s="666"/>
      <c r="H935" s="666"/>
      <c r="I935" s="666"/>
      <c r="J935" s="666"/>
      <c r="K935" s="666"/>
      <c r="L935" s="667"/>
      <c r="U935" s="663"/>
      <c r="Z935" s="663"/>
      <c r="AA935" s="663"/>
      <c r="AB935" s="663"/>
      <c r="AC935" s="663"/>
      <c r="AD935" s="663"/>
      <c r="AE935" s="663"/>
      <c r="AF935" s="663"/>
      <c r="AG935" s="663"/>
      <c r="AH935" s="663"/>
      <c r="AI935" s="663"/>
      <c r="AJ935" s="663"/>
      <c r="AK935" s="663"/>
      <c r="AL935" s="663"/>
      <c r="AM935" s="663"/>
      <c r="AN935" s="663"/>
    </row>
    <row r="936" spans="2:40" outlineLevel="1" x14ac:dyDescent="0.25">
      <c r="B936" s="661" t="str">
        <f>CONCATENATE(B209," Gross Return Analysis")</f>
        <v>Inv H Gross Return Analysis</v>
      </c>
      <c r="C936" s="666"/>
      <c r="D936" s="666"/>
      <c r="E936" s="666"/>
      <c r="F936" s="666"/>
      <c r="G936" s="666"/>
      <c r="H936" s="666"/>
      <c r="I936" s="666"/>
      <c r="J936" s="666"/>
      <c r="K936" s="666"/>
      <c r="L936" s="667"/>
      <c r="U936" s="663"/>
      <c r="Z936" s="663"/>
      <c r="AA936" s="663"/>
      <c r="AB936" s="663"/>
      <c r="AC936" s="663"/>
      <c r="AD936" s="663"/>
      <c r="AE936" s="663"/>
      <c r="AF936" s="663"/>
      <c r="AG936" s="663"/>
      <c r="AH936" s="663"/>
      <c r="AI936" s="663"/>
      <c r="AJ936" s="663"/>
      <c r="AK936" s="663"/>
      <c r="AL936" s="663"/>
      <c r="AM936" s="663"/>
      <c r="AN936" s="663"/>
    </row>
    <row r="937" spans="2:40" outlineLevel="1" x14ac:dyDescent="0.25">
      <c r="B937" s="668" t="s">
        <v>114</v>
      </c>
      <c r="C937" s="666">
        <f ca="1">C675</f>
        <v>0</v>
      </c>
      <c r="D937" s="666">
        <f ca="1">O675</f>
        <v>0</v>
      </c>
      <c r="E937" s="666">
        <f ca="1">AA675</f>
        <v>0</v>
      </c>
      <c r="F937" s="666">
        <f ca="1">AM675</f>
        <v>0</v>
      </c>
      <c r="G937" s="666">
        <f ca="1">AY675</f>
        <v>0</v>
      </c>
      <c r="H937" s="666">
        <f ca="1">BK675</f>
        <v>0</v>
      </c>
      <c r="I937" s="666">
        <f ca="1">BW675</f>
        <v>0</v>
      </c>
      <c r="J937" s="666">
        <f ca="1">CI675</f>
        <v>0</v>
      </c>
      <c r="K937" s="666">
        <f ca="1">CU675</f>
        <v>0</v>
      </c>
      <c r="L937" s="667">
        <f ca="1">DG675</f>
        <v>0</v>
      </c>
      <c r="U937" s="663"/>
      <c r="Z937" s="663"/>
      <c r="AA937" s="663"/>
      <c r="AB937" s="663"/>
      <c r="AC937" s="663"/>
      <c r="AD937" s="663"/>
      <c r="AE937" s="663"/>
      <c r="AF937" s="663"/>
      <c r="AG937" s="663"/>
      <c r="AH937" s="663"/>
      <c r="AI937" s="663"/>
      <c r="AJ937" s="663"/>
      <c r="AK937" s="663"/>
      <c r="AL937" s="663"/>
      <c r="AM937" s="663"/>
      <c r="AN937" s="663"/>
    </row>
    <row r="938" spans="2:40" outlineLevel="1" x14ac:dyDescent="0.25">
      <c r="B938" s="668" t="s">
        <v>115</v>
      </c>
      <c r="C938" s="895">
        <f ca="1">C676</f>
        <v>0</v>
      </c>
      <c r="D938" s="895">
        <f ca="1">O676</f>
        <v>0</v>
      </c>
      <c r="E938" s="895">
        <f ca="1">AA676</f>
        <v>0</v>
      </c>
      <c r="F938" s="895">
        <f ca="1">AM676</f>
        <v>0</v>
      </c>
      <c r="G938" s="895">
        <f ca="1">AY676</f>
        <v>0</v>
      </c>
      <c r="H938" s="895">
        <f ca="1">BK676</f>
        <v>0</v>
      </c>
      <c r="I938" s="895">
        <f ca="1">BW676</f>
        <v>0</v>
      </c>
      <c r="J938" s="895">
        <f ca="1">CI676</f>
        <v>0</v>
      </c>
      <c r="K938" s="895">
        <f ca="1">CU676</f>
        <v>0</v>
      </c>
      <c r="L938" s="906">
        <f ca="1">DG676</f>
        <v>0</v>
      </c>
      <c r="U938" s="663"/>
      <c r="Z938" s="663"/>
      <c r="AA938" s="663"/>
      <c r="AB938" s="663"/>
      <c r="AC938" s="663"/>
      <c r="AD938" s="663"/>
      <c r="AE938" s="663"/>
      <c r="AF938" s="663"/>
      <c r="AG938" s="663"/>
      <c r="AH938" s="663"/>
      <c r="AI938" s="663"/>
      <c r="AJ938" s="663"/>
      <c r="AK938" s="663"/>
      <c r="AL938" s="663"/>
      <c r="AM938" s="663"/>
      <c r="AN938" s="663"/>
    </row>
    <row r="939" spans="2:40" outlineLevel="1" x14ac:dyDescent="0.25">
      <c r="B939" s="668" t="str">
        <f>B930</f>
        <v>IRR in 38 months (03/12)</v>
      </c>
      <c r="C939" s="888" t="e">
        <f ca="1">+C688</f>
        <v>#NUM!</v>
      </c>
      <c r="D939" s="888" t="e">
        <f ca="1">+O688</f>
        <v>#NUM!</v>
      </c>
      <c r="E939" s="888" t="e">
        <f ca="1">+AA688</f>
        <v>#NUM!</v>
      </c>
      <c r="F939" s="888" t="e">
        <f ca="1">+AM688</f>
        <v>#NUM!</v>
      </c>
      <c r="G939" s="888" t="e">
        <f ca="1">+AY688</f>
        <v>#NUM!</v>
      </c>
      <c r="H939" s="888" t="e">
        <f ca="1">+BK688</f>
        <v>#NUM!</v>
      </c>
      <c r="I939" s="888" t="e">
        <f ca="1">+BW688</f>
        <v>#NUM!</v>
      </c>
      <c r="J939" s="888" t="e">
        <f ca="1">+CI688</f>
        <v>#NUM!</v>
      </c>
      <c r="K939" s="888" t="e">
        <f ca="1">+CU688</f>
        <v>#NUM!</v>
      </c>
      <c r="L939" s="909" t="e">
        <f ca="1">+DG688</f>
        <v>#NUM!</v>
      </c>
      <c r="U939" s="663"/>
      <c r="Z939" s="663"/>
      <c r="AA939" s="663"/>
      <c r="AB939" s="663"/>
      <c r="AC939" s="663"/>
      <c r="AD939" s="663"/>
      <c r="AE939" s="663"/>
      <c r="AF939" s="663"/>
      <c r="AG939" s="663"/>
      <c r="AH939" s="663"/>
      <c r="AI939" s="663"/>
      <c r="AJ939" s="663"/>
      <c r="AK939" s="663"/>
      <c r="AL939" s="663"/>
      <c r="AM939" s="663"/>
      <c r="AN939" s="663"/>
    </row>
    <row r="940" spans="2:40" outlineLevel="1" x14ac:dyDescent="0.25">
      <c r="B940" s="668" t="str">
        <f t="shared" ref="B940:B942" si="2541">B931</f>
        <v>IRR in 44 months (09/12)</v>
      </c>
      <c r="C940" s="888" t="e">
        <f ca="1">+C703</f>
        <v>#NUM!</v>
      </c>
      <c r="D940" s="888" t="e">
        <f ca="1">+O703</f>
        <v>#NUM!</v>
      </c>
      <c r="E940" s="888" t="e">
        <f ca="1">+AA703</f>
        <v>#NUM!</v>
      </c>
      <c r="F940" s="888" t="e">
        <f ca="1">+AM703</f>
        <v>#NUM!</v>
      </c>
      <c r="G940" s="888" t="e">
        <f ca="1">+AY703</f>
        <v>#NUM!</v>
      </c>
      <c r="H940" s="888" t="e">
        <f ca="1">+BK703</f>
        <v>#NUM!</v>
      </c>
      <c r="I940" s="888" t="e">
        <f ca="1">+BW703</f>
        <v>#NUM!</v>
      </c>
      <c r="J940" s="888" t="e">
        <f ca="1">+CI703</f>
        <v>#NUM!</v>
      </c>
      <c r="K940" s="888" t="e">
        <f ca="1">+CU703</f>
        <v>#NUM!</v>
      </c>
      <c r="L940" s="909" t="e">
        <f ca="1">+DG703</f>
        <v>#NUM!</v>
      </c>
      <c r="U940" s="663"/>
      <c r="Z940" s="663"/>
      <c r="AA940" s="663"/>
      <c r="AB940" s="663"/>
      <c r="AC940" s="663"/>
      <c r="AD940" s="663"/>
      <c r="AE940" s="663"/>
      <c r="AF940" s="663"/>
      <c r="AG940" s="663"/>
      <c r="AH940" s="663"/>
      <c r="AI940" s="663"/>
      <c r="AJ940" s="663"/>
      <c r="AK940" s="663"/>
      <c r="AL940" s="663"/>
      <c r="AM940" s="663"/>
      <c r="AN940" s="663"/>
    </row>
    <row r="941" spans="2:40" outlineLevel="1" x14ac:dyDescent="0.25">
      <c r="B941" s="668" t="str">
        <f t="shared" si="2541"/>
        <v>IRR in 50 months (03/13)</v>
      </c>
      <c r="C941" s="888" t="e">
        <f ca="1">+C718</f>
        <v>#NUM!</v>
      </c>
      <c r="D941" s="888" t="e">
        <f ca="1">+O718</f>
        <v>#NUM!</v>
      </c>
      <c r="E941" s="888" t="e">
        <f ca="1">+AA718</f>
        <v>#NUM!</v>
      </c>
      <c r="F941" s="888" t="e">
        <f ca="1">+AM718</f>
        <v>#NUM!</v>
      </c>
      <c r="G941" s="888" t="e">
        <f ca="1">+AY718</f>
        <v>#NUM!</v>
      </c>
      <c r="H941" s="888" t="e">
        <f ca="1">+BK718</f>
        <v>#NUM!</v>
      </c>
      <c r="I941" s="888" t="e">
        <f ca="1">+BW718</f>
        <v>#NUM!</v>
      </c>
      <c r="J941" s="888" t="e">
        <f ca="1">+CI718</f>
        <v>#NUM!</v>
      </c>
      <c r="K941" s="888" t="e">
        <f ca="1">+CU718</f>
        <v>#NUM!</v>
      </c>
      <c r="L941" s="909" t="e">
        <f ca="1">+DG718</f>
        <v>#NUM!</v>
      </c>
      <c r="U941" s="663"/>
      <c r="Z941" s="663"/>
      <c r="AA941" s="663"/>
      <c r="AB941" s="663"/>
      <c r="AC941" s="663"/>
      <c r="AD941" s="663"/>
      <c r="AE941" s="663"/>
      <c r="AF941" s="663"/>
      <c r="AG941" s="663"/>
      <c r="AH941" s="663"/>
      <c r="AI941" s="663"/>
      <c r="AJ941" s="663"/>
      <c r="AK941" s="663"/>
      <c r="AL941" s="663"/>
      <c r="AM941" s="663"/>
      <c r="AN941" s="663"/>
    </row>
    <row r="942" spans="2:40" outlineLevel="1" x14ac:dyDescent="0.25">
      <c r="B942" s="668" t="str">
        <f t="shared" si="2541"/>
        <v>IRR in 56 months (09/13)</v>
      </c>
      <c r="C942" s="888" t="e">
        <f ca="1">+C733</f>
        <v>#NUM!</v>
      </c>
      <c r="D942" s="888" t="e">
        <f ca="1">+O733</f>
        <v>#NUM!</v>
      </c>
      <c r="E942" s="888" t="e">
        <f ca="1">+AA733</f>
        <v>#NUM!</v>
      </c>
      <c r="F942" s="888" t="e">
        <f ca="1">+AM733</f>
        <v>#NUM!</v>
      </c>
      <c r="G942" s="888" t="e">
        <f ca="1">+AY733</f>
        <v>#NUM!</v>
      </c>
      <c r="H942" s="888" t="e">
        <f ca="1">+BK733</f>
        <v>#NUM!</v>
      </c>
      <c r="I942" s="888" t="e">
        <f ca="1">+BW733</f>
        <v>#NUM!</v>
      </c>
      <c r="J942" s="888" t="e">
        <f ca="1">+CI733</f>
        <v>#NUM!</v>
      </c>
      <c r="K942" s="888" t="e">
        <f ca="1">+CU733</f>
        <v>#NUM!</v>
      </c>
      <c r="L942" s="909" t="e">
        <f ca="1">+DG733</f>
        <v>#NUM!</v>
      </c>
      <c r="U942" s="663"/>
      <c r="Z942" s="663"/>
      <c r="AA942" s="663"/>
      <c r="AB942" s="663"/>
      <c r="AC942" s="663"/>
      <c r="AD942" s="663"/>
      <c r="AE942" s="663"/>
      <c r="AF942" s="663"/>
      <c r="AG942" s="663"/>
      <c r="AH942" s="663"/>
      <c r="AI942" s="663"/>
      <c r="AJ942" s="663"/>
      <c r="AK942" s="663"/>
      <c r="AL942" s="663"/>
      <c r="AM942" s="663"/>
      <c r="AN942" s="663"/>
    </row>
    <row r="943" spans="2:40" outlineLevel="1" x14ac:dyDescent="0.25">
      <c r="B943" s="894"/>
      <c r="C943" s="666"/>
      <c r="D943" s="666"/>
      <c r="E943" s="666"/>
      <c r="F943" s="666"/>
      <c r="G943" s="666"/>
      <c r="H943" s="666"/>
      <c r="I943" s="666"/>
      <c r="J943" s="666"/>
      <c r="K943" s="666"/>
      <c r="L943" s="667"/>
      <c r="U943" s="663"/>
      <c r="Z943" s="663"/>
      <c r="AA943" s="663"/>
      <c r="AB943" s="663"/>
      <c r="AC943" s="663"/>
      <c r="AD943" s="663"/>
      <c r="AE943" s="663"/>
      <c r="AF943" s="663"/>
      <c r="AG943" s="663"/>
      <c r="AH943" s="663"/>
      <c r="AI943" s="663"/>
      <c r="AJ943" s="663"/>
      <c r="AK943" s="663"/>
      <c r="AL943" s="663"/>
      <c r="AM943" s="663"/>
      <c r="AN943" s="663"/>
    </row>
    <row r="944" spans="2:40" x14ac:dyDescent="0.25">
      <c r="B944" s="894"/>
      <c r="C944" s="666"/>
      <c r="D944" s="666"/>
      <c r="E944" s="666"/>
      <c r="F944" s="666"/>
      <c r="G944" s="666"/>
      <c r="H944" s="666"/>
      <c r="I944" s="666"/>
      <c r="J944" s="666"/>
      <c r="K944" s="666"/>
      <c r="L944" s="667"/>
      <c r="U944" s="663"/>
      <c r="Z944" s="663"/>
      <c r="AA944" s="663"/>
      <c r="AB944" s="663"/>
      <c r="AC944" s="663"/>
      <c r="AD944" s="663"/>
      <c r="AE944" s="663"/>
      <c r="AF944" s="663"/>
      <c r="AG944" s="663"/>
      <c r="AH944" s="663"/>
      <c r="AI944" s="663"/>
      <c r="AJ944" s="663"/>
      <c r="AK944" s="663"/>
      <c r="AL944" s="663"/>
      <c r="AM944" s="663"/>
      <c r="AN944" s="663"/>
    </row>
    <row r="945" spans="2:40" outlineLevel="1" x14ac:dyDescent="0.25">
      <c r="B945" s="661" t="str">
        <f>CONCATENATE(B210," Gross Return Analysis")</f>
        <v>Other Investors Gross Return Analysis</v>
      </c>
      <c r="C945" s="666"/>
      <c r="D945" s="666"/>
      <c r="E945" s="666"/>
      <c r="F945" s="666"/>
      <c r="G945" s="666"/>
      <c r="H945" s="666"/>
      <c r="I945" s="666"/>
      <c r="J945" s="666"/>
      <c r="K945" s="666"/>
      <c r="L945" s="667"/>
      <c r="U945" s="663"/>
      <c r="Z945" s="663"/>
      <c r="AA945" s="663"/>
      <c r="AB945" s="663"/>
      <c r="AC945" s="663"/>
      <c r="AD945" s="663"/>
      <c r="AE945" s="663"/>
      <c r="AF945" s="663"/>
      <c r="AG945" s="663"/>
      <c r="AH945" s="663"/>
      <c r="AI945" s="663"/>
      <c r="AJ945" s="663"/>
      <c r="AK945" s="663"/>
      <c r="AL945" s="663"/>
      <c r="AM945" s="663"/>
      <c r="AN945" s="663"/>
    </row>
    <row r="946" spans="2:40" outlineLevel="1" x14ac:dyDescent="0.25">
      <c r="B946" s="668" t="s">
        <v>114</v>
      </c>
      <c r="C946" s="666">
        <f ca="1">+C739</f>
        <v>0</v>
      </c>
      <c r="D946" s="666">
        <f ca="1">+O739</f>
        <v>0</v>
      </c>
      <c r="E946" s="666">
        <f ca="1">+AA739</f>
        <v>0</v>
      </c>
      <c r="F946" s="666">
        <f ca="1">+AM739</f>
        <v>0</v>
      </c>
      <c r="G946" s="666">
        <f ca="1">+AY739</f>
        <v>0</v>
      </c>
      <c r="H946" s="666">
        <f ca="1">+BK739</f>
        <v>0</v>
      </c>
      <c r="I946" s="666">
        <f ca="1">+BW739</f>
        <v>0</v>
      </c>
      <c r="J946" s="666">
        <f ca="1">+CI739</f>
        <v>0</v>
      </c>
      <c r="K946" s="666">
        <f ca="1">+CU739</f>
        <v>0</v>
      </c>
      <c r="L946" s="667">
        <f ca="1">+DG739</f>
        <v>0</v>
      </c>
      <c r="U946" s="663"/>
      <c r="Z946" s="663"/>
      <c r="AA946" s="663"/>
      <c r="AB946" s="663"/>
      <c r="AC946" s="663"/>
      <c r="AD946" s="663"/>
      <c r="AE946" s="663"/>
      <c r="AF946" s="663"/>
      <c r="AG946" s="663"/>
      <c r="AH946" s="663"/>
      <c r="AI946" s="663"/>
      <c r="AJ946" s="663"/>
      <c r="AK946" s="663"/>
      <c r="AL946" s="663"/>
      <c r="AM946" s="663"/>
      <c r="AN946" s="663"/>
    </row>
    <row r="947" spans="2:40" outlineLevel="1" x14ac:dyDescent="0.25">
      <c r="B947" s="668" t="s">
        <v>115</v>
      </c>
      <c r="C947" s="895">
        <f>+C740</f>
        <v>0</v>
      </c>
      <c r="D947" s="895">
        <f>+O740</f>
        <v>0</v>
      </c>
      <c r="E947" s="895">
        <f>+AA740</f>
        <v>0</v>
      </c>
      <c r="F947" s="895">
        <f>+AM740</f>
        <v>0</v>
      </c>
      <c r="G947" s="895">
        <f>+AY740</f>
        <v>0</v>
      </c>
      <c r="H947" s="895">
        <f>+BK740</f>
        <v>0</v>
      </c>
      <c r="I947" s="895">
        <f>+BW740</f>
        <v>0</v>
      </c>
      <c r="J947" s="895">
        <f>+CI740</f>
        <v>0</v>
      </c>
      <c r="K947" s="895">
        <f>+CU740</f>
        <v>0</v>
      </c>
      <c r="L947" s="906">
        <f>+DG740</f>
        <v>0</v>
      </c>
      <c r="U947" s="663"/>
      <c r="Z947" s="663"/>
      <c r="AA947" s="663"/>
      <c r="AB947" s="663"/>
      <c r="AC947" s="663"/>
      <c r="AD947" s="663"/>
      <c r="AE947" s="663"/>
      <c r="AF947" s="663"/>
      <c r="AG947" s="663"/>
      <c r="AH947" s="663"/>
      <c r="AI947" s="663"/>
      <c r="AJ947" s="663"/>
      <c r="AK947" s="663"/>
      <c r="AL947" s="663"/>
      <c r="AM947" s="663"/>
      <c r="AN947" s="663"/>
    </row>
    <row r="948" spans="2:40" outlineLevel="1" x14ac:dyDescent="0.25">
      <c r="B948" s="668" t="str">
        <f>B939</f>
        <v>IRR in 38 months (03/12)</v>
      </c>
      <c r="C948" s="888" t="e">
        <f ca="1">+C752</f>
        <v>#REF!</v>
      </c>
      <c r="D948" s="888" t="e">
        <f ca="1">+O752</f>
        <v>#REF!</v>
      </c>
      <c r="E948" s="888" t="e">
        <f ca="1">+AA752</f>
        <v>#REF!</v>
      </c>
      <c r="F948" s="888" t="e">
        <f ca="1">+AM752</f>
        <v>#REF!</v>
      </c>
      <c r="G948" s="888" t="e">
        <f ca="1">+AY752</f>
        <v>#REF!</v>
      </c>
      <c r="H948" s="888" t="e">
        <f ca="1">+BK752</f>
        <v>#REF!</v>
      </c>
      <c r="I948" s="888" t="e">
        <f ca="1">+BW752</f>
        <v>#REF!</v>
      </c>
      <c r="J948" s="888" t="e">
        <f ca="1">+CI752</f>
        <v>#REF!</v>
      </c>
      <c r="K948" s="888" t="e">
        <f ca="1">+CU752</f>
        <v>#REF!</v>
      </c>
      <c r="L948" s="909" t="e">
        <f ca="1">+DG752</f>
        <v>#REF!</v>
      </c>
      <c r="U948" s="663"/>
      <c r="Z948" s="663"/>
      <c r="AA948" s="663"/>
      <c r="AB948" s="663"/>
      <c r="AC948" s="663"/>
      <c r="AD948" s="663"/>
      <c r="AE948" s="663"/>
      <c r="AF948" s="663"/>
      <c r="AG948" s="663"/>
      <c r="AH948" s="663"/>
      <c r="AI948" s="663"/>
      <c r="AJ948" s="663"/>
      <c r="AK948" s="663"/>
      <c r="AL948" s="663"/>
      <c r="AM948" s="663"/>
      <c r="AN948" s="663"/>
    </row>
    <row r="949" spans="2:40" outlineLevel="1" x14ac:dyDescent="0.25">
      <c r="B949" s="668" t="str">
        <f t="shared" ref="B949:B951" si="2542">B940</f>
        <v>IRR in 44 months (09/12)</v>
      </c>
      <c r="C949" s="888" t="e">
        <f ca="1">+C767</f>
        <v>#REF!</v>
      </c>
      <c r="D949" s="888" t="e">
        <f ca="1">+O767</f>
        <v>#REF!</v>
      </c>
      <c r="E949" s="888" t="e">
        <f ca="1">+AA767</f>
        <v>#REF!</v>
      </c>
      <c r="F949" s="888" t="e">
        <f ca="1">+AM767</f>
        <v>#REF!</v>
      </c>
      <c r="G949" s="888" t="e">
        <f ca="1">+AY767</f>
        <v>#REF!</v>
      </c>
      <c r="H949" s="888" t="e">
        <f ca="1">+BK767</f>
        <v>#REF!</v>
      </c>
      <c r="I949" s="888" t="e">
        <f ca="1">+BW767</f>
        <v>#REF!</v>
      </c>
      <c r="J949" s="888" t="e">
        <f ca="1">+CI767</f>
        <v>#REF!</v>
      </c>
      <c r="K949" s="888" t="e">
        <f ca="1">+CU767</f>
        <v>#REF!</v>
      </c>
      <c r="L949" s="909" t="e">
        <f ca="1">+DG767</f>
        <v>#REF!</v>
      </c>
      <c r="U949" s="663"/>
      <c r="Z949" s="663"/>
      <c r="AA949" s="663"/>
      <c r="AB949" s="663"/>
      <c r="AC949" s="663"/>
      <c r="AD949" s="663"/>
      <c r="AE949" s="663"/>
      <c r="AF949" s="663"/>
      <c r="AG949" s="663"/>
      <c r="AH949" s="663"/>
      <c r="AI949" s="663"/>
      <c r="AJ949" s="663"/>
      <c r="AK949" s="663"/>
      <c r="AL949" s="663"/>
      <c r="AM949" s="663"/>
      <c r="AN949" s="663"/>
    </row>
    <row r="950" spans="2:40" outlineLevel="1" x14ac:dyDescent="0.25">
      <c r="B950" s="668" t="str">
        <f t="shared" si="2542"/>
        <v>IRR in 50 months (03/13)</v>
      </c>
      <c r="C950" s="888" t="e">
        <f ca="1">+C782</f>
        <v>#REF!</v>
      </c>
      <c r="D950" s="888" t="e">
        <f ca="1">+O782</f>
        <v>#REF!</v>
      </c>
      <c r="E950" s="888" t="e">
        <f ca="1">+AA782</f>
        <v>#REF!</v>
      </c>
      <c r="F950" s="888" t="e">
        <f ca="1">+AM782</f>
        <v>#REF!</v>
      </c>
      <c r="G950" s="888" t="e">
        <f ca="1">+AY782</f>
        <v>#REF!</v>
      </c>
      <c r="H950" s="888" t="e">
        <f ca="1">+BK782</f>
        <v>#REF!</v>
      </c>
      <c r="I950" s="888" t="e">
        <f ca="1">+BW782</f>
        <v>#REF!</v>
      </c>
      <c r="J950" s="888" t="e">
        <f ca="1">+CI782</f>
        <v>#REF!</v>
      </c>
      <c r="K950" s="888" t="e">
        <f ca="1">+CU782</f>
        <v>#REF!</v>
      </c>
      <c r="L950" s="909" t="e">
        <f ca="1">+DG782</f>
        <v>#REF!</v>
      </c>
      <c r="U950" s="663"/>
      <c r="Z950" s="663"/>
      <c r="AA950" s="663"/>
      <c r="AB950" s="663"/>
      <c r="AC950" s="663"/>
      <c r="AD950" s="663"/>
      <c r="AE950" s="663"/>
      <c r="AF950" s="663"/>
      <c r="AG950" s="663"/>
      <c r="AH950" s="663"/>
      <c r="AI950" s="663"/>
      <c r="AJ950" s="663"/>
      <c r="AK950" s="663"/>
      <c r="AL950" s="663"/>
      <c r="AM950" s="663"/>
      <c r="AN950" s="663"/>
    </row>
    <row r="951" spans="2:40" outlineLevel="1" x14ac:dyDescent="0.25">
      <c r="B951" s="668" t="str">
        <f t="shared" si="2542"/>
        <v>IRR in 56 months (09/13)</v>
      </c>
      <c r="C951" s="888" t="e">
        <f ca="1">+C797</f>
        <v>#REF!</v>
      </c>
      <c r="D951" s="888" t="e">
        <f ca="1">+O797</f>
        <v>#REF!</v>
      </c>
      <c r="E951" s="888" t="e">
        <f ca="1">+AA797</f>
        <v>#REF!</v>
      </c>
      <c r="F951" s="888" t="e">
        <f ca="1">+AM797</f>
        <v>#REF!</v>
      </c>
      <c r="G951" s="888" t="e">
        <f ca="1">+AY797</f>
        <v>#REF!</v>
      </c>
      <c r="H951" s="888" t="e">
        <f ca="1">+BK797</f>
        <v>#REF!</v>
      </c>
      <c r="I951" s="888" t="e">
        <f ca="1">+BW797</f>
        <v>#REF!</v>
      </c>
      <c r="J951" s="888" t="e">
        <f ca="1">+CI797</f>
        <v>#REF!</v>
      </c>
      <c r="K951" s="888" t="e">
        <f ca="1">+CU797</f>
        <v>#REF!</v>
      </c>
      <c r="L951" s="909" t="e">
        <f ca="1">+DG797</f>
        <v>#REF!</v>
      </c>
      <c r="U951" s="663"/>
      <c r="Z951" s="663"/>
      <c r="AA951" s="663"/>
      <c r="AB951" s="663"/>
      <c r="AC951" s="663"/>
      <c r="AD951" s="663"/>
      <c r="AE951" s="663"/>
      <c r="AF951" s="663"/>
      <c r="AG951" s="663"/>
      <c r="AH951" s="663"/>
      <c r="AI951" s="663"/>
      <c r="AJ951" s="663"/>
      <c r="AK951" s="663"/>
      <c r="AL951" s="663"/>
      <c r="AM951" s="663"/>
      <c r="AN951" s="663"/>
    </row>
    <row r="952" spans="2:40" ht="15.75" thickBot="1" x14ac:dyDescent="0.3">
      <c r="B952" s="910"/>
      <c r="C952" s="911"/>
      <c r="D952" s="902"/>
      <c r="E952" s="902"/>
      <c r="F952" s="902"/>
      <c r="G952" s="902"/>
      <c r="H952" s="902"/>
      <c r="I952" s="902"/>
      <c r="J952" s="902"/>
      <c r="K952" s="902"/>
      <c r="L952" s="903"/>
      <c r="U952" s="663"/>
      <c r="Z952" s="663"/>
      <c r="AA952" s="663"/>
      <c r="AB952" s="663"/>
      <c r="AC952" s="663"/>
      <c r="AD952" s="663"/>
      <c r="AE952" s="663"/>
      <c r="AF952" s="663"/>
      <c r="AG952" s="663"/>
      <c r="AH952" s="663"/>
      <c r="AI952" s="663"/>
      <c r="AJ952" s="663"/>
      <c r="AK952" s="663"/>
      <c r="AL952" s="663"/>
      <c r="AM952" s="663"/>
      <c r="AN952" s="663"/>
    </row>
    <row r="953" spans="2:40" x14ac:dyDescent="0.25">
      <c r="C953" s="662"/>
      <c r="U953" s="663"/>
      <c r="Z953" s="663"/>
      <c r="AA953" s="663"/>
      <c r="AB953" s="663"/>
      <c r="AC953" s="663"/>
      <c r="AD953" s="663"/>
      <c r="AE953" s="663"/>
      <c r="AF953" s="663"/>
      <c r="AG953" s="663"/>
      <c r="AH953" s="663"/>
      <c r="AI953" s="663"/>
      <c r="AJ953" s="663"/>
      <c r="AK953" s="663"/>
      <c r="AL953" s="663"/>
      <c r="AM953" s="663"/>
      <c r="AN953" s="663"/>
    </row>
    <row r="954" spans="2:40" x14ac:dyDescent="0.25">
      <c r="C954" s="662"/>
      <c r="U954" s="663"/>
      <c r="Z954" s="663"/>
      <c r="AA954" s="663"/>
      <c r="AB954" s="663"/>
      <c r="AC954" s="663"/>
      <c r="AD954" s="663"/>
      <c r="AE954" s="663"/>
      <c r="AF954" s="663"/>
      <c r="AG954" s="663"/>
      <c r="AH954" s="663"/>
      <c r="AI954" s="663"/>
      <c r="AJ954" s="663"/>
      <c r="AK954" s="663"/>
      <c r="AL954" s="663"/>
      <c r="AM954" s="663"/>
      <c r="AN954" s="663"/>
    </row>
    <row r="955" spans="2:40" ht="14.45" hidden="1" customHeight="1" x14ac:dyDescent="0.25">
      <c r="B955" s="937" t="str">
        <f>B1664</f>
        <v>HTGC Gross Return Analysis</v>
      </c>
      <c r="C955" s="662"/>
      <c r="U955" s="663"/>
      <c r="Z955" s="663"/>
      <c r="AA955" s="663"/>
      <c r="AB955" s="663"/>
      <c r="AC955" s="663"/>
      <c r="AD955" s="663"/>
      <c r="AE955" s="663"/>
      <c r="AF955" s="663"/>
      <c r="AG955" s="663"/>
      <c r="AH955" s="663"/>
      <c r="AI955" s="663"/>
      <c r="AJ955" s="663"/>
      <c r="AK955" s="663"/>
      <c r="AL955" s="663"/>
      <c r="AM955" s="663"/>
      <c r="AN955" s="663"/>
    </row>
    <row r="956" spans="2:40" ht="14.45" hidden="1" customHeight="1" x14ac:dyDescent="0.25">
      <c r="B956" s="936">
        <f>B229</f>
        <v>39113</v>
      </c>
      <c r="C956" s="666">
        <f>C229</f>
        <v>-1000000</v>
      </c>
      <c r="D956" s="662">
        <f>C956</f>
        <v>-1000000</v>
      </c>
      <c r="E956" s="662">
        <f t="shared" ref="E956:L956" si="2543">D956</f>
        <v>-1000000</v>
      </c>
      <c r="F956" s="662">
        <f t="shared" si="2543"/>
        <v>-1000000</v>
      </c>
      <c r="G956" s="662">
        <f t="shared" si="2543"/>
        <v>-1000000</v>
      </c>
      <c r="H956" s="662">
        <f t="shared" si="2543"/>
        <v>-1000000</v>
      </c>
      <c r="I956" s="662">
        <f t="shared" si="2543"/>
        <v>-1000000</v>
      </c>
      <c r="J956" s="662">
        <f t="shared" si="2543"/>
        <v>-1000000</v>
      </c>
      <c r="K956" s="662">
        <f t="shared" si="2543"/>
        <v>-1000000</v>
      </c>
      <c r="L956" s="662">
        <f t="shared" si="2543"/>
        <v>-1000000</v>
      </c>
      <c r="U956" s="663"/>
      <c r="Z956" s="663"/>
      <c r="AA956" s="663"/>
      <c r="AB956" s="663"/>
      <c r="AC956" s="663"/>
      <c r="AD956" s="663"/>
      <c r="AE956" s="663"/>
      <c r="AF956" s="663"/>
      <c r="AG956" s="663"/>
      <c r="AH956" s="663"/>
      <c r="AI956" s="663"/>
      <c r="AJ956" s="663"/>
      <c r="AK956" s="663"/>
      <c r="AL956" s="663"/>
      <c r="AM956" s="663"/>
      <c r="AN956" s="663"/>
    </row>
    <row r="957" spans="2:40" ht="14.45" hidden="1" customHeight="1" x14ac:dyDescent="0.25">
      <c r="B957" s="936">
        <f t="shared" ref="B957:C965" si="2544">B230</f>
        <v>39478</v>
      </c>
      <c r="C957" s="666">
        <f t="shared" si="2544"/>
        <v>-2000000</v>
      </c>
      <c r="D957" s="662">
        <f t="shared" ref="D957:L965" si="2545">C957</f>
        <v>-2000000</v>
      </c>
      <c r="E957" s="662">
        <f t="shared" si="2545"/>
        <v>-2000000</v>
      </c>
      <c r="F957" s="662">
        <f t="shared" si="2545"/>
        <v>-2000000</v>
      </c>
      <c r="G957" s="662">
        <f t="shared" si="2545"/>
        <v>-2000000</v>
      </c>
      <c r="H957" s="662">
        <f t="shared" si="2545"/>
        <v>-2000000</v>
      </c>
      <c r="I957" s="662">
        <f t="shared" si="2545"/>
        <v>-2000000</v>
      </c>
      <c r="J957" s="662">
        <f t="shared" si="2545"/>
        <v>-2000000</v>
      </c>
      <c r="K957" s="662">
        <f t="shared" si="2545"/>
        <v>-2000000</v>
      </c>
      <c r="L957" s="662">
        <f t="shared" si="2545"/>
        <v>-2000000</v>
      </c>
      <c r="U957" s="663"/>
      <c r="Z957" s="663"/>
      <c r="AA957" s="663"/>
      <c r="AB957" s="663"/>
      <c r="AC957" s="663"/>
      <c r="AD957" s="663"/>
      <c r="AE957" s="663"/>
      <c r="AF957" s="663"/>
      <c r="AG957" s="663"/>
      <c r="AH957" s="663"/>
      <c r="AI957" s="663"/>
      <c r="AJ957" s="663"/>
      <c r="AK957" s="663"/>
      <c r="AL957" s="663"/>
      <c r="AM957" s="663"/>
      <c r="AN957" s="663"/>
    </row>
    <row r="958" spans="2:40" ht="14.45" hidden="1" customHeight="1" x14ac:dyDescent="0.25">
      <c r="B958" s="936">
        <f t="shared" si="2544"/>
        <v>39843</v>
      </c>
      <c r="C958" s="666">
        <f t="shared" si="2544"/>
        <v>0</v>
      </c>
      <c r="D958" s="662">
        <f t="shared" si="2545"/>
        <v>0</v>
      </c>
      <c r="E958" s="662">
        <f t="shared" si="2545"/>
        <v>0</v>
      </c>
      <c r="F958" s="662">
        <f t="shared" si="2545"/>
        <v>0</v>
      </c>
      <c r="G958" s="662">
        <f t="shared" si="2545"/>
        <v>0</v>
      </c>
      <c r="H958" s="662">
        <f t="shared" si="2545"/>
        <v>0</v>
      </c>
      <c r="I958" s="662">
        <f t="shared" si="2545"/>
        <v>0</v>
      </c>
      <c r="J958" s="662">
        <f t="shared" si="2545"/>
        <v>0</v>
      </c>
      <c r="K958" s="662">
        <f t="shared" si="2545"/>
        <v>0</v>
      </c>
      <c r="L958" s="662">
        <f t="shared" si="2545"/>
        <v>0</v>
      </c>
      <c r="U958" s="663"/>
      <c r="Z958" s="663"/>
      <c r="AA958" s="663"/>
      <c r="AB958" s="663"/>
      <c r="AC958" s="663"/>
      <c r="AD958" s="663"/>
      <c r="AE958" s="663"/>
      <c r="AF958" s="663"/>
      <c r="AG958" s="663"/>
      <c r="AH958" s="663"/>
      <c r="AI958" s="663"/>
      <c r="AJ958" s="663"/>
      <c r="AK958" s="663"/>
      <c r="AL958" s="663"/>
      <c r="AM958" s="663"/>
      <c r="AN958" s="663"/>
    </row>
    <row r="959" spans="2:40" ht="14.45" hidden="1" customHeight="1" x14ac:dyDescent="0.25">
      <c r="B959" s="936">
        <f t="shared" si="2544"/>
        <v>39843</v>
      </c>
      <c r="C959" s="666">
        <f t="shared" si="2544"/>
        <v>0</v>
      </c>
      <c r="D959" s="662">
        <f t="shared" si="2545"/>
        <v>0</v>
      </c>
      <c r="E959" s="662">
        <f t="shared" si="2545"/>
        <v>0</v>
      </c>
      <c r="F959" s="662">
        <f t="shared" si="2545"/>
        <v>0</v>
      </c>
      <c r="G959" s="662">
        <f t="shared" si="2545"/>
        <v>0</v>
      </c>
      <c r="H959" s="662">
        <f t="shared" si="2545"/>
        <v>0</v>
      </c>
      <c r="I959" s="662">
        <f t="shared" si="2545"/>
        <v>0</v>
      </c>
      <c r="J959" s="662">
        <f t="shared" si="2545"/>
        <v>0</v>
      </c>
      <c r="K959" s="662">
        <f t="shared" si="2545"/>
        <v>0</v>
      </c>
      <c r="L959" s="662">
        <f t="shared" si="2545"/>
        <v>0</v>
      </c>
      <c r="U959" s="663"/>
      <c r="Z959" s="663"/>
      <c r="AA959" s="663"/>
      <c r="AB959" s="663"/>
      <c r="AC959" s="663"/>
      <c r="AD959" s="663"/>
      <c r="AE959" s="663"/>
      <c r="AF959" s="663"/>
      <c r="AG959" s="663"/>
      <c r="AH959" s="663"/>
      <c r="AI959" s="663"/>
      <c r="AJ959" s="663"/>
      <c r="AK959" s="663"/>
      <c r="AL959" s="663"/>
      <c r="AM959" s="663"/>
      <c r="AN959" s="663"/>
    </row>
    <row r="960" spans="2:40" ht="14.45" hidden="1" customHeight="1" x14ac:dyDescent="0.25">
      <c r="B960" s="936">
        <f t="shared" si="2544"/>
        <v>39843</v>
      </c>
      <c r="C960" s="666">
        <f t="shared" si="2544"/>
        <v>0</v>
      </c>
      <c r="D960" s="662">
        <f t="shared" si="2545"/>
        <v>0</v>
      </c>
      <c r="E960" s="662">
        <f t="shared" si="2545"/>
        <v>0</v>
      </c>
      <c r="F960" s="662">
        <f t="shared" si="2545"/>
        <v>0</v>
      </c>
      <c r="G960" s="662">
        <f t="shared" si="2545"/>
        <v>0</v>
      </c>
      <c r="H960" s="662">
        <f t="shared" si="2545"/>
        <v>0</v>
      </c>
      <c r="I960" s="662">
        <f t="shared" si="2545"/>
        <v>0</v>
      </c>
      <c r="J960" s="662">
        <f t="shared" si="2545"/>
        <v>0</v>
      </c>
      <c r="K960" s="662">
        <f t="shared" si="2545"/>
        <v>0</v>
      </c>
      <c r="L960" s="662">
        <f t="shared" si="2545"/>
        <v>0</v>
      </c>
      <c r="U960" s="663"/>
      <c r="Z960" s="663"/>
      <c r="AA960" s="663"/>
      <c r="AB960" s="663"/>
      <c r="AC960" s="663"/>
      <c r="AD960" s="663"/>
      <c r="AE960" s="663"/>
      <c r="AF960" s="663"/>
      <c r="AG960" s="663"/>
      <c r="AH960" s="663"/>
      <c r="AI960" s="663"/>
      <c r="AJ960" s="663"/>
      <c r="AK960" s="663"/>
      <c r="AL960" s="663"/>
      <c r="AM960" s="663"/>
      <c r="AN960" s="663"/>
    </row>
    <row r="961" spans="2:40" ht="14.45" hidden="1" customHeight="1" x14ac:dyDescent="0.25">
      <c r="B961" s="936">
        <f t="shared" si="2544"/>
        <v>39843</v>
      </c>
      <c r="C961" s="666">
        <f t="shared" si="2544"/>
        <v>0</v>
      </c>
      <c r="D961" s="662">
        <f t="shared" si="2545"/>
        <v>0</v>
      </c>
      <c r="E961" s="662">
        <f t="shared" si="2545"/>
        <v>0</v>
      </c>
      <c r="F961" s="662">
        <f t="shared" si="2545"/>
        <v>0</v>
      </c>
      <c r="G961" s="662">
        <f t="shared" si="2545"/>
        <v>0</v>
      </c>
      <c r="H961" s="662">
        <f t="shared" si="2545"/>
        <v>0</v>
      </c>
      <c r="I961" s="662">
        <f t="shared" si="2545"/>
        <v>0</v>
      </c>
      <c r="J961" s="662">
        <f t="shared" si="2545"/>
        <v>0</v>
      </c>
      <c r="K961" s="662">
        <f t="shared" si="2545"/>
        <v>0</v>
      </c>
      <c r="L961" s="662">
        <f t="shared" si="2545"/>
        <v>0</v>
      </c>
      <c r="U961" s="663"/>
      <c r="Z961" s="663"/>
      <c r="AA961" s="663"/>
      <c r="AB961" s="663"/>
      <c r="AC961" s="663"/>
      <c r="AD961" s="663"/>
      <c r="AE961" s="663"/>
      <c r="AF961" s="663"/>
      <c r="AG961" s="663"/>
      <c r="AH961" s="663"/>
      <c r="AI961" s="663"/>
      <c r="AJ961" s="663"/>
      <c r="AK961" s="663"/>
      <c r="AL961" s="663"/>
      <c r="AM961" s="663"/>
      <c r="AN961" s="663"/>
    </row>
    <row r="962" spans="2:40" ht="14.45" hidden="1" customHeight="1" x14ac:dyDescent="0.25">
      <c r="B962" s="936">
        <f t="shared" si="2544"/>
        <v>39843</v>
      </c>
      <c r="C962" s="666">
        <f t="shared" si="2544"/>
        <v>0</v>
      </c>
      <c r="D962" s="662">
        <f t="shared" si="2545"/>
        <v>0</v>
      </c>
      <c r="E962" s="662">
        <f t="shared" si="2545"/>
        <v>0</v>
      </c>
      <c r="F962" s="662">
        <f t="shared" si="2545"/>
        <v>0</v>
      </c>
      <c r="G962" s="662">
        <f t="shared" si="2545"/>
        <v>0</v>
      </c>
      <c r="H962" s="662">
        <f t="shared" si="2545"/>
        <v>0</v>
      </c>
      <c r="I962" s="662">
        <f t="shared" si="2545"/>
        <v>0</v>
      </c>
      <c r="J962" s="662">
        <f t="shared" si="2545"/>
        <v>0</v>
      </c>
      <c r="K962" s="662">
        <f t="shared" si="2545"/>
        <v>0</v>
      </c>
      <c r="L962" s="662">
        <f t="shared" si="2545"/>
        <v>0</v>
      </c>
      <c r="U962" s="663"/>
      <c r="Z962" s="663"/>
      <c r="AA962" s="663"/>
      <c r="AB962" s="663"/>
      <c r="AC962" s="663"/>
      <c r="AD962" s="663"/>
      <c r="AE962" s="663"/>
      <c r="AF962" s="663"/>
      <c r="AG962" s="663"/>
      <c r="AH962" s="663"/>
      <c r="AI962" s="663"/>
      <c r="AJ962" s="663"/>
      <c r="AK962" s="663"/>
      <c r="AL962" s="663"/>
      <c r="AM962" s="663"/>
      <c r="AN962" s="663"/>
    </row>
    <row r="963" spans="2:40" ht="14.45" hidden="1" customHeight="1" x14ac:dyDescent="0.25">
      <c r="B963" s="936">
        <f t="shared" si="2544"/>
        <v>39843</v>
      </c>
      <c r="C963" s="666">
        <f t="shared" si="2544"/>
        <v>0</v>
      </c>
      <c r="D963" s="662">
        <f t="shared" si="2545"/>
        <v>0</v>
      </c>
      <c r="E963" s="662">
        <f t="shared" si="2545"/>
        <v>0</v>
      </c>
      <c r="F963" s="662">
        <f t="shared" si="2545"/>
        <v>0</v>
      </c>
      <c r="G963" s="662">
        <f t="shared" si="2545"/>
        <v>0</v>
      </c>
      <c r="H963" s="662">
        <f t="shared" si="2545"/>
        <v>0</v>
      </c>
      <c r="I963" s="662">
        <f t="shared" si="2545"/>
        <v>0</v>
      </c>
      <c r="J963" s="662">
        <f t="shared" si="2545"/>
        <v>0</v>
      </c>
      <c r="K963" s="662">
        <f t="shared" si="2545"/>
        <v>0</v>
      </c>
      <c r="L963" s="662">
        <f t="shared" si="2545"/>
        <v>0</v>
      </c>
      <c r="U963" s="663"/>
      <c r="Z963" s="663"/>
      <c r="AA963" s="663"/>
      <c r="AB963" s="663"/>
      <c r="AC963" s="663"/>
      <c r="AD963" s="663"/>
      <c r="AE963" s="663"/>
      <c r="AF963" s="663"/>
      <c r="AG963" s="663"/>
      <c r="AH963" s="663"/>
      <c r="AI963" s="663"/>
      <c r="AJ963" s="663"/>
      <c r="AK963" s="663"/>
      <c r="AL963" s="663"/>
      <c r="AM963" s="663"/>
      <c r="AN963" s="663"/>
    </row>
    <row r="964" spans="2:40" ht="14.45" hidden="1" customHeight="1" x14ac:dyDescent="0.25">
      <c r="B964" s="936">
        <f t="shared" si="2544"/>
        <v>39843</v>
      </c>
      <c r="C964" s="666">
        <f t="shared" si="2544"/>
        <v>0</v>
      </c>
      <c r="D964" s="662">
        <f t="shared" si="2545"/>
        <v>0</v>
      </c>
      <c r="E964" s="662">
        <f t="shared" si="2545"/>
        <v>0</v>
      </c>
      <c r="F964" s="662">
        <f t="shared" si="2545"/>
        <v>0</v>
      </c>
      <c r="G964" s="662">
        <f t="shared" si="2545"/>
        <v>0</v>
      </c>
      <c r="H964" s="662">
        <f t="shared" si="2545"/>
        <v>0</v>
      </c>
      <c r="I964" s="662">
        <f t="shared" si="2545"/>
        <v>0</v>
      </c>
      <c r="J964" s="662">
        <f t="shared" si="2545"/>
        <v>0</v>
      </c>
      <c r="K964" s="662">
        <f t="shared" si="2545"/>
        <v>0</v>
      </c>
      <c r="L964" s="662">
        <f t="shared" si="2545"/>
        <v>0</v>
      </c>
      <c r="U964" s="663"/>
      <c r="Z964" s="663"/>
      <c r="AA964" s="663"/>
      <c r="AB964" s="663"/>
      <c r="AC964" s="663"/>
      <c r="AD964" s="663"/>
      <c r="AE964" s="663"/>
      <c r="AF964" s="663"/>
      <c r="AG964" s="663"/>
      <c r="AH964" s="663"/>
      <c r="AI964" s="663"/>
      <c r="AJ964" s="663"/>
      <c r="AK964" s="663"/>
      <c r="AL964" s="663"/>
      <c r="AM964" s="663"/>
      <c r="AN964" s="663"/>
    </row>
    <row r="965" spans="2:40" ht="14.45" hidden="1" customHeight="1" x14ac:dyDescent="0.25">
      <c r="B965" s="936">
        <f t="shared" si="2544"/>
        <v>39843</v>
      </c>
      <c r="C965" s="666">
        <f t="shared" si="2544"/>
        <v>0</v>
      </c>
      <c r="D965" s="662">
        <f t="shared" si="2545"/>
        <v>0</v>
      </c>
      <c r="E965" s="662">
        <f t="shared" si="2545"/>
        <v>0</v>
      </c>
      <c r="F965" s="662">
        <f t="shared" si="2545"/>
        <v>0</v>
      </c>
      <c r="G965" s="662">
        <f t="shared" si="2545"/>
        <v>0</v>
      </c>
      <c r="H965" s="662">
        <f t="shared" si="2545"/>
        <v>0</v>
      </c>
      <c r="I965" s="662">
        <f t="shared" si="2545"/>
        <v>0</v>
      </c>
      <c r="J965" s="662">
        <f t="shared" si="2545"/>
        <v>0</v>
      </c>
      <c r="K965" s="662">
        <f t="shared" si="2545"/>
        <v>0</v>
      </c>
      <c r="L965" s="662">
        <f t="shared" si="2545"/>
        <v>0</v>
      </c>
      <c r="U965" s="663"/>
      <c r="Z965" s="663"/>
      <c r="AA965" s="663"/>
      <c r="AB965" s="663"/>
      <c r="AC965" s="663"/>
      <c r="AD965" s="663"/>
      <c r="AE965" s="663"/>
      <c r="AF965" s="663"/>
      <c r="AG965" s="663"/>
      <c r="AH965" s="663"/>
      <c r="AI965" s="663"/>
      <c r="AJ965" s="663"/>
      <c r="AK965" s="663"/>
      <c r="AL965" s="663"/>
      <c r="AM965" s="663"/>
      <c r="AN965" s="663"/>
    </row>
    <row r="966" spans="2:40" ht="14.45" hidden="1" customHeight="1" x14ac:dyDescent="0.25">
      <c r="B966" s="936">
        <f>B239+180</f>
        <v>41179</v>
      </c>
      <c r="C966" s="666">
        <f>C1665</f>
        <v>1882530.1204819279</v>
      </c>
      <c r="D966" s="666">
        <f t="shared" ref="D966:L966" si="2546">D1665</f>
        <v>2823795.1807228918</v>
      </c>
      <c r="E966" s="666">
        <f t="shared" si="2546"/>
        <v>3765060.2409638558</v>
      </c>
      <c r="F966" s="666">
        <f t="shared" si="2546"/>
        <v>4706325.3012048192</v>
      </c>
      <c r="G966" s="666">
        <f t="shared" si="2546"/>
        <v>5647590.3614457836</v>
      </c>
      <c r="H966" s="666">
        <f t="shared" si="2546"/>
        <v>6588855.4216867471</v>
      </c>
      <c r="I966" s="666">
        <f t="shared" si="2546"/>
        <v>7530120.4819277115</v>
      </c>
      <c r="J966" s="666">
        <f t="shared" si="2546"/>
        <v>8471385.542168675</v>
      </c>
      <c r="K966" s="666">
        <f t="shared" si="2546"/>
        <v>9412650.6024096385</v>
      </c>
      <c r="L966" s="666">
        <f t="shared" si="2546"/>
        <v>10353915.662650604</v>
      </c>
      <c r="U966" s="663"/>
      <c r="Z966" s="663"/>
      <c r="AA966" s="663"/>
      <c r="AB966" s="663"/>
      <c r="AC966" s="663"/>
      <c r="AD966" s="663"/>
      <c r="AE966" s="663"/>
      <c r="AF966" s="663"/>
      <c r="AG966" s="663"/>
      <c r="AH966" s="663"/>
      <c r="AI966" s="663"/>
      <c r="AJ966" s="663"/>
      <c r="AK966" s="663"/>
      <c r="AL966" s="663"/>
      <c r="AM966" s="663"/>
      <c r="AN966" s="663"/>
    </row>
    <row r="967" spans="2:40" ht="14.45" hidden="1" customHeight="1" x14ac:dyDescent="0.25">
      <c r="C967" s="882" t="str">
        <f ca="1">IF(ISERROR(XIRR(INDIRECT(C969):C966,INDIRECT($B969):$B966,-20%)),XIRR(INDIRECT(C969):C966,INDIRECT($B969):$B966,20%),"N/A")</f>
        <v>N/A</v>
      </c>
      <c r="D967" s="882" t="str">
        <f ca="1">IF(ISERROR(XIRR(INDIRECT(D969):D966,INDIRECT($B969):$B966,-20%)),XIRR(INDIRECT(D969):D966,INDIRECT($B969):$B966,20%),"N/A")</f>
        <v>N/A</v>
      </c>
      <c r="E967" s="882">
        <f ca="1">IF(ISERROR(XIRR(INDIRECT(E969):E966,INDIRECT($B969):$B966,-20%)),XIRR(INDIRECT(E969):E966,INDIRECT($B969):$B966,20%),"N/A")</f>
        <v>4.6490618586540217E-2</v>
      </c>
      <c r="F967" s="882">
        <f ca="1">IF(ISERROR(XIRR(INDIRECT(F969):F966,INDIRECT($B969):$B966,-20%)),XIRR(INDIRECT(F969):F966,INDIRECT($B969):$B966,20%),"N/A")</f>
        <v>9.4165918231010434E-2</v>
      </c>
      <c r="G967" s="882">
        <f ca="1">IF(ISERROR(XIRR(INDIRECT(G969):G966,INDIRECT($B969):$B966,-20%)),XIRR(INDIRECT(G969):G966,INDIRECT($B969):$B966,20%),"N/A")</f>
        <v>0.13465133309364322</v>
      </c>
      <c r="H967" s="882">
        <f ca="1">IF(ISERROR(XIRR(INDIRECT(H969):H966,INDIRECT($B969):$B966,-20%)),XIRR(INDIRECT(H969):H966,INDIRECT($B969):$B966,20%),"N/A")</f>
        <v>0.16999245285987852</v>
      </c>
      <c r="I967" s="882">
        <f ca="1">IF(ISERROR(XIRR(INDIRECT(I969):I966,INDIRECT($B969):$B966,-20%)),XIRR(INDIRECT(I969):I966,INDIRECT($B969):$B966,20%),"N/A")</f>
        <v>0.20145263075828554</v>
      </c>
      <c r="J967" s="882">
        <f ca="1">IF(ISERROR(XIRR(INDIRECT(J969):J966,INDIRECT($B969):$B966,-20%)),XIRR(INDIRECT(J969):J966,INDIRECT($B969):$B966,20%),"N/A")</f>
        <v>0.22987049221992498</v>
      </c>
      <c r="K967" s="882">
        <f ca="1">IF(ISERROR(XIRR(INDIRECT(K969):K966,INDIRECT($B969):$B966,-20%)),XIRR(INDIRECT(K969):K966,INDIRECT($B969):$B966,20%),"N/A")</f>
        <v>0.25583305954933167</v>
      </c>
      <c r="L967" s="882">
        <f ca="1">IF(ISERROR(XIRR(INDIRECT(L969):L966,INDIRECT($B969):$B966,-20%)),XIRR(INDIRECT(L969):L966,INDIRECT($B969):$B966,20%),"N/A")</f>
        <v>0.27976831793785095</v>
      </c>
      <c r="U967" s="663"/>
      <c r="Z967" s="663"/>
      <c r="AA967" s="663"/>
      <c r="AB967" s="663"/>
      <c r="AC967" s="663"/>
      <c r="AD967" s="663"/>
      <c r="AE967" s="663"/>
      <c r="AF967" s="663"/>
      <c r="AG967" s="663"/>
      <c r="AH967" s="663"/>
      <c r="AI967" s="663"/>
      <c r="AJ967" s="663"/>
      <c r="AK967" s="663"/>
      <c r="AL967" s="663"/>
      <c r="AM967" s="663"/>
      <c r="AN967" s="663"/>
    </row>
    <row r="968" spans="2:40" ht="14.45" hidden="1" customHeight="1" x14ac:dyDescent="0.25">
      <c r="B968" s="898">
        <f>IF(C956&lt;&gt;0,ROW(C956),IF(C957&lt;&gt;0,ROW(C957),IF(C958&lt;&gt;0,ROW(C958),IF(C959&lt;&gt;0,ROW(C959),IF(C960&lt;&gt;0,ROW(C960),IF(C961&lt;&gt;0,ROW(C961),IF(C962&lt;&gt;0,ROW(C962),IF(C963&lt;&gt;0,ROW(C963),IF(C964&lt;&gt;0,ROW(C964),IF(C965&lt;&gt;0,ROW(C965)))))))))))</f>
        <v>956</v>
      </c>
      <c r="C968" s="882"/>
      <c r="U968" s="663"/>
      <c r="Z968" s="663"/>
      <c r="AA968" s="663"/>
      <c r="AB968" s="663"/>
      <c r="AC968" s="663"/>
      <c r="AD968" s="663"/>
      <c r="AE968" s="663"/>
      <c r="AF968" s="663"/>
      <c r="AG968" s="663"/>
      <c r="AH968" s="663"/>
      <c r="AI968" s="663"/>
      <c r="AJ968" s="663"/>
      <c r="AK968" s="663"/>
      <c r="AL968" s="663"/>
      <c r="AM968" s="663"/>
      <c r="AN968" s="663"/>
    </row>
    <row r="969" spans="2:40" ht="14.45" hidden="1" customHeight="1" x14ac:dyDescent="0.25">
      <c r="B969" s="899" t="str">
        <f>CONCATENATE(IF(COLUMN(B968)&lt;=26,CHAR(96+COLUMN(B968)),(CHAR(96+(ROUNDDOWN((COLUMN(B968)-1)/26,0)))&amp;CHAR(96+IF(MOD(COLUMN(B968),26)=0,26,MOD(COLUMN(B968),26))))),B968)</f>
        <v>b956</v>
      </c>
      <c r="C969" s="899" t="str">
        <f>CONCATENATE(IF(COLUMN(C967)&lt;=26,CHAR(96+COLUMN(C967)),(CHAR(96+(ROUNDDOWN((COLUMN(C967)-1)/26,0)))&amp;CHAR(96+IF(MOD(COLUMN(C967),26)=0,26,MOD(COLUMN(C967),26))))),$B968)</f>
        <v>c956</v>
      </c>
      <c r="D969" s="899" t="str">
        <f t="shared" ref="D969:L969" si="2547">CONCATENATE(IF(COLUMN(D967)&lt;=26,CHAR(96+COLUMN(D967)),(CHAR(96+(ROUNDDOWN((COLUMN(D967)-1)/26,0)))&amp;CHAR(96+IF(MOD(COLUMN(D967),26)=0,26,MOD(COLUMN(D967),26))))),$B968)</f>
        <v>d956</v>
      </c>
      <c r="E969" s="899" t="str">
        <f t="shared" si="2547"/>
        <v>e956</v>
      </c>
      <c r="F969" s="899" t="str">
        <f t="shared" si="2547"/>
        <v>f956</v>
      </c>
      <c r="G969" s="899" t="str">
        <f t="shared" si="2547"/>
        <v>g956</v>
      </c>
      <c r="H969" s="899" t="str">
        <f t="shared" si="2547"/>
        <v>h956</v>
      </c>
      <c r="I969" s="899" t="str">
        <f t="shared" si="2547"/>
        <v>i956</v>
      </c>
      <c r="J969" s="899" t="str">
        <f t="shared" si="2547"/>
        <v>j956</v>
      </c>
      <c r="K969" s="899" t="str">
        <f t="shared" si="2547"/>
        <v>k956</v>
      </c>
      <c r="L969" s="899" t="str">
        <f t="shared" si="2547"/>
        <v>l956</v>
      </c>
      <c r="U969" s="663"/>
      <c r="Z969" s="663"/>
      <c r="AA969" s="663"/>
      <c r="AB969" s="663"/>
      <c r="AC969" s="663"/>
      <c r="AD969" s="663"/>
      <c r="AE969" s="663"/>
      <c r="AF969" s="663"/>
      <c r="AG969" s="663"/>
      <c r="AH969" s="663"/>
      <c r="AI969" s="663"/>
      <c r="AJ969" s="663"/>
      <c r="AK969" s="663"/>
      <c r="AL969" s="663"/>
      <c r="AM969" s="663"/>
      <c r="AN969" s="663"/>
    </row>
    <row r="970" spans="2:40" ht="14.45" hidden="1" customHeight="1" x14ac:dyDescent="0.25">
      <c r="C970" s="662"/>
      <c r="U970" s="663"/>
      <c r="Z970" s="663"/>
      <c r="AA970" s="663"/>
      <c r="AB970" s="663"/>
      <c r="AC970" s="663"/>
      <c r="AD970" s="663"/>
      <c r="AE970" s="663"/>
      <c r="AF970" s="663"/>
      <c r="AG970" s="663"/>
      <c r="AH970" s="663"/>
      <c r="AI970" s="663"/>
      <c r="AJ970" s="663"/>
      <c r="AK970" s="663"/>
      <c r="AL970" s="663"/>
      <c r="AM970" s="663"/>
      <c r="AN970" s="663"/>
    </row>
    <row r="971" spans="2:40" ht="14.45" hidden="1" customHeight="1" x14ac:dyDescent="0.25">
      <c r="C971" s="662"/>
      <c r="U971" s="663"/>
      <c r="Z971" s="663"/>
      <c r="AA971" s="663"/>
      <c r="AB971" s="663"/>
      <c r="AC971" s="663"/>
      <c r="AD971" s="663"/>
      <c r="AE971" s="663"/>
      <c r="AF971" s="663"/>
      <c r="AG971" s="663"/>
      <c r="AH971" s="663"/>
      <c r="AI971" s="663"/>
      <c r="AJ971" s="663"/>
      <c r="AK971" s="663"/>
      <c r="AL971" s="663"/>
      <c r="AM971" s="663"/>
      <c r="AN971" s="663"/>
    </row>
    <row r="972" spans="2:40" ht="14.45" hidden="1" customHeight="1" x14ac:dyDescent="0.25">
      <c r="B972" s="936">
        <f>B956</f>
        <v>39113</v>
      </c>
      <c r="C972" s="662">
        <f>C956</f>
        <v>-1000000</v>
      </c>
      <c r="D972" s="662">
        <f t="shared" ref="D972:L972" si="2548">D956</f>
        <v>-1000000</v>
      </c>
      <c r="E972" s="662">
        <f t="shared" si="2548"/>
        <v>-1000000</v>
      </c>
      <c r="F972" s="662">
        <f t="shared" si="2548"/>
        <v>-1000000</v>
      </c>
      <c r="G972" s="662">
        <f t="shared" si="2548"/>
        <v>-1000000</v>
      </c>
      <c r="H972" s="662">
        <f t="shared" si="2548"/>
        <v>-1000000</v>
      </c>
      <c r="I972" s="662">
        <f t="shared" si="2548"/>
        <v>-1000000</v>
      </c>
      <c r="J972" s="662">
        <f t="shared" si="2548"/>
        <v>-1000000</v>
      </c>
      <c r="K972" s="662">
        <f t="shared" si="2548"/>
        <v>-1000000</v>
      </c>
      <c r="L972" s="662">
        <f t="shared" si="2548"/>
        <v>-1000000</v>
      </c>
      <c r="U972" s="663"/>
      <c r="Z972" s="663"/>
      <c r="AA972" s="663"/>
      <c r="AB972" s="663"/>
      <c r="AC972" s="663"/>
      <c r="AD972" s="663"/>
      <c r="AE972" s="663"/>
      <c r="AF972" s="663"/>
      <c r="AG972" s="663"/>
      <c r="AH972" s="663"/>
      <c r="AI972" s="663"/>
      <c r="AJ972" s="663"/>
      <c r="AK972" s="663"/>
      <c r="AL972" s="663"/>
      <c r="AM972" s="663"/>
      <c r="AN972" s="663"/>
    </row>
    <row r="973" spans="2:40" ht="14.45" hidden="1" customHeight="1" x14ac:dyDescent="0.25">
      <c r="B973" s="936">
        <f t="shared" ref="B973:C981" si="2549">B957</f>
        <v>39478</v>
      </c>
      <c r="C973" s="662">
        <f t="shared" si="2549"/>
        <v>-2000000</v>
      </c>
      <c r="D973" s="662">
        <f t="shared" ref="D973:L973" si="2550">D957</f>
        <v>-2000000</v>
      </c>
      <c r="E973" s="662">
        <f t="shared" si="2550"/>
        <v>-2000000</v>
      </c>
      <c r="F973" s="662">
        <f t="shared" si="2550"/>
        <v>-2000000</v>
      </c>
      <c r="G973" s="662">
        <f t="shared" si="2550"/>
        <v>-2000000</v>
      </c>
      <c r="H973" s="662">
        <f t="shared" si="2550"/>
        <v>-2000000</v>
      </c>
      <c r="I973" s="662">
        <f t="shared" si="2550"/>
        <v>-2000000</v>
      </c>
      <c r="J973" s="662">
        <f t="shared" si="2550"/>
        <v>-2000000</v>
      </c>
      <c r="K973" s="662">
        <f t="shared" si="2550"/>
        <v>-2000000</v>
      </c>
      <c r="L973" s="662">
        <f t="shared" si="2550"/>
        <v>-2000000</v>
      </c>
      <c r="U973" s="663"/>
      <c r="Z973" s="663"/>
      <c r="AA973" s="663"/>
      <c r="AB973" s="663"/>
      <c r="AC973" s="663"/>
      <c r="AD973" s="663"/>
      <c r="AE973" s="663"/>
      <c r="AF973" s="663"/>
      <c r="AG973" s="663"/>
      <c r="AH973" s="663"/>
      <c r="AI973" s="663"/>
      <c r="AJ973" s="663"/>
      <c r="AK973" s="663"/>
      <c r="AL973" s="663"/>
      <c r="AM973" s="663"/>
      <c r="AN973" s="663"/>
    </row>
    <row r="974" spans="2:40" ht="14.45" hidden="1" customHeight="1" x14ac:dyDescent="0.25">
      <c r="B974" s="936">
        <f t="shared" si="2549"/>
        <v>39843</v>
      </c>
      <c r="C974" s="662">
        <f t="shared" si="2549"/>
        <v>0</v>
      </c>
      <c r="D974" s="662">
        <f t="shared" ref="D974:L974" si="2551">D958</f>
        <v>0</v>
      </c>
      <c r="E974" s="662">
        <f t="shared" si="2551"/>
        <v>0</v>
      </c>
      <c r="F974" s="662">
        <f t="shared" si="2551"/>
        <v>0</v>
      </c>
      <c r="G974" s="662">
        <f t="shared" si="2551"/>
        <v>0</v>
      </c>
      <c r="H974" s="662">
        <f t="shared" si="2551"/>
        <v>0</v>
      </c>
      <c r="I974" s="662">
        <f t="shared" si="2551"/>
        <v>0</v>
      </c>
      <c r="J974" s="662">
        <f t="shared" si="2551"/>
        <v>0</v>
      </c>
      <c r="K974" s="662">
        <f t="shared" si="2551"/>
        <v>0</v>
      </c>
      <c r="L974" s="662">
        <f t="shared" si="2551"/>
        <v>0</v>
      </c>
      <c r="U974" s="663"/>
      <c r="Z974" s="663"/>
      <c r="AA974" s="663"/>
      <c r="AB974" s="663"/>
      <c r="AC974" s="663"/>
      <c r="AD974" s="663"/>
      <c r="AE974" s="663"/>
      <c r="AF974" s="663"/>
      <c r="AG974" s="663"/>
      <c r="AH974" s="663"/>
      <c r="AI974" s="663"/>
      <c r="AJ974" s="663"/>
      <c r="AK974" s="663"/>
      <c r="AL974" s="663"/>
      <c r="AM974" s="663"/>
      <c r="AN974" s="663"/>
    </row>
    <row r="975" spans="2:40" ht="14.45" hidden="1" customHeight="1" x14ac:dyDescent="0.25">
      <c r="B975" s="936">
        <f t="shared" si="2549"/>
        <v>39843</v>
      </c>
      <c r="C975" s="662">
        <f t="shared" si="2549"/>
        <v>0</v>
      </c>
      <c r="D975" s="662">
        <f t="shared" ref="D975:L975" si="2552">D959</f>
        <v>0</v>
      </c>
      <c r="E975" s="662">
        <f t="shared" si="2552"/>
        <v>0</v>
      </c>
      <c r="F975" s="662">
        <f t="shared" si="2552"/>
        <v>0</v>
      </c>
      <c r="G975" s="662">
        <f t="shared" si="2552"/>
        <v>0</v>
      </c>
      <c r="H975" s="662">
        <f t="shared" si="2552"/>
        <v>0</v>
      </c>
      <c r="I975" s="662">
        <f t="shared" si="2552"/>
        <v>0</v>
      </c>
      <c r="J975" s="662">
        <f t="shared" si="2552"/>
        <v>0</v>
      </c>
      <c r="K975" s="662">
        <f t="shared" si="2552"/>
        <v>0</v>
      </c>
      <c r="L975" s="662">
        <f t="shared" si="2552"/>
        <v>0</v>
      </c>
      <c r="U975" s="663"/>
      <c r="Z975" s="663"/>
      <c r="AA975" s="663"/>
      <c r="AB975" s="663"/>
      <c r="AC975" s="663"/>
      <c r="AD975" s="663"/>
      <c r="AE975" s="663"/>
      <c r="AF975" s="663"/>
      <c r="AG975" s="663"/>
      <c r="AH975" s="663"/>
      <c r="AI975" s="663"/>
      <c r="AJ975" s="663"/>
      <c r="AK975" s="663"/>
      <c r="AL975" s="663"/>
      <c r="AM975" s="663"/>
      <c r="AN975" s="663"/>
    </row>
    <row r="976" spans="2:40" ht="14.45" hidden="1" customHeight="1" x14ac:dyDescent="0.25">
      <c r="B976" s="936">
        <f t="shared" si="2549"/>
        <v>39843</v>
      </c>
      <c r="C976" s="662">
        <f t="shared" si="2549"/>
        <v>0</v>
      </c>
      <c r="D976" s="662">
        <f t="shared" ref="D976:L976" si="2553">D960</f>
        <v>0</v>
      </c>
      <c r="E976" s="662">
        <f t="shared" si="2553"/>
        <v>0</v>
      </c>
      <c r="F976" s="662">
        <f t="shared" si="2553"/>
        <v>0</v>
      </c>
      <c r="G976" s="662">
        <f t="shared" si="2553"/>
        <v>0</v>
      </c>
      <c r="H976" s="662">
        <f t="shared" si="2553"/>
        <v>0</v>
      </c>
      <c r="I976" s="662">
        <f t="shared" si="2553"/>
        <v>0</v>
      </c>
      <c r="J976" s="662">
        <f t="shared" si="2553"/>
        <v>0</v>
      </c>
      <c r="K976" s="662">
        <f t="shared" si="2553"/>
        <v>0</v>
      </c>
      <c r="L976" s="662">
        <f t="shared" si="2553"/>
        <v>0</v>
      </c>
      <c r="U976" s="663"/>
      <c r="Z976" s="663"/>
      <c r="AA976" s="663"/>
      <c r="AB976" s="663"/>
      <c r="AC976" s="663"/>
      <c r="AD976" s="663"/>
      <c r="AE976" s="663"/>
      <c r="AF976" s="663"/>
      <c r="AG976" s="663"/>
      <c r="AH976" s="663"/>
      <c r="AI976" s="663"/>
      <c r="AJ976" s="663"/>
      <c r="AK976" s="663"/>
      <c r="AL976" s="663"/>
      <c r="AM976" s="663"/>
      <c r="AN976" s="663"/>
    </row>
    <row r="977" spans="2:40" ht="14.45" hidden="1" customHeight="1" x14ac:dyDescent="0.25">
      <c r="B977" s="936">
        <f t="shared" si="2549"/>
        <v>39843</v>
      </c>
      <c r="C977" s="662">
        <f t="shared" si="2549"/>
        <v>0</v>
      </c>
      <c r="D977" s="662">
        <f t="shared" ref="D977:L977" si="2554">D961</f>
        <v>0</v>
      </c>
      <c r="E977" s="662">
        <f t="shared" si="2554"/>
        <v>0</v>
      </c>
      <c r="F977" s="662">
        <f t="shared" si="2554"/>
        <v>0</v>
      </c>
      <c r="G977" s="662">
        <f t="shared" si="2554"/>
        <v>0</v>
      </c>
      <c r="H977" s="662">
        <f t="shared" si="2554"/>
        <v>0</v>
      </c>
      <c r="I977" s="662">
        <f t="shared" si="2554"/>
        <v>0</v>
      </c>
      <c r="J977" s="662">
        <f t="shared" si="2554"/>
        <v>0</v>
      </c>
      <c r="K977" s="662">
        <f t="shared" si="2554"/>
        <v>0</v>
      </c>
      <c r="L977" s="662">
        <f t="shared" si="2554"/>
        <v>0</v>
      </c>
      <c r="U977" s="663"/>
      <c r="Z977" s="663"/>
      <c r="AA977" s="663"/>
      <c r="AB977" s="663"/>
      <c r="AC977" s="663"/>
      <c r="AD977" s="663"/>
      <c r="AE977" s="663"/>
      <c r="AF977" s="663"/>
      <c r="AG977" s="663"/>
      <c r="AH977" s="663"/>
      <c r="AI977" s="663"/>
      <c r="AJ977" s="663"/>
      <c r="AK977" s="663"/>
      <c r="AL977" s="663"/>
      <c r="AM977" s="663"/>
      <c r="AN977" s="663"/>
    </row>
    <row r="978" spans="2:40" ht="14.45" hidden="1" customHeight="1" x14ac:dyDescent="0.25">
      <c r="B978" s="936">
        <f t="shared" si="2549"/>
        <v>39843</v>
      </c>
      <c r="C978" s="662">
        <f t="shared" si="2549"/>
        <v>0</v>
      </c>
      <c r="D978" s="662">
        <f t="shared" ref="D978:L978" si="2555">D962</f>
        <v>0</v>
      </c>
      <c r="E978" s="662">
        <f t="shared" si="2555"/>
        <v>0</v>
      </c>
      <c r="F978" s="662">
        <f t="shared" si="2555"/>
        <v>0</v>
      </c>
      <c r="G978" s="662">
        <f t="shared" si="2555"/>
        <v>0</v>
      </c>
      <c r="H978" s="662">
        <f t="shared" si="2555"/>
        <v>0</v>
      </c>
      <c r="I978" s="662">
        <f t="shared" si="2555"/>
        <v>0</v>
      </c>
      <c r="J978" s="662">
        <f t="shared" si="2555"/>
        <v>0</v>
      </c>
      <c r="K978" s="662">
        <f t="shared" si="2555"/>
        <v>0</v>
      </c>
      <c r="L978" s="662">
        <f t="shared" si="2555"/>
        <v>0</v>
      </c>
      <c r="U978" s="663"/>
      <c r="Z978" s="663"/>
      <c r="AA978" s="663"/>
      <c r="AB978" s="663"/>
      <c r="AC978" s="663"/>
      <c r="AD978" s="663"/>
      <c r="AE978" s="663"/>
      <c r="AF978" s="663"/>
      <c r="AG978" s="663"/>
      <c r="AH978" s="663"/>
      <c r="AI978" s="663"/>
      <c r="AJ978" s="663"/>
      <c r="AK978" s="663"/>
      <c r="AL978" s="663"/>
      <c r="AM978" s="663"/>
      <c r="AN978" s="663"/>
    </row>
    <row r="979" spans="2:40" ht="14.45" hidden="1" customHeight="1" x14ac:dyDescent="0.25">
      <c r="B979" s="936">
        <f t="shared" si="2549"/>
        <v>39843</v>
      </c>
      <c r="C979" s="662">
        <f t="shared" si="2549"/>
        <v>0</v>
      </c>
      <c r="D979" s="662">
        <f t="shared" ref="D979:L979" si="2556">D963</f>
        <v>0</v>
      </c>
      <c r="E979" s="662">
        <f t="shared" si="2556"/>
        <v>0</v>
      </c>
      <c r="F979" s="662">
        <f t="shared" si="2556"/>
        <v>0</v>
      </c>
      <c r="G979" s="662">
        <f t="shared" si="2556"/>
        <v>0</v>
      </c>
      <c r="H979" s="662">
        <f t="shared" si="2556"/>
        <v>0</v>
      </c>
      <c r="I979" s="662">
        <f t="shared" si="2556"/>
        <v>0</v>
      </c>
      <c r="J979" s="662">
        <f t="shared" si="2556"/>
        <v>0</v>
      </c>
      <c r="K979" s="662">
        <f t="shared" si="2556"/>
        <v>0</v>
      </c>
      <c r="L979" s="662">
        <f t="shared" si="2556"/>
        <v>0</v>
      </c>
      <c r="U979" s="663"/>
      <c r="Z979" s="663"/>
      <c r="AA979" s="663"/>
      <c r="AB979" s="663"/>
      <c r="AC979" s="663"/>
      <c r="AD979" s="663"/>
      <c r="AE979" s="663"/>
      <c r="AF979" s="663"/>
      <c r="AG979" s="663"/>
      <c r="AH979" s="663"/>
      <c r="AI979" s="663"/>
      <c r="AJ979" s="663"/>
      <c r="AK979" s="663"/>
      <c r="AL979" s="663"/>
      <c r="AM979" s="663"/>
      <c r="AN979" s="663"/>
    </row>
    <row r="980" spans="2:40" ht="14.45" hidden="1" customHeight="1" x14ac:dyDescent="0.25">
      <c r="B980" s="936">
        <f t="shared" si="2549"/>
        <v>39843</v>
      </c>
      <c r="C980" s="662">
        <f t="shared" si="2549"/>
        <v>0</v>
      </c>
      <c r="D980" s="662">
        <f t="shared" ref="D980:L980" si="2557">D964</f>
        <v>0</v>
      </c>
      <c r="E980" s="662">
        <f t="shared" si="2557"/>
        <v>0</v>
      </c>
      <c r="F980" s="662">
        <f t="shared" si="2557"/>
        <v>0</v>
      </c>
      <c r="G980" s="662">
        <f t="shared" si="2557"/>
        <v>0</v>
      </c>
      <c r="H980" s="662">
        <f t="shared" si="2557"/>
        <v>0</v>
      </c>
      <c r="I980" s="662">
        <f t="shared" si="2557"/>
        <v>0</v>
      </c>
      <c r="J980" s="662">
        <f t="shared" si="2557"/>
        <v>0</v>
      </c>
      <c r="K980" s="662">
        <f t="shared" si="2557"/>
        <v>0</v>
      </c>
      <c r="L980" s="662">
        <f t="shared" si="2557"/>
        <v>0</v>
      </c>
      <c r="U980" s="663"/>
      <c r="Z980" s="663"/>
      <c r="AA980" s="663"/>
      <c r="AB980" s="663"/>
      <c r="AC980" s="663"/>
      <c r="AD980" s="663"/>
      <c r="AE980" s="663"/>
      <c r="AF980" s="663"/>
      <c r="AG980" s="663"/>
      <c r="AH980" s="663"/>
      <c r="AI980" s="663"/>
      <c r="AJ980" s="663"/>
      <c r="AK980" s="663"/>
      <c r="AL980" s="663"/>
      <c r="AM980" s="663"/>
      <c r="AN980" s="663"/>
    </row>
    <row r="981" spans="2:40" ht="14.45" hidden="1" customHeight="1" x14ac:dyDescent="0.25">
      <c r="B981" s="936">
        <f t="shared" si="2549"/>
        <v>39843</v>
      </c>
      <c r="C981" s="662">
        <f t="shared" si="2549"/>
        <v>0</v>
      </c>
      <c r="D981" s="662">
        <f t="shared" ref="D981:L981" si="2558">D965</f>
        <v>0</v>
      </c>
      <c r="E981" s="662">
        <f t="shared" si="2558"/>
        <v>0</v>
      </c>
      <c r="F981" s="662">
        <f t="shared" si="2558"/>
        <v>0</v>
      </c>
      <c r="G981" s="662">
        <f t="shared" si="2558"/>
        <v>0</v>
      </c>
      <c r="H981" s="662">
        <f t="shared" si="2558"/>
        <v>0</v>
      </c>
      <c r="I981" s="662">
        <f t="shared" si="2558"/>
        <v>0</v>
      </c>
      <c r="J981" s="662">
        <f t="shared" si="2558"/>
        <v>0</v>
      </c>
      <c r="K981" s="662">
        <f t="shared" si="2558"/>
        <v>0</v>
      </c>
      <c r="L981" s="662">
        <f t="shared" si="2558"/>
        <v>0</v>
      </c>
      <c r="U981" s="663"/>
      <c r="Z981" s="663"/>
      <c r="AA981" s="663"/>
      <c r="AB981" s="663"/>
      <c r="AC981" s="663"/>
      <c r="AD981" s="663"/>
      <c r="AE981" s="663"/>
      <c r="AF981" s="663"/>
      <c r="AG981" s="663"/>
      <c r="AH981" s="663"/>
      <c r="AI981" s="663"/>
      <c r="AJ981" s="663"/>
      <c r="AK981" s="663"/>
      <c r="AL981" s="663"/>
      <c r="AM981" s="663"/>
      <c r="AN981" s="663"/>
    </row>
    <row r="982" spans="2:40" ht="14.45" hidden="1" customHeight="1" x14ac:dyDescent="0.25">
      <c r="B982" s="936">
        <f>B254+180</f>
        <v>41359</v>
      </c>
      <c r="C982" s="662">
        <f t="shared" ref="C982:L982" si="2559">C966</f>
        <v>1882530.1204819279</v>
      </c>
      <c r="D982" s="662">
        <f t="shared" si="2559"/>
        <v>2823795.1807228918</v>
      </c>
      <c r="E982" s="662">
        <f t="shared" si="2559"/>
        <v>3765060.2409638558</v>
      </c>
      <c r="F982" s="662">
        <f t="shared" si="2559"/>
        <v>4706325.3012048192</v>
      </c>
      <c r="G982" s="662">
        <f t="shared" si="2559"/>
        <v>5647590.3614457836</v>
      </c>
      <c r="H982" s="662">
        <f t="shared" si="2559"/>
        <v>6588855.4216867471</v>
      </c>
      <c r="I982" s="662">
        <f t="shared" si="2559"/>
        <v>7530120.4819277115</v>
      </c>
      <c r="J982" s="662">
        <f t="shared" si="2559"/>
        <v>8471385.542168675</v>
      </c>
      <c r="K982" s="662">
        <f t="shared" si="2559"/>
        <v>9412650.6024096385</v>
      </c>
      <c r="L982" s="662">
        <f t="shared" si="2559"/>
        <v>10353915.662650604</v>
      </c>
      <c r="U982" s="663"/>
      <c r="Z982" s="663"/>
      <c r="AA982" s="663"/>
      <c r="AB982" s="663"/>
      <c r="AC982" s="663"/>
      <c r="AD982" s="663"/>
      <c r="AE982" s="663"/>
      <c r="AF982" s="663"/>
      <c r="AG982" s="663"/>
      <c r="AH982" s="663"/>
      <c r="AI982" s="663"/>
      <c r="AJ982" s="663"/>
      <c r="AK982" s="663"/>
      <c r="AL982" s="663"/>
      <c r="AM982" s="663"/>
      <c r="AN982" s="663"/>
    </row>
    <row r="983" spans="2:40" ht="14.45" hidden="1" customHeight="1" x14ac:dyDescent="0.25">
      <c r="C983" s="882" t="str">
        <f ca="1">IF(ISERROR(XIRR(INDIRECT(C985):C982,INDIRECT($B985):$B982,-20%)),XIRR(INDIRECT(C985):C982,INDIRECT($B985):$B982,20%),"N/A")</f>
        <v>N/A</v>
      </c>
      <c r="D983" s="882" t="str">
        <f ca="1">IF(ISERROR(XIRR(INDIRECT(D985):D982,INDIRECT($B985):$B982,-20%)),XIRR(INDIRECT(D985):D982,INDIRECT($B985):$B982,20%),"N/A")</f>
        <v>N/A</v>
      </c>
      <c r="E983" s="882">
        <f ca="1">IF(ISERROR(XIRR(INDIRECT(E985):E982,INDIRECT($B985):$B982,-20%)),XIRR(INDIRECT(E985):E982,INDIRECT($B985):$B982,20%),"N/A")</f>
        <v>4.2232611775398249E-2</v>
      </c>
      <c r="F983" s="882">
        <f ca="1">IF(ISERROR(XIRR(INDIRECT(F985):F982,INDIRECT($B985):$B982,-20%)),XIRR(INDIRECT(F985):F982,INDIRECT($B985):$B982,20%),"N/A")</f>
        <v>8.5382309556007396E-2</v>
      </c>
      <c r="G983" s="882">
        <f ca="1">IF(ISERROR(XIRR(INDIRECT(G985):G982,INDIRECT($B985):$B982,-20%)),XIRR(INDIRECT(G985):G982,INDIRECT($B985):$B982,20%),"N/A")</f>
        <v>0.1219043433666229</v>
      </c>
      <c r="H983" s="882">
        <f ca="1">IF(ISERROR(XIRR(INDIRECT(H985):H982,INDIRECT($B985):$B982,-20%)),XIRR(INDIRECT(H985):H982,INDIRECT($B985):$B982,20%),"N/A")</f>
        <v>0.15369930863380435</v>
      </c>
      <c r="I983" s="882">
        <f ca="1">IF(ISERROR(XIRR(INDIRECT(I985):I982,INDIRECT($B985):$B982,-20%)),XIRR(INDIRECT(I985):I982,INDIRECT($B985):$B982,20%),"N/A")</f>
        <v>0.18193746209144593</v>
      </c>
      <c r="J983" s="882">
        <f ca="1">IF(ISERROR(XIRR(INDIRECT(J985):J982,INDIRECT($B985):$B982,-20%)),XIRR(INDIRECT(J985):J982,INDIRECT($B985):$B982,20%),"N/A")</f>
        <v>0.20739369988441467</v>
      </c>
      <c r="K983" s="882">
        <f ca="1">IF(ISERROR(XIRR(INDIRECT(K985):K982,INDIRECT($B985):$B982,-20%)),XIRR(INDIRECT(K985):K982,INDIRECT($B985):$B982,20%),"N/A")</f>
        <v>0.23060923218727111</v>
      </c>
      <c r="L983" s="882">
        <f ca="1">IF(ISERROR(XIRR(INDIRECT(L985):L982,INDIRECT($B985):$B982,-20%)),XIRR(INDIRECT(L985):L982,INDIRECT($B985):$B982,20%),"N/A")</f>
        <v>0.25197789072990417</v>
      </c>
      <c r="U983" s="663"/>
      <c r="Z983" s="663"/>
      <c r="AA983" s="663"/>
      <c r="AB983" s="663"/>
      <c r="AC983" s="663"/>
      <c r="AD983" s="663"/>
      <c r="AE983" s="663"/>
      <c r="AF983" s="663"/>
      <c r="AG983" s="663"/>
      <c r="AH983" s="663"/>
      <c r="AI983" s="663"/>
      <c r="AJ983" s="663"/>
      <c r="AK983" s="663"/>
      <c r="AL983" s="663"/>
      <c r="AM983" s="663"/>
      <c r="AN983" s="663"/>
    </row>
    <row r="984" spans="2:40" ht="14.45" hidden="1" customHeight="1" x14ac:dyDescent="0.25">
      <c r="B984" s="898">
        <f>IF(C972&lt;&gt;0,ROW(C972),IF(C973&lt;&gt;0,ROW(C973),IF(C974&lt;&gt;0,ROW(C974),IF(C975&lt;&gt;0,ROW(C975),IF(C976&lt;&gt;0,ROW(C976),IF(C977&lt;&gt;0,ROW(C977),IF(C978&lt;&gt;0,ROW(C978),IF(C979&lt;&gt;0,ROW(C979),IF(C980&lt;&gt;0,ROW(C980),IF(C981&lt;&gt;0,ROW(C981)))))))))))</f>
        <v>972</v>
      </c>
      <c r="C984" s="882"/>
      <c r="U984" s="663"/>
      <c r="Z984" s="663"/>
      <c r="AA984" s="663"/>
      <c r="AB984" s="663"/>
      <c r="AC984" s="663"/>
      <c r="AD984" s="663"/>
      <c r="AE984" s="663"/>
      <c r="AF984" s="663"/>
      <c r="AG984" s="663"/>
      <c r="AH984" s="663"/>
      <c r="AI984" s="663"/>
      <c r="AJ984" s="663"/>
      <c r="AK984" s="663"/>
      <c r="AL984" s="663"/>
      <c r="AM984" s="663"/>
      <c r="AN984" s="663"/>
    </row>
    <row r="985" spans="2:40" ht="14.45" hidden="1" customHeight="1" x14ac:dyDescent="0.25">
      <c r="B985" s="899" t="str">
        <f>CONCATENATE(IF(COLUMN(B984)&lt;=26,CHAR(96+COLUMN(B984)),(CHAR(96+(ROUNDDOWN((COLUMN(B984)-1)/26,0)))&amp;CHAR(96+IF(MOD(COLUMN(B984),26)=0,26,MOD(COLUMN(B984),26))))),B984)</f>
        <v>b972</v>
      </c>
      <c r="C985" s="899" t="str">
        <f>CONCATENATE(IF(COLUMN(C983)&lt;=26,CHAR(96+COLUMN(C983)),(CHAR(96+(ROUNDDOWN((COLUMN(C983)-1)/26,0)))&amp;CHAR(96+IF(MOD(COLUMN(C983),26)=0,26,MOD(COLUMN(C983),26))))),$B984)</f>
        <v>c972</v>
      </c>
      <c r="D985" s="899" t="str">
        <f t="shared" ref="D985" si="2560">CONCATENATE(IF(COLUMN(D983)&lt;=26,CHAR(96+COLUMN(D983)),(CHAR(96+(ROUNDDOWN((COLUMN(D983)-1)/26,0)))&amp;CHAR(96+IF(MOD(COLUMN(D983),26)=0,26,MOD(COLUMN(D983),26))))),$B984)</f>
        <v>d972</v>
      </c>
      <c r="E985" s="899" t="str">
        <f t="shared" ref="E985" si="2561">CONCATENATE(IF(COLUMN(E983)&lt;=26,CHAR(96+COLUMN(E983)),(CHAR(96+(ROUNDDOWN((COLUMN(E983)-1)/26,0)))&amp;CHAR(96+IF(MOD(COLUMN(E983),26)=0,26,MOD(COLUMN(E983),26))))),$B984)</f>
        <v>e972</v>
      </c>
      <c r="F985" s="899" t="str">
        <f t="shared" ref="F985" si="2562">CONCATENATE(IF(COLUMN(F983)&lt;=26,CHAR(96+COLUMN(F983)),(CHAR(96+(ROUNDDOWN((COLUMN(F983)-1)/26,0)))&amp;CHAR(96+IF(MOD(COLUMN(F983),26)=0,26,MOD(COLUMN(F983),26))))),$B984)</f>
        <v>f972</v>
      </c>
      <c r="G985" s="899" t="str">
        <f t="shared" ref="G985" si="2563">CONCATENATE(IF(COLUMN(G983)&lt;=26,CHAR(96+COLUMN(G983)),(CHAR(96+(ROUNDDOWN((COLUMN(G983)-1)/26,0)))&amp;CHAR(96+IF(MOD(COLUMN(G983),26)=0,26,MOD(COLUMN(G983),26))))),$B984)</f>
        <v>g972</v>
      </c>
      <c r="H985" s="899" t="str">
        <f t="shared" ref="H985" si="2564">CONCATENATE(IF(COLUMN(H983)&lt;=26,CHAR(96+COLUMN(H983)),(CHAR(96+(ROUNDDOWN((COLUMN(H983)-1)/26,0)))&amp;CHAR(96+IF(MOD(COLUMN(H983),26)=0,26,MOD(COLUMN(H983),26))))),$B984)</f>
        <v>h972</v>
      </c>
      <c r="I985" s="899" t="str">
        <f t="shared" ref="I985" si="2565">CONCATENATE(IF(COLUMN(I983)&lt;=26,CHAR(96+COLUMN(I983)),(CHAR(96+(ROUNDDOWN((COLUMN(I983)-1)/26,0)))&amp;CHAR(96+IF(MOD(COLUMN(I983),26)=0,26,MOD(COLUMN(I983),26))))),$B984)</f>
        <v>i972</v>
      </c>
      <c r="J985" s="899" t="str">
        <f t="shared" ref="J985" si="2566">CONCATENATE(IF(COLUMN(J983)&lt;=26,CHAR(96+COLUMN(J983)),(CHAR(96+(ROUNDDOWN((COLUMN(J983)-1)/26,0)))&amp;CHAR(96+IF(MOD(COLUMN(J983),26)=0,26,MOD(COLUMN(J983),26))))),$B984)</f>
        <v>j972</v>
      </c>
      <c r="K985" s="899" t="str">
        <f t="shared" ref="K985" si="2567">CONCATENATE(IF(COLUMN(K983)&lt;=26,CHAR(96+COLUMN(K983)),(CHAR(96+(ROUNDDOWN((COLUMN(K983)-1)/26,0)))&amp;CHAR(96+IF(MOD(COLUMN(K983),26)=0,26,MOD(COLUMN(K983),26))))),$B984)</f>
        <v>k972</v>
      </c>
      <c r="L985" s="899" t="str">
        <f t="shared" ref="L985" si="2568">CONCATENATE(IF(COLUMN(L983)&lt;=26,CHAR(96+COLUMN(L983)),(CHAR(96+(ROUNDDOWN((COLUMN(L983)-1)/26,0)))&amp;CHAR(96+IF(MOD(COLUMN(L983),26)=0,26,MOD(COLUMN(L983),26))))),$B984)</f>
        <v>l972</v>
      </c>
      <c r="U985" s="663"/>
      <c r="Z985" s="663"/>
      <c r="AA985" s="663"/>
      <c r="AB985" s="663"/>
      <c r="AC985" s="663"/>
      <c r="AD985" s="663"/>
      <c r="AE985" s="663"/>
      <c r="AF985" s="663"/>
      <c r="AG985" s="663"/>
      <c r="AH985" s="663"/>
      <c r="AI985" s="663"/>
      <c r="AJ985" s="663"/>
      <c r="AK985" s="663"/>
      <c r="AL985" s="663"/>
      <c r="AM985" s="663"/>
      <c r="AN985" s="663"/>
    </row>
    <row r="986" spans="2:40" ht="14.45" hidden="1" customHeight="1" x14ac:dyDescent="0.25">
      <c r="C986" s="662"/>
      <c r="U986" s="663"/>
      <c r="Z986" s="663"/>
      <c r="AA986" s="663"/>
      <c r="AB986" s="663"/>
      <c r="AC986" s="663"/>
      <c r="AD986" s="663"/>
      <c r="AE986" s="663"/>
      <c r="AF986" s="663"/>
      <c r="AG986" s="663"/>
      <c r="AH986" s="663"/>
      <c r="AI986" s="663"/>
      <c r="AJ986" s="663"/>
      <c r="AK986" s="663"/>
      <c r="AL986" s="663"/>
      <c r="AM986" s="663"/>
      <c r="AN986" s="663"/>
    </row>
    <row r="987" spans="2:40" ht="14.45" hidden="1" customHeight="1" x14ac:dyDescent="0.25">
      <c r="C987" s="662"/>
      <c r="U987" s="663"/>
      <c r="Z987" s="663"/>
      <c r="AA987" s="663"/>
      <c r="AB987" s="663"/>
      <c r="AC987" s="663"/>
      <c r="AD987" s="663"/>
      <c r="AE987" s="663"/>
      <c r="AF987" s="663"/>
      <c r="AG987" s="663"/>
      <c r="AH987" s="663"/>
      <c r="AI987" s="663"/>
      <c r="AJ987" s="663"/>
      <c r="AK987" s="663"/>
      <c r="AL987" s="663"/>
      <c r="AM987" s="663"/>
      <c r="AN987" s="663"/>
    </row>
    <row r="988" spans="2:40" ht="14.45" hidden="1" customHeight="1" x14ac:dyDescent="0.25">
      <c r="B988" s="936">
        <f>B972</f>
        <v>39113</v>
      </c>
      <c r="C988" s="662">
        <f>C972</f>
        <v>-1000000</v>
      </c>
      <c r="D988" s="662">
        <f t="shared" ref="D988:L988" si="2569">D972</f>
        <v>-1000000</v>
      </c>
      <c r="E988" s="662">
        <f t="shared" si="2569"/>
        <v>-1000000</v>
      </c>
      <c r="F988" s="662">
        <f t="shared" si="2569"/>
        <v>-1000000</v>
      </c>
      <c r="G988" s="662">
        <f t="shared" si="2569"/>
        <v>-1000000</v>
      </c>
      <c r="H988" s="662">
        <f t="shared" si="2569"/>
        <v>-1000000</v>
      </c>
      <c r="I988" s="662">
        <f t="shared" si="2569"/>
        <v>-1000000</v>
      </c>
      <c r="J988" s="662">
        <f t="shared" si="2569"/>
        <v>-1000000</v>
      </c>
      <c r="K988" s="662">
        <f t="shared" si="2569"/>
        <v>-1000000</v>
      </c>
      <c r="L988" s="662">
        <f t="shared" si="2569"/>
        <v>-1000000</v>
      </c>
      <c r="U988" s="663"/>
      <c r="Z988" s="663"/>
      <c r="AA988" s="663"/>
      <c r="AB988" s="663"/>
      <c r="AC988" s="663"/>
      <c r="AD988" s="663"/>
      <c r="AE988" s="663"/>
      <c r="AF988" s="663"/>
      <c r="AG988" s="663"/>
      <c r="AH988" s="663"/>
      <c r="AI988" s="663"/>
      <c r="AJ988" s="663"/>
      <c r="AK988" s="663"/>
      <c r="AL988" s="663"/>
      <c r="AM988" s="663"/>
      <c r="AN988" s="663"/>
    </row>
    <row r="989" spans="2:40" ht="14.45" hidden="1" customHeight="1" x14ac:dyDescent="0.25">
      <c r="B989" s="936">
        <f t="shared" ref="B989:C997" si="2570">B973</f>
        <v>39478</v>
      </c>
      <c r="C989" s="662">
        <f t="shared" si="2570"/>
        <v>-2000000</v>
      </c>
      <c r="D989" s="662">
        <f t="shared" ref="D989:L989" si="2571">D973</f>
        <v>-2000000</v>
      </c>
      <c r="E989" s="662">
        <f t="shared" si="2571"/>
        <v>-2000000</v>
      </c>
      <c r="F989" s="662">
        <f t="shared" si="2571"/>
        <v>-2000000</v>
      </c>
      <c r="G989" s="662">
        <f t="shared" si="2571"/>
        <v>-2000000</v>
      </c>
      <c r="H989" s="662">
        <f t="shared" si="2571"/>
        <v>-2000000</v>
      </c>
      <c r="I989" s="662">
        <f t="shared" si="2571"/>
        <v>-2000000</v>
      </c>
      <c r="J989" s="662">
        <f t="shared" si="2571"/>
        <v>-2000000</v>
      </c>
      <c r="K989" s="662">
        <f t="shared" si="2571"/>
        <v>-2000000</v>
      </c>
      <c r="L989" s="662">
        <f t="shared" si="2571"/>
        <v>-2000000</v>
      </c>
      <c r="U989" s="663"/>
      <c r="Z989" s="663"/>
      <c r="AA989" s="663"/>
      <c r="AB989" s="663"/>
      <c r="AC989" s="663"/>
      <c r="AD989" s="663"/>
      <c r="AE989" s="663"/>
      <c r="AF989" s="663"/>
      <c r="AG989" s="663"/>
      <c r="AH989" s="663"/>
      <c r="AI989" s="663"/>
      <c r="AJ989" s="663"/>
      <c r="AK989" s="663"/>
      <c r="AL989" s="663"/>
      <c r="AM989" s="663"/>
      <c r="AN989" s="663"/>
    </row>
    <row r="990" spans="2:40" ht="14.45" hidden="1" customHeight="1" x14ac:dyDescent="0.25">
      <c r="B990" s="936">
        <f t="shared" si="2570"/>
        <v>39843</v>
      </c>
      <c r="C990" s="662">
        <f t="shared" si="2570"/>
        <v>0</v>
      </c>
      <c r="D990" s="662">
        <f t="shared" ref="D990:L990" si="2572">D974</f>
        <v>0</v>
      </c>
      <c r="E990" s="662">
        <f t="shared" si="2572"/>
        <v>0</v>
      </c>
      <c r="F990" s="662">
        <f t="shared" si="2572"/>
        <v>0</v>
      </c>
      <c r="G990" s="662">
        <f t="shared" si="2572"/>
        <v>0</v>
      </c>
      <c r="H990" s="662">
        <f t="shared" si="2572"/>
        <v>0</v>
      </c>
      <c r="I990" s="662">
        <f t="shared" si="2572"/>
        <v>0</v>
      </c>
      <c r="J990" s="662">
        <f t="shared" si="2572"/>
        <v>0</v>
      </c>
      <c r="K990" s="662">
        <f t="shared" si="2572"/>
        <v>0</v>
      </c>
      <c r="L990" s="662">
        <f t="shared" si="2572"/>
        <v>0</v>
      </c>
      <c r="U990" s="663"/>
      <c r="Z990" s="663"/>
      <c r="AA990" s="663"/>
      <c r="AB990" s="663"/>
      <c r="AC990" s="663"/>
      <c r="AD990" s="663"/>
      <c r="AE990" s="663"/>
      <c r="AF990" s="663"/>
      <c r="AG990" s="663"/>
      <c r="AH990" s="663"/>
      <c r="AI990" s="663"/>
      <c r="AJ990" s="663"/>
      <c r="AK990" s="663"/>
      <c r="AL990" s="663"/>
      <c r="AM990" s="663"/>
      <c r="AN990" s="663"/>
    </row>
    <row r="991" spans="2:40" ht="14.45" hidden="1" customHeight="1" x14ac:dyDescent="0.25">
      <c r="B991" s="936">
        <f t="shared" si="2570"/>
        <v>39843</v>
      </c>
      <c r="C991" s="662">
        <f t="shared" si="2570"/>
        <v>0</v>
      </c>
      <c r="D991" s="662">
        <f t="shared" ref="D991:L991" si="2573">D975</f>
        <v>0</v>
      </c>
      <c r="E991" s="662">
        <f t="shared" si="2573"/>
        <v>0</v>
      </c>
      <c r="F991" s="662">
        <f t="shared" si="2573"/>
        <v>0</v>
      </c>
      <c r="G991" s="662">
        <f t="shared" si="2573"/>
        <v>0</v>
      </c>
      <c r="H991" s="662">
        <f t="shared" si="2573"/>
        <v>0</v>
      </c>
      <c r="I991" s="662">
        <f t="shared" si="2573"/>
        <v>0</v>
      </c>
      <c r="J991" s="662">
        <f t="shared" si="2573"/>
        <v>0</v>
      </c>
      <c r="K991" s="662">
        <f t="shared" si="2573"/>
        <v>0</v>
      </c>
      <c r="L991" s="662">
        <f t="shared" si="2573"/>
        <v>0</v>
      </c>
      <c r="U991" s="663"/>
      <c r="Z991" s="663"/>
      <c r="AA991" s="663"/>
      <c r="AB991" s="663"/>
      <c r="AC991" s="663"/>
      <c r="AD991" s="663"/>
      <c r="AE991" s="663"/>
      <c r="AF991" s="663"/>
      <c r="AG991" s="663"/>
      <c r="AH991" s="663"/>
      <c r="AI991" s="663"/>
      <c r="AJ991" s="663"/>
      <c r="AK991" s="663"/>
      <c r="AL991" s="663"/>
      <c r="AM991" s="663"/>
      <c r="AN991" s="663"/>
    </row>
    <row r="992" spans="2:40" ht="14.45" hidden="1" customHeight="1" x14ac:dyDescent="0.25">
      <c r="B992" s="936">
        <f t="shared" si="2570"/>
        <v>39843</v>
      </c>
      <c r="C992" s="662">
        <f t="shared" si="2570"/>
        <v>0</v>
      </c>
      <c r="D992" s="662">
        <f t="shared" ref="D992:L992" si="2574">D976</f>
        <v>0</v>
      </c>
      <c r="E992" s="662">
        <f t="shared" si="2574"/>
        <v>0</v>
      </c>
      <c r="F992" s="662">
        <f t="shared" si="2574"/>
        <v>0</v>
      </c>
      <c r="G992" s="662">
        <f t="shared" si="2574"/>
        <v>0</v>
      </c>
      <c r="H992" s="662">
        <f t="shared" si="2574"/>
        <v>0</v>
      </c>
      <c r="I992" s="662">
        <f t="shared" si="2574"/>
        <v>0</v>
      </c>
      <c r="J992" s="662">
        <f t="shared" si="2574"/>
        <v>0</v>
      </c>
      <c r="K992" s="662">
        <f t="shared" si="2574"/>
        <v>0</v>
      </c>
      <c r="L992" s="662">
        <f t="shared" si="2574"/>
        <v>0</v>
      </c>
      <c r="U992" s="663"/>
      <c r="Z992" s="663"/>
      <c r="AA992" s="663"/>
      <c r="AB992" s="663"/>
      <c r="AC992" s="663"/>
      <c r="AD992" s="663"/>
      <c r="AE992" s="663"/>
      <c r="AF992" s="663"/>
      <c r="AG992" s="663"/>
      <c r="AH992" s="663"/>
      <c r="AI992" s="663"/>
      <c r="AJ992" s="663"/>
      <c r="AK992" s="663"/>
      <c r="AL992" s="663"/>
      <c r="AM992" s="663"/>
      <c r="AN992" s="663"/>
    </row>
    <row r="993" spans="2:40" ht="14.45" hidden="1" customHeight="1" x14ac:dyDescent="0.25">
      <c r="B993" s="936">
        <f t="shared" si="2570"/>
        <v>39843</v>
      </c>
      <c r="C993" s="662">
        <f t="shared" si="2570"/>
        <v>0</v>
      </c>
      <c r="D993" s="662">
        <f t="shared" ref="D993:L993" si="2575">D977</f>
        <v>0</v>
      </c>
      <c r="E993" s="662">
        <f t="shared" si="2575"/>
        <v>0</v>
      </c>
      <c r="F993" s="662">
        <f t="shared" si="2575"/>
        <v>0</v>
      </c>
      <c r="G993" s="662">
        <f t="shared" si="2575"/>
        <v>0</v>
      </c>
      <c r="H993" s="662">
        <f t="shared" si="2575"/>
        <v>0</v>
      </c>
      <c r="I993" s="662">
        <f t="shared" si="2575"/>
        <v>0</v>
      </c>
      <c r="J993" s="662">
        <f t="shared" si="2575"/>
        <v>0</v>
      </c>
      <c r="K993" s="662">
        <f t="shared" si="2575"/>
        <v>0</v>
      </c>
      <c r="L993" s="662">
        <f t="shared" si="2575"/>
        <v>0</v>
      </c>
      <c r="U993" s="663"/>
      <c r="Z993" s="663"/>
      <c r="AA993" s="663"/>
      <c r="AB993" s="663"/>
      <c r="AC993" s="663"/>
      <c r="AD993" s="663"/>
      <c r="AE993" s="663"/>
      <c r="AF993" s="663"/>
      <c r="AG993" s="663"/>
      <c r="AH993" s="663"/>
      <c r="AI993" s="663"/>
      <c r="AJ993" s="663"/>
      <c r="AK993" s="663"/>
      <c r="AL993" s="663"/>
      <c r="AM993" s="663"/>
      <c r="AN993" s="663"/>
    </row>
    <row r="994" spans="2:40" ht="14.45" hidden="1" customHeight="1" x14ac:dyDescent="0.25">
      <c r="B994" s="936">
        <f t="shared" si="2570"/>
        <v>39843</v>
      </c>
      <c r="C994" s="662">
        <f t="shared" si="2570"/>
        <v>0</v>
      </c>
      <c r="D994" s="662">
        <f t="shared" ref="D994:L994" si="2576">D978</f>
        <v>0</v>
      </c>
      <c r="E994" s="662">
        <f t="shared" si="2576"/>
        <v>0</v>
      </c>
      <c r="F994" s="662">
        <f t="shared" si="2576"/>
        <v>0</v>
      </c>
      <c r="G994" s="662">
        <f t="shared" si="2576"/>
        <v>0</v>
      </c>
      <c r="H994" s="662">
        <f t="shared" si="2576"/>
        <v>0</v>
      </c>
      <c r="I994" s="662">
        <f t="shared" si="2576"/>
        <v>0</v>
      </c>
      <c r="J994" s="662">
        <f t="shared" si="2576"/>
        <v>0</v>
      </c>
      <c r="K994" s="662">
        <f t="shared" si="2576"/>
        <v>0</v>
      </c>
      <c r="L994" s="662">
        <f t="shared" si="2576"/>
        <v>0</v>
      </c>
      <c r="U994" s="663"/>
      <c r="Z994" s="663"/>
      <c r="AA994" s="663"/>
      <c r="AB994" s="663"/>
      <c r="AC994" s="663"/>
      <c r="AD994" s="663"/>
      <c r="AE994" s="663"/>
      <c r="AF994" s="663"/>
      <c r="AG994" s="663"/>
      <c r="AH994" s="663"/>
      <c r="AI994" s="663"/>
      <c r="AJ994" s="663"/>
      <c r="AK994" s="663"/>
      <c r="AL994" s="663"/>
      <c r="AM994" s="663"/>
      <c r="AN994" s="663"/>
    </row>
    <row r="995" spans="2:40" ht="14.45" hidden="1" customHeight="1" x14ac:dyDescent="0.25">
      <c r="B995" s="936">
        <f t="shared" si="2570"/>
        <v>39843</v>
      </c>
      <c r="C995" s="662">
        <f t="shared" si="2570"/>
        <v>0</v>
      </c>
      <c r="D995" s="662">
        <f t="shared" ref="D995:L995" si="2577">D979</f>
        <v>0</v>
      </c>
      <c r="E995" s="662">
        <f t="shared" si="2577"/>
        <v>0</v>
      </c>
      <c r="F995" s="662">
        <f t="shared" si="2577"/>
        <v>0</v>
      </c>
      <c r="G995" s="662">
        <f t="shared" si="2577"/>
        <v>0</v>
      </c>
      <c r="H995" s="662">
        <f t="shared" si="2577"/>
        <v>0</v>
      </c>
      <c r="I995" s="662">
        <f t="shared" si="2577"/>
        <v>0</v>
      </c>
      <c r="J995" s="662">
        <f t="shared" si="2577"/>
        <v>0</v>
      </c>
      <c r="K995" s="662">
        <f t="shared" si="2577"/>
        <v>0</v>
      </c>
      <c r="L995" s="662">
        <f t="shared" si="2577"/>
        <v>0</v>
      </c>
      <c r="U995" s="663"/>
      <c r="Z995" s="663"/>
      <c r="AA995" s="663"/>
      <c r="AB995" s="663"/>
      <c r="AC995" s="663"/>
      <c r="AD995" s="663"/>
      <c r="AE995" s="663"/>
      <c r="AF995" s="663"/>
      <c r="AG995" s="663"/>
      <c r="AH995" s="663"/>
      <c r="AI995" s="663"/>
      <c r="AJ995" s="663"/>
      <c r="AK995" s="663"/>
      <c r="AL995" s="663"/>
      <c r="AM995" s="663"/>
      <c r="AN995" s="663"/>
    </row>
    <row r="996" spans="2:40" ht="14.45" hidden="1" customHeight="1" x14ac:dyDescent="0.25">
      <c r="B996" s="936">
        <f t="shared" si="2570"/>
        <v>39843</v>
      </c>
      <c r="C996" s="662">
        <f t="shared" si="2570"/>
        <v>0</v>
      </c>
      <c r="D996" s="662">
        <f t="shared" ref="D996:L996" si="2578">D980</f>
        <v>0</v>
      </c>
      <c r="E996" s="662">
        <f t="shared" si="2578"/>
        <v>0</v>
      </c>
      <c r="F996" s="662">
        <f t="shared" si="2578"/>
        <v>0</v>
      </c>
      <c r="G996" s="662">
        <f t="shared" si="2578"/>
        <v>0</v>
      </c>
      <c r="H996" s="662">
        <f t="shared" si="2578"/>
        <v>0</v>
      </c>
      <c r="I996" s="662">
        <f t="shared" si="2578"/>
        <v>0</v>
      </c>
      <c r="J996" s="662">
        <f t="shared" si="2578"/>
        <v>0</v>
      </c>
      <c r="K996" s="662">
        <f t="shared" si="2578"/>
        <v>0</v>
      </c>
      <c r="L996" s="662">
        <f t="shared" si="2578"/>
        <v>0</v>
      </c>
      <c r="U996" s="663"/>
      <c r="Z996" s="663"/>
      <c r="AA996" s="663"/>
      <c r="AB996" s="663"/>
      <c r="AC996" s="663"/>
      <c r="AD996" s="663"/>
      <c r="AE996" s="663"/>
      <c r="AF996" s="663"/>
      <c r="AG996" s="663"/>
      <c r="AH996" s="663"/>
      <c r="AI996" s="663"/>
      <c r="AJ996" s="663"/>
      <c r="AK996" s="663"/>
      <c r="AL996" s="663"/>
      <c r="AM996" s="663"/>
      <c r="AN996" s="663"/>
    </row>
    <row r="997" spans="2:40" ht="14.45" hidden="1" customHeight="1" x14ac:dyDescent="0.25">
      <c r="B997" s="936">
        <f t="shared" si="2570"/>
        <v>39843</v>
      </c>
      <c r="C997" s="662">
        <f t="shared" si="2570"/>
        <v>0</v>
      </c>
      <c r="D997" s="662">
        <f t="shared" ref="D997:L997" si="2579">D981</f>
        <v>0</v>
      </c>
      <c r="E997" s="662">
        <f t="shared" si="2579"/>
        <v>0</v>
      </c>
      <c r="F997" s="662">
        <f t="shared" si="2579"/>
        <v>0</v>
      </c>
      <c r="G997" s="662">
        <f t="shared" si="2579"/>
        <v>0</v>
      </c>
      <c r="H997" s="662">
        <f t="shared" si="2579"/>
        <v>0</v>
      </c>
      <c r="I997" s="662">
        <f t="shared" si="2579"/>
        <v>0</v>
      </c>
      <c r="J997" s="662">
        <f t="shared" si="2579"/>
        <v>0</v>
      </c>
      <c r="K997" s="662">
        <f t="shared" si="2579"/>
        <v>0</v>
      </c>
      <c r="L997" s="662">
        <f t="shared" si="2579"/>
        <v>0</v>
      </c>
      <c r="U997" s="663"/>
      <c r="Z997" s="663"/>
      <c r="AA997" s="663"/>
      <c r="AB997" s="663"/>
      <c r="AC997" s="663"/>
      <c r="AD997" s="663"/>
      <c r="AE997" s="663"/>
      <c r="AF997" s="663"/>
      <c r="AG997" s="663"/>
      <c r="AH997" s="663"/>
      <c r="AI997" s="663"/>
      <c r="AJ997" s="663"/>
      <c r="AK997" s="663"/>
      <c r="AL997" s="663"/>
      <c r="AM997" s="663"/>
      <c r="AN997" s="663"/>
    </row>
    <row r="998" spans="2:40" ht="14.45" hidden="1" customHeight="1" x14ac:dyDescent="0.25">
      <c r="B998" s="936">
        <f>B269+180</f>
        <v>41539</v>
      </c>
      <c r="C998" s="662">
        <f t="shared" ref="C998:L998" si="2580">C982</f>
        <v>1882530.1204819279</v>
      </c>
      <c r="D998" s="662">
        <f t="shared" si="2580"/>
        <v>2823795.1807228918</v>
      </c>
      <c r="E998" s="662">
        <f t="shared" si="2580"/>
        <v>3765060.2409638558</v>
      </c>
      <c r="F998" s="662">
        <f t="shared" si="2580"/>
        <v>4706325.3012048192</v>
      </c>
      <c r="G998" s="662">
        <f t="shared" si="2580"/>
        <v>5647590.3614457836</v>
      </c>
      <c r="H998" s="662">
        <f t="shared" si="2580"/>
        <v>6588855.4216867471</v>
      </c>
      <c r="I998" s="662">
        <f t="shared" si="2580"/>
        <v>7530120.4819277115</v>
      </c>
      <c r="J998" s="662">
        <f t="shared" si="2580"/>
        <v>8471385.542168675</v>
      </c>
      <c r="K998" s="662">
        <f t="shared" si="2580"/>
        <v>9412650.6024096385</v>
      </c>
      <c r="L998" s="662">
        <f t="shared" si="2580"/>
        <v>10353915.662650604</v>
      </c>
      <c r="U998" s="663"/>
      <c r="Z998" s="663"/>
      <c r="AA998" s="663"/>
      <c r="AB998" s="663"/>
      <c r="AC998" s="663"/>
      <c r="AD998" s="663"/>
      <c r="AE998" s="663"/>
      <c r="AF998" s="663"/>
      <c r="AG998" s="663"/>
      <c r="AH998" s="663"/>
      <c r="AI998" s="663"/>
      <c r="AJ998" s="663"/>
      <c r="AK998" s="663"/>
      <c r="AL998" s="663"/>
      <c r="AM998" s="663"/>
      <c r="AN998" s="663"/>
    </row>
    <row r="999" spans="2:40" ht="14.45" hidden="1" customHeight="1" x14ac:dyDescent="0.25">
      <c r="C999" s="882" t="str">
        <f ca="1">IF(ISERROR(XIRR(INDIRECT(C1001):C998,INDIRECT($B1001):$B998,-20%)),XIRR(INDIRECT(C1001):C998,INDIRECT($B1001):$B998,20%),"N/A")</f>
        <v>N/A</v>
      </c>
      <c r="D999" s="882" t="str">
        <f ca="1">IF(ISERROR(XIRR(INDIRECT(D1001):D998,INDIRECT($B1001):$B998,-20%)),XIRR(INDIRECT(D1001):D998,INDIRECT($B1001):$B998,20%),"N/A")</f>
        <v>N/A</v>
      </c>
      <c r="E999" s="882">
        <f ca="1">IF(ISERROR(XIRR(INDIRECT(E1001):E998,INDIRECT($B1001):$B998,-20%)),XIRR(INDIRECT(E1001):E998,INDIRECT($B1001):$B998,20%),"N/A")</f>
        <v>3.8688549399375924E-2</v>
      </c>
      <c r="F999" s="882">
        <f ca="1">IF(ISERROR(XIRR(INDIRECT(F1001):F998,INDIRECT($B1001):$B998,-20%)),XIRR(INDIRECT(F1001):F998,INDIRECT($B1001):$B998,20%),"N/A")</f>
        <v>7.8094807267189051E-2</v>
      </c>
      <c r="G999" s="882">
        <f ca="1">IF(ISERROR(XIRR(INDIRECT(G1001):G998,INDIRECT($B1001):$B998,-20%)),XIRR(INDIRECT(G1001):G998,INDIRECT($B1001):$B998,20%),"N/A")</f>
        <v>0.11135597825050356</v>
      </c>
      <c r="H999" s="882">
        <f ca="1">IF(ISERROR(XIRR(INDIRECT(H1001):H998,INDIRECT($B1001):$B998,-20%)),XIRR(INDIRECT(H1001):H998,INDIRECT($B1001):$B998,20%),"N/A")</f>
        <v>0.14024584889411928</v>
      </c>
      <c r="I999" s="882">
        <f ca="1">IF(ISERROR(XIRR(INDIRECT(I1001):I998,INDIRECT($B1001):$B998,-20%)),XIRR(INDIRECT(I1001):I998,INDIRECT($B1001):$B998,20%),"N/A")</f>
        <v>0.16585387587547304</v>
      </c>
      <c r="J999" s="882">
        <f ca="1">IF(ISERROR(XIRR(INDIRECT(J1001):J998,INDIRECT($B1001):$B998,-20%)),XIRR(INDIRECT(J1001):J998,INDIRECT($B1001):$B998,20%),"N/A")</f>
        <v>0.18889990448951721</v>
      </c>
      <c r="K999" s="882">
        <f ca="1">IF(ISERROR(XIRR(INDIRECT(K1001):K998,INDIRECT($B1001):$B998,-20%)),XIRR(INDIRECT(K1001):K998,INDIRECT($B1001):$B998,20%),"N/A")</f>
        <v>0.20988579392433171</v>
      </c>
      <c r="L999" s="882">
        <f ca="1">IF(ISERROR(XIRR(INDIRECT(L1001):L998,INDIRECT($B1001):$B998,-20%)),XIRR(INDIRECT(L1001):L998,INDIRECT($B1001):$B998,20%),"N/A")</f>
        <v>0.22917614579200749</v>
      </c>
      <c r="U999" s="663"/>
      <c r="Z999" s="663"/>
      <c r="AA999" s="663"/>
      <c r="AB999" s="663"/>
      <c r="AC999" s="663"/>
      <c r="AD999" s="663"/>
      <c r="AE999" s="663"/>
      <c r="AF999" s="663"/>
      <c r="AG999" s="663"/>
      <c r="AH999" s="663"/>
      <c r="AI999" s="663"/>
      <c r="AJ999" s="663"/>
      <c r="AK999" s="663"/>
      <c r="AL999" s="663"/>
      <c r="AM999" s="663"/>
      <c r="AN999" s="663"/>
    </row>
    <row r="1000" spans="2:40" ht="14.45" hidden="1" customHeight="1" x14ac:dyDescent="0.25">
      <c r="B1000" s="898">
        <f>IF(C988&lt;&gt;0,ROW(C988),IF(C989&lt;&gt;0,ROW(C989),IF(C990&lt;&gt;0,ROW(C990),IF(C991&lt;&gt;0,ROW(C991),IF(C992&lt;&gt;0,ROW(C992),IF(C993&lt;&gt;0,ROW(C993),IF(C994&lt;&gt;0,ROW(C994),IF(C995&lt;&gt;0,ROW(C995),IF(C996&lt;&gt;0,ROW(C996),IF(C997&lt;&gt;0,ROW(C997)))))))))))</f>
        <v>988</v>
      </c>
      <c r="C1000" s="882"/>
      <c r="U1000" s="663"/>
      <c r="Z1000" s="663"/>
      <c r="AA1000" s="663"/>
      <c r="AB1000" s="663"/>
      <c r="AC1000" s="663"/>
      <c r="AD1000" s="663"/>
      <c r="AE1000" s="663"/>
      <c r="AF1000" s="663"/>
      <c r="AG1000" s="663"/>
      <c r="AH1000" s="663"/>
      <c r="AI1000" s="663"/>
      <c r="AJ1000" s="663"/>
      <c r="AK1000" s="663"/>
      <c r="AL1000" s="663"/>
      <c r="AM1000" s="663"/>
      <c r="AN1000" s="663"/>
    </row>
    <row r="1001" spans="2:40" ht="14.45" hidden="1" customHeight="1" x14ac:dyDescent="0.25">
      <c r="B1001" s="899" t="str">
        <f>CONCATENATE(IF(COLUMN(B1000)&lt;=26,CHAR(96+COLUMN(B1000)),(CHAR(96+(ROUNDDOWN((COLUMN(B1000)-1)/26,0)))&amp;CHAR(96+IF(MOD(COLUMN(B1000),26)=0,26,MOD(COLUMN(B1000),26))))),B1000)</f>
        <v>b988</v>
      </c>
      <c r="C1001" s="899" t="str">
        <f>CONCATENATE(IF(COLUMN(C999)&lt;=26,CHAR(96+COLUMN(C999)),(CHAR(96+(ROUNDDOWN((COLUMN(C999)-1)/26,0)))&amp;CHAR(96+IF(MOD(COLUMN(C999),26)=0,26,MOD(COLUMN(C999),26))))),$B1000)</f>
        <v>c988</v>
      </c>
      <c r="D1001" s="899" t="str">
        <f t="shared" ref="D1001" si="2581">CONCATENATE(IF(COLUMN(D999)&lt;=26,CHAR(96+COLUMN(D999)),(CHAR(96+(ROUNDDOWN((COLUMN(D999)-1)/26,0)))&amp;CHAR(96+IF(MOD(COLUMN(D999),26)=0,26,MOD(COLUMN(D999),26))))),$B1000)</f>
        <v>d988</v>
      </c>
      <c r="E1001" s="899" t="str">
        <f t="shared" ref="E1001" si="2582">CONCATENATE(IF(COLUMN(E999)&lt;=26,CHAR(96+COLUMN(E999)),(CHAR(96+(ROUNDDOWN((COLUMN(E999)-1)/26,0)))&amp;CHAR(96+IF(MOD(COLUMN(E999),26)=0,26,MOD(COLUMN(E999),26))))),$B1000)</f>
        <v>e988</v>
      </c>
      <c r="F1001" s="899" t="str">
        <f t="shared" ref="F1001" si="2583">CONCATENATE(IF(COLUMN(F999)&lt;=26,CHAR(96+COLUMN(F999)),(CHAR(96+(ROUNDDOWN((COLUMN(F999)-1)/26,0)))&amp;CHAR(96+IF(MOD(COLUMN(F999),26)=0,26,MOD(COLUMN(F999),26))))),$B1000)</f>
        <v>f988</v>
      </c>
      <c r="G1001" s="899" t="str">
        <f t="shared" ref="G1001" si="2584">CONCATENATE(IF(COLUMN(G999)&lt;=26,CHAR(96+COLUMN(G999)),(CHAR(96+(ROUNDDOWN((COLUMN(G999)-1)/26,0)))&amp;CHAR(96+IF(MOD(COLUMN(G999),26)=0,26,MOD(COLUMN(G999),26))))),$B1000)</f>
        <v>g988</v>
      </c>
      <c r="H1001" s="899" t="str">
        <f t="shared" ref="H1001" si="2585">CONCATENATE(IF(COLUMN(H999)&lt;=26,CHAR(96+COLUMN(H999)),(CHAR(96+(ROUNDDOWN((COLUMN(H999)-1)/26,0)))&amp;CHAR(96+IF(MOD(COLUMN(H999),26)=0,26,MOD(COLUMN(H999),26))))),$B1000)</f>
        <v>h988</v>
      </c>
      <c r="I1001" s="899" t="str">
        <f t="shared" ref="I1001" si="2586">CONCATENATE(IF(COLUMN(I999)&lt;=26,CHAR(96+COLUMN(I999)),(CHAR(96+(ROUNDDOWN((COLUMN(I999)-1)/26,0)))&amp;CHAR(96+IF(MOD(COLUMN(I999),26)=0,26,MOD(COLUMN(I999),26))))),$B1000)</f>
        <v>i988</v>
      </c>
      <c r="J1001" s="899" t="str">
        <f t="shared" ref="J1001" si="2587">CONCATENATE(IF(COLUMN(J999)&lt;=26,CHAR(96+COLUMN(J999)),(CHAR(96+(ROUNDDOWN((COLUMN(J999)-1)/26,0)))&amp;CHAR(96+IF(MOD(COLUMN(J999),26)=0,26,MOD(COLUMN(J999),26))))),$B1000)</f>
        <v>j988</v>
      </c>
      <c r="K1001" s="899" t="str">
        <f t="shared" ref="K1001" si="2588">CONCATENATE(IF(COLUMN(K999)&lt;=26,CHAR(96+COLUMN(K999)),(CHAR(96+(ROUNDDOWN((COLUMN(K999)-1)/26,0)))&amp;CHAR(96+IF(MOD(COLUMN(K999),26)=0,26,MOD(COLUMN(K999),26))))),$B1000)</f>
        <v>k988</v>
      </c>
      <c r="L1001" s="899" t="str">
        <f t="shared" ref="L1001" si="2589">CONCATENATE(IF(COLUMN(L999)&lt;=26,CHAR(96+COLUMN(L999)),(CHAR(96+(ROUNDDOWN((COLUMN(L999)-1)/26,0)))&amp;CHAR(96+IF(MOD(COLUMN(L999),26)=0,26,MOD(COLUMN(L999),26))))),$B1000)</f>
        <v>l988</v>
      </c>
      <c r="U1001" s="663"/>
      <c r="Z1001" s="663"/>
      <c r="AA1001" s="663"/>
      <c r="AB1001" s="663"/>
      <c r="AC1001" s="663"/>
      <c r="AD1001" s="663"/>
      <c r="AE1001" s="663"/>
      <c r="AF1001" s="663"/>
      <c r="AG1001" s="663"/>
      <c r="AH1001" s="663"/>
      <c r="AI1001" s="663"/>
      <c r="AJ1001" s="663"/>
      <c r="AK1001" s="663"/>
      <c r="AL1001" s="663"/>
      <c r="AM1001" s="663"/>
      <c r="AN1001" s="663"/>
    </row>
    <row r="1002" spans="2:40" ht="14.45" hidden="1" customHeight="1" x14ac:dyDescent="0.25">
      <c r="C1002" s="662"/>
      <c r="U1002" s="663"/>
      <c r="Z1002" s="663"/>
      <c r="AA1002" s="663"/>
      <c r="AB1002" s="663"/>
      <c r="AC1002" s="663"/>
      <c r="AD1002" s="663"/>
      <c r="AE1002" s="663"/>
      <c r="AF1002" s="663"/>
      <c r="AG1002" s="663"/>
      <c r="AH1002" s="663"/>
      <c r="AI1002" s="663"/>
      <c r="AJ1002" s="663"/>
      <c r="AK1002" s="663"/>
      <c r="AL1002" s="663"/>
      <c r="AM1002" s="663"/>
      <c r="AN1002" s="663"/>
    </row>
    <row r="1003" spans="2:40" ht="14.45" hidden="1" customHeight="1" x14ac:dyDescent="0.25">
      <c r="C1003" s="662"/>
      <c r="U1003" s="663"/>
      <c r="Z1003" s="663"/>
      <c r="AA1003" s="663"/>
      <c r="AB1003" s="663"/>
      <c r="AC1003" s="663"/>
      <c r="AD1003" s="663"/>
      <c r="AE1003" s="663"/>
      <c r="AF1003" s="663"/>
      <c r="AG1003" s="663"/>
      <c r="AH1003" s="663"/>
      <c r="AI1003" s="663"/>
      <c r="AJ1003" s="663"/>
      <c r="AK1003" s="663"/>
      <c r="AL1003" s="663"/>
      <c r="AM1003" s="663"/>
      <c r="AN1003" s="663"/>
    </row>
    <row r="1004" spans="2:40" ht="14.45" hidden="1" customHeight="1" x14ac:dyDescent="0.25">
      <c r="B1004" s="936">
        <f>B988</f>
        <v>39113</v>
      </c>
      <c r="C1004" s="662">
        <f>C988</f>
        <v>-1000000</v>
      </c>
      <c r="D1004" s="662">
        <f t="shared" ref="D1004:L1004" si="2590">D988</f>
        <v>-1000000</v>
      </c>
      <c r="E1004" s="662">
        <f t="shared" si="2590"/>
        <v>-1000000</v>
      </c>
      <c r="F1004" s="662">
        <f t="shared" si="2590"/>
        <v>-1000000</v>
      </c>
      <c r="G1004" s="662">
        <f t="shared" si="2590"/>
        <v>-1000000</v>
      </c>
      <c r="H1004" s="662">
        <f t="shared" si="2590"/>
        <v>-1000000</v>
      </c>
      <c r="I1004" s="662">
        <f t="shared" si="2590"/>
        <v>-1000000</v>
      </c>
      <c r="J1004" s="662">
        <f t="shared" si="2590"/>
        <v>-1000000</v>
      </c>
      <c r="K1004" s="662">
        <f t="shared" si="2590"/>
        <v>-1000000</v>
      </c>
      <c r="L1004" s="662">
        <f t="shared" si="2590"/>
        <v>-1000000</v>
      </c>
      <c r="U1004" s="663"/>
      <c r="Z1004" s="663"/>
      <c r="AA1004" s="663"/>
      <c r="AB1004" s="663"/>
      <c r="AC1004" s="663"/>
      <c r="AD1004" s="663"/>
      <c r="AE1004" s="663"/>
      <c r="AF1004" s="663"/>
      <c r="AG1004" s="663"/>
      <c r="AH1004" s="663"/>
      <c r="AI1004" s="663"/>
      <c r="AJ1004" s="663"/>
      <c r="AK1004" s="663"/>
      <c r="AL1004" s="663"/>
      <c r="AM1004" s="663"/>
      <c r="AN1004" s="663"/>
    </row>
    <row r="1005" spans="2:40" ht="14.45" hidden="1" customHeight="1" x14ac:dyDescent="0.25">
      <c r="B1005" s="936">
        <f t="shared" ref="B1005:C1013" si="2591">B989</f>
        <v>39478</v>
      </c>
      <c r="C1005" s="662">
        <f t="shared" si="2591"/>
        <v>-2000000</v>
      </c>
      <c r="D1005" s="662">
        <f t="shared" ref="D1005:L1005" si="2592">D989</f>
        <v>-2000000</v>
      </c>
      <c r="E1005" s="662">
        <f t="shared" si="2592"/>
        <v>-2000000</v>
      </c>
      <c r="F1005" s="662">
        <f t="shared" si="2592"/>
        <v>-2000000</v>
      </c>
      <c r="G1005" s="662">
        <f t="shared" si="2592"/>
        <v>-2000000</v>
      </c>
      <c r="H1005" s="662">
        <f t="shared" si="2592"/>
        <v>-2000000</v>
      </c>
      <c r="I1005" s="662">
        <f t="shared" si="2592"/>
        <v>-2000000</v>
      </c>
      <c r="J1005" s="662">
        <f t="shared" si="2592"/>
        <v>-2000000</v>
      </c>
      <c r="K1005" s="662">
        <f t="shared" si="2592"/>
        <v>-2000000</v>
      </c>
      <c r="L1005" s="662">
        <f t="shared" si="2592"/>
        <v>-2000000</v>
      </c>
      <c r="U1005" s="663"/>
      <c r="Z1005" s="663"/>
      <c r="AA1005" s="663"/>
      <c r="AB1005" s="663"/>
      <c r="AC1005" s="663"/>
      <c r="AD1005" s="663"/>
      <c r="AE1005" s="663"/>
      <c r="AF1005" s="663"/>
      <c r="AG1005" s="663"/>
      <c r="AH1005" s="663"/>
      <c r="AI1005" s="663"/>
      <c r="AJ1005" s="663"/>
      <c r="AK1005" s="663"/>
      <c r="AL1005" s="663"/>
      <c r="AM1005" s="663"/>
      <c r="AN1005" s="663"/>
    </row>
    <row r="1006" spans="2:40" ht="14.45" hidden="1" customHeight="1" x14ac:dyDescent="0.25">
      <c r="B1006" s="936">
        <f t="shared" si="2591"/>
        <v>39843</v>
      </c>
      <c r="C1006" s="662">
        <f t="shared" si="2591"/>
        <v>0</v>
      </c>
      <c r="D1006" s="662">
        <f t="shared" ref="D1006:L1006" si="2593">D990</f>
        <v>0</v>
      </c>
      <c r="E1006" s="662">
        <f t="shared" si="2593"/>
        <v>0</v>
      </c>
      <c r="F1006" s="662">
        <f t="shared" si="2593"/>
        <v>0</v>
      </c>
      <c r="G1006" s="662">
        <f t="shared" si="2593"/>
        <v>0</v>
      </c>
      <c r="H1006" s="662">
        <f t="shared" si="2593"/>
        <v>0</v>
      </c>
      <c r="I1006" s="662">
        <f t="shared" si="2593"/>
        <v>0</v>
      </c>
      <c r="J1006" s="662">
        <f t="shared" si="2593"/>
        <v>0</v>
      </c>
      <c r="K1006" s="662">
        <f t="shared" si="2593"/>
        <v>0</v>
      </c>
      <c r="L1006" s="662">
        <f t="shared" si="2593"/>
        <v>0</v>
      </c>
      <c r="U1006" s="663"/>
      <c r="Z1006" s="663"/>
      <c r="AA1006" s="663"/>
      <c r="AB1006" s="663"/>
      <c r="AC1006" s="663"/>
      <c r="AD1006" s="663"/>
      <c r="AE1006" s="663"/>
      <c r="AF1006" s="663"/>
      <c r="AG1006" s="663"/>
      <c r="AH1006" s="663"/>
      <c r="AI1006" s="663"/>
      <c r="AJ1006" s="663"/>
      <c r="AK1006" s="663"/>
      <c r="AL1006" s="663"/>
      <c r="AM1006" s="663"/>
      <c r="AN1006" s="663"/>
    </row>
    <row r="1007" spans="2:40" ht="14.45" hidden="1" customHeight="1" x14ac:dyDescent="0.25">
      <c r="B1007" s="936">
        <f t="shared" si="2591"/>
        <v>39843</v>
      </c>
      <c r="C1007" s="662">
        <f t="shared" si="2591"/>
        <v>0</v>
      </c>
      <c r="D1007" s="662">
        <f t="shared" ref="D1007:L1007" si="2594">D991</f>
        <v>0</v>
      </c>
      <c r="E1007" s="662">
        <f t="shared" si="2594"/>
        <v>0</v>
      </c>
      <c r="F1007" s="662">
        <f t="shared" si="2594"/>
        <v>0</v>
      </c>
      <c r="G1007" s="662">
        <f t="shared" si="2594"/>
        <v>0</v>
      </c>
      <c r="H1007" s="662">
        <f t="shared" si="2594"/>
        <v>0</v>
      </c>
      <c r="I1007" s="662">
        <f t="shared" si="2594"/>
        <v>0</v>
      </c>
      <c r="J1007" s="662">
        <f t="shared" si="2594"/>
        <v>0</v>
      </c>
      <c r="K1007" s="662">
        <f t="shared" si="2594"/>
        <v>0</v>
      </c>
      <c r="L1007" s="662">
        <f t="shared" si="2594"/>
        <v>0</v>
      </c>
      <c r="U1007" s="663"/>
      <c r="Z1007" s="663"/>
      <c r="AA1007" s="663"/>
      <c r="AB1007" s="663"/>
      <c r="AC1007" s="663"/>
      <c r="AD1007" s="663"/>
      <c r="AE1007" s="663"/>
      <c r="AF1007" s="663"/>
      <c r="AG1007" s="663"/>
      <c r="AH1007" s="663"/>
      <c r="AI1007" s="663"/>
      <c r="AJ1007" s="663"/>
      <c r="AK1007" s="663"/>
      <c r="AL1007" s="663"/>
      <c r="AM1007" s="663"/>
      <c r="AN1007" s="663"/>
    </row>
    <row r="1008" spans="2:40" ht="14.45" hidden="1" customHeight="1" x14ac:dyDescent="0.25">
      <c r="B1008" s="936">
        <f t="shared" si="2591"/>
        <v>39843</v>
      </c>
      <c r="C1008" s="662">
        <f t="shared" si="2591"/>
        <v>0</v>
      </c>
      <c r="D1008" s="662">
        <f t="shared" ref="D1008:L1008" si="2595">D992</f>
        <v>0</v>
      </c>
      <c r="E1008" s="662">
        <f t="shared" si="2595"/>
        <v>0</v>
      </c>
      <c r="F1008" s="662">
        <f t="shared" si="2595"/>
        <v>0</v>
      </c>
      <c r="G1008" s="662">
        <f t="shared" si="2595"/>
        <v>0</v>
      </c>
      <c r="H1008" s="662">
        <f t="shared" si="2595"/>
        <v>0</v>
      </c>
      <c r="I1008" s="662">
        <f t="shared" si="2595"/>
        <v>0</v>
      </c>
      <c r="J1008" s="662">
        <f t="shared" si="2595"/>
        <v>0</v>
      </c>
      <c r="K1008" s="662">
        <f t="shared" si="2595"/>
        <v>0</v>
      </c>
      <c r="L1008" s="662">
        <f t="shared" si="2595"/>
        <v>0</v>
      </c>
      <c r="U1008" s="663"/>
      <c r="Z1008" s="663"/>
      <c r="AA1008" s="663"/>
      <c r="AB1008" s="663"/>
      <c r="AC1008" s="663"/>
      <c r="AD1008" s="663"/>
      <c r="AE1008" s="663"/>
      <c r="AF1008" s="663"/>
      <c r="AG1008" s="663"/>
      <c r="AH1008" s="663"/>
      <c r="AI1008" s="663"/>
      <c r="AJ1008" s="663"/>
      <c r="AK1008" s="663"/>
      <c r="AL1008" s="663"/>
      <c r="AM1008" s="663"/>
      <c r="AN1008" s="663"/>
    </row>
    <row r="1009" spans="2:40" ht="14.45" hidden="1" customHeight="1" x14ac:dyDescent="0.25">
      <c r="B1009" s="936">
        <f t="shared" si="2591"/>
        <v>39843</v>
      </c>
      <c r="C1009" s="662">
        <f t="shared" si="2591"/>
        <v>0</v>
      </c>
      <c r="D1009" s="662">
        <f t="shared" ref="D1009:L1009" si="2596">D993</f>
        <v>0</v>
      </c>
      <c r="E1009" s="662">
        <f t="shared" si="2596"/>
        <v>0</v>
      </c>
      <c r="F1009" s="662">
        <f t="shared" si="2596"/>
        <v>0</v>
      </c>
      <c r="G1009" s="662">
        <f t="shared" si="2596"/>
        <v>0</v>
      </c>
      <c r="H1009" s="662">
        <f t="shared" si="2596"/>
        <v>0</v>
      </c>
      <c r="I1009" s="662">
        <f t="shared" si="2596"/>
        <v>0</v>
      </c>
      <c r="J1009" s="662">
        <f t="shared" si="2596"/>
        <v>0</v>
      </c>
      <c r="K1009" s="662">
        <f t="shared" si="2596"/>
        <v>0</v>
      </c>
      <c r="L1009" s="662">
        <f t="shared" si="2596"/>
        <v>0</v>
      </c>
      <c r="U1009" s="663"/>
      <c r="Z1009" s="663"/>
      <c r="AA1009" s="663"/>
      <c r="AB1009" s="663"/>
      <c r="AC1009" s="663"/>
      <c r="AD1009" s="663"/>
      <c r="AE1009" s="663"/>
      <c r="AF1009" s="663"/>
      <c r="AG1009" s="663"/>
      <c r="AH1009" s="663"/>
      <c r="AI1009" s="663"/>
      <c r="AJ1009" s="663"/>
      <c r="AK1009" s="663"/>
      <c r="AL1009" s="663"/>
      <c r="AM1009" s="663"/>
      <c r="AN1009" s="663"/>
    </row>
    <row r="1010" spans="2:40" ht="14.45" hidden="1" customHeight="1" x14ac:dyDescent="0.25">
      <c r="B1010" s="936">
        <f t="shared" si="2591"/>
        <v>39843</v>
      </c>
      <c r="C1010" s="662">
        <f t="shared" si="2591"/>
        <v>0</v>
      </c>
      <c r="D1010" s="662">
        <f t="shared" ref="D1010:L1010" si="2597">D994</f>
        <v>0</v>
      </c>
      <c r="E1010" s="662">
        <f t="shared" si="2597"/>
        <v>0</v>
      </c>
      <c r="F1010" s="662">
        <f t="shared" si="2597"/>
        <v>0</v>
      </c>
      <c r="G1010" s="662">
        <f t="shared" si="2597"/>
        <v>0</v>
      </c>
      <c r="H1010" s="662">
        <f t="shared" si="2597"/>
        <v>0</v>
      </c>
      <c r="I1010" s="662">
        <f t="shared" si="2597"/>
        <v>0</v>
      </c>
      <c r="J1010" s="662">
        <f t="shared" si="2597"/>
        <v>0</v>
      </c>
      <c r="K1010" s="662">
        <f t="shared" si="2597"/>
        <v>0</v>
      </c>
      <c r="L1010" s="662">
        <f t="shared" si="2597"/>
        <v>0</v>
      </c>
      <c r="U1010" s="663"/>
      <c r="Z1010" s="663"/>
      <c r="AA1010" s="663"/>
      <c r="AB1010" s="663"/>
      <c r="AC1010" s="663"/>
      <c r="AD1010" s="663"/>
      <c r="AE1010" s="663"/>
      <c r="AF1010" s="663"/>
      <c r="AG1010" s="663"/>
      <c r="AH1010" s="663"/>
      <c r="AI1010" s="663"/>
      <c r="AJ1010" s="663"/>
      <c r="AK1010" s="663"/>
      <c r="AL1010" s="663"/>
      <c r="AM1010" s="663"/>
      <c r="AN1010" s="663"/>
    </row>
    <row r="1011" spans="2:40" ht="14.45" hidden="1" customHeight="1" x14ac:dyDescent="0.25">
      <c r="B1011" s="936">
        <f t="shared" si="2591"/>
        <v>39843</v>
      </c>
      <c r="C1011" s="662">
        <f t="shared" si="2591"/>
        <v>0</v>
      </c>
      <c r="D1011" s="662">
        <f t="shared" ref="D1011:L1011" si="2598">D995</f>
        <v>0</v>
      </c>
      <c r="E1011" s="662">
        <f t="shared" si="2598"/>
        <v>0</v>
      </c>
      <c r="F1011" s="662">
        <f t="shared" si="2598"/>
        <v>0</v>
      </c>
      <c r="G1011" s="662">
        <f t="shared" si="2598"/>
        <v>0</v>
      </c>
      <c r="H1011" s="662">
        <f t="shared" si="2598"/>
        <v>0</v>
      </c>
      <c r="I1011" s="662">
        <f t="shared" si="2598"/>
        <v>0</v>
      </c>
      <c r="J1011" s="662">
        <f t="shared" si="2598"/>
        <v>0</v>
      </c>
      <c r="K1011" s="662">
        <f t="shared" si="2598"/>
        <v>0</v>
      </c>
      <c r="L1011" s="662">
        <f t="shared" si="2598"/>
        <v>0</v>
      </c>
      <c r="U1011" s="663"/>
      <c r="Z1011" s="663"/>
      <c r="AA1011" s="663"/>
      <c r="AB1011" s="663"/>
      <c r="AC1011" s="663"/>
      <c r="AD1011" s="663"/>
      <c r="AE1011" s="663"/>
      <c r="AF1011" s="663"/>
      <c r="AG1011" s="663"/>
      <c r="AH1011" s="663"/>
      <c r="AI1011" s="663"/>
      <c r="AJ1011" s="663"/>
      <c r="AK1011" s="663"/>
      <c r="AL1011" s="663"/>
      <c r="AM1011" s="663"/>
      <c r="AN1011" s="663"/>
    </row>
    <row r="1012" spans="2:40" ht="14.45" hidden="1" customHeight="1" x14ac:dyDescent="0.25">
      <c r="B1012" s="936">
        <f t="shared" si="2591"/>
        <v>39843</v>
      </c>
      <c r="C1012" s="662">
        <f t="shared" si="2591"/>
        <v>0</v>
      </c>
      <c r="D1012" s="662">
        <f t="shared" ref="D1012:L1012" si="2599">D996</f>
        <v>0</v>
      </c>
      <c r="E1012" s="662">
        <f t="shared" si="2599"/>
        <v>0</v>
      </c>
      <c r="F1012" s="662">
        <f t="shared" si="2599"/>
        <v>0</v>
      </c>
      <c r="G1012" s="662">
        <f t="shared" si="2599"/>
        <v>0</v>
      </c>
      <c r="H1012" s="662">
        <f t="shared" si="2599"/>
        <v>0</v>
      </c>
      <c r="I1012" s="662">
        <f t="shared" si="2599"/>
        <v>0</v>
      </c>
      <c r="J1012" s="662">
        <f t="shared" si="2599"/>
        <v>0</v>
      </c>
      <c r="K1012" s="662">
        <f t="shared" si="2599"/>
        <v>0</v>
      </c>
      <c r="L1012" s="662">
        <f t="shared" si="2599"/>
        <v>0</v>
      </c>
      <c r="U1012" s="663"/>
      <c r="Z1012" s="663"/>
      <c r="AA1012" s="663"/>
      <c r="AB1012" s="663"/>
      <c r="AC1012" s="663"/>
      <c r="AD1012" s="663"/>
      <c r="AE1012" s="663"/>
      <c r="AF1012" s="663"/>
      <c r="AG1012" s="663"/>
      <c r="AH1012" s="663"/>
      <c r="AI1012" s="663"/>
      <c r="AJ1012" s="663"/>
      <c r="AK1012" s="663"/>
      <c r="AL1012" s="663"/>
      <c r="AM1012" s="663"/>
      <c r="AN1012" s="663"/>
    </row>
    <row r="1013" spans="2:40" ht="14.45" hidden="1" customHeight="1" x14ac:dyDescent="0.25">
      <c r="B1013" s="936">
        <f t="shared" si="2591"/>
        <v>39843</v>
      </c>
      <c r="C1013" s="662">
        <f t="shared" si="2591"/>
        <v>0</v>
      </c>
      <c r="D1013" s="662">
        <f t="shared" ref="D1013:L1013" si="2600">D997</f>
        <v>0</v>
      </c>
      <c r="E1013" s="662">
        <f t="shared" si="2600"/>
        <v>0</v>
      </c>
      <c r="F1013" s="662">
        <f t="shared" si="2600"/>
        <v>0</v>
      </c>
      <c r="G1013" s="662">
        <f t="shared" si="2600"/>
        <v>0</v>
      </c>
      <c r="H1013" s="662">
        <f t="shared" si="2600"/>
        <v>0</v>
      </c>
      <c r="I1013" s="662">
        <f t="shared" si="2600"/>
        <v>0</v>
      </c>
      <c r="J1013" s="662">
        <f t="shared" si="2600"/>
        <v>0</v>
      </c>
      <c r="K1013" s="662">
        <f t="shared" si="2600"/>
        <v>0</v>
      </c>
      <c r="L1013" s="662">
        <f t="shared" si="2600"/>
        <v>0</v>
      </c>
      <c r="U1013" s="663"/>
      <c r="Z1013" s="663"/>
      <c r="AA1013" s="663"/>
      <c r="AB1013" s="663"/>
      <c r="AC1013" s="663"/>
      <c r="AD1013" s="663"/>
      <c r="AE1013" s="663"/>
      <c r="AF1013" s="663"/>
      <c r="AG1013" s="663"/>
      <c r="AH1013" s="663"/>
      <c r="AI1013" s="663"/>
      <c r="AJ1013" s="663"/>
      <c r="AK1013" s="663"/>
      <c r="AL1013" s="663"/>
      <c r="AM1013" s="663"/>
      <c r="AN1013" s="663"/>
    </row>
    <row r="1014" spans="2:40" ht="14.45" hidden="1" customHeight="1" x14ac:dyDescent="0.25">
      <c r="B1014" s="936">
        <f>B284+180</f>
        <v>41719</v>
      </c>
      <c r="C1014" s="662">
        <f t="shared" ref="C1014:L1014" si="2601">C998</f>
        <v>1882530.1204819279</v>
      </c>
      <c r="D1014" s="662">
        <f t="shared" si="2601"/>
        <v>2823795.1807228918</v>
      </c>
      <c r="E1014" s="662">
        <f t="shared" si="2601"/>
        <v>3765060.2409638558</v>
      </c>
      <c r="F1014" s="662">
        <f t="shared" si="2601"/>
        <v>4706325.3012048192</v>
      </c>
      <c r="G1014" s="662">
        <f t="shared" si="2601"/>
        <v>5647590.3614457836</v>
      </c>
      <c r="H1014" s="662">
        <f t="shared" si="2601"/>
        <v>6588855.4216867471</v>
      </c>
      <c r="I1014" s="662">
        <f t="shared" si="2601"/>
        <v>7530120.4819277115</v>
      </c>
      <c r="J1014" s="662">
        <f t="shared" si="2601"/>
        <v>8471385.542168675</v>
      </c>
      <c r="K1014" s="662">
        <f t="shared" si="2601"/>
        <v>9412650.6024096385</v>
      </c>
      <c r="L1014" s="662">
        <f t="shared" si="2601"/>
        <v>10353915.662650604</v>
      </c>
      <c r="U1014" s="663"/>
      <c r="Z1014" s="663"/>
      <c r="AA1014" s="663"/>
      <c r="AB1014" s="663"/>
      <c r="AC1014" s="663"/>
      <c r="AD1014" s="663"/>
      <c r="AE1014" s="663"/>
      <c r="AF1014" s="663"/>
      <c r="AG1014" s="663"/>
      <c r="AH1014" s="663"/>
      <c r="AI1014" s="663"/>
      <c r="AJ1014" s="663"/>
      <c r="AK1014" s="663"/>
      <c r="AL1014" s="663"/>
      <c r="AM1014" s="663"/>
      <c r="AN1014" s="663"/>
    </row>
    <row r="1015" spans="2:40" ht="14.45" hidden="1" customHeight="1" x14ac:dyDescent="0.25">
      <c r="C1015" s="882" t="str">
        <f ca="1">IF(ISERROR(XIRR(INDIRECT(C1017):C1014,INDIRECT($B1017):$B1014,-20%)),XIRR(INDIRECT(C1017):C1014,INDIRECT($B1017):$B1014,20%),"N/A")</f>
        <v>N/A</v>
      </c>
      <c r="D1015" s="882" t="str">
        <f ca="1">IF(ISERROR(XIRR(INDIRECT(D1017):D1014,INDIRECT($B1017):$B1014,-20%)),XIRR(INDIRECT(D1017):D1014,INDIRECT($B1017):$B1014,20%),"N/A")</f>
        <v>N/A</v>
      </c>
      <c r="E1015" s="882">
        <f ca="1">IF(ISERROR(XIRR(INDIRECT(E1017):E1014,INDIRECT($B1017):$B1014,-20%)),XIRR(INDIRECT(E1017):E1014,INDIRECT($B1017):$B1014,20%),"N/A")</f>
        <v>3.5692873597145097E-2</v>
      </c>
      <c r="F1015" s="882">
        <f ca="1">IF(ISERROR(XIRR(INDIRECT(F1017):F1014,INDIRECT($B1017):$B1014,-20%)),XIRR(INDIRECT(F1017):F1014,INDIRECT($B1017):$B1014,20%),"N/A")</f>
        <v>7.1951696276664742E-2</v>
      </c>
      <c r="G1015" s="882">
        <f ca="1">IF(ISERROR(XIRR(INDIRECT(G1017):G1014,INDIRECT($B1017):$B1014,-20%)),XIRR(INDIRECT(G1017):G1014,INDIRECT($B1017):$B1014,20%),"N/A")</f>
        <v>0.10248374342918398</v>
      </c>
      <c r="H1015" s="882">
        <f ca="1">IF(ISERROR(XIRR(INDIRECT(H1017):H1014,INDIRECT($B1017):$B1014,-20%)),XIRR(INDIRECT(H1017):H1014,INDIRECT($B1017):$B1014,20%),"N/A")</f>
        <v>0.128951233625412</v>
      </c>
      <c r="I1015" s="882">
        <f ca="1">IF(ISERROR(XIRR(INDIRECT(I1017):I1014,INDIRECT($B1017):$B1014,-20%)),XIRR(INDIRECT(I1017):I1014,INDIRECT($B1017):$B1014,20%),"N/A")</f>
        <v>0.15237289071083068</v>
      </c>
      <c r="J1015" s="882">
        <f ca="1">IF(ISERROR(XIRR(INDIRECT(J1017):J1014,INDIRECT($B1017):$B1014,-20%)),XIRR(INDIRECT(J1017):J1014,INDIRECT($B1017):$B1014,20%),"N/A")</f>
        <v>0.1734206259250641</v>
      </c>
      <c r="K1015" s="882">
        <f ca="1">IF(ISERROR(XIRR(INDIRECT(K1017):K1014,INDIRECT($B1017):$B1014,-20%)),XIRR(INDIRECT(K1017):K1014,INDIRECT($B1017):$B1014,20%),"N/A")</f>
        <v>0.1925621807575226</v>
      </c>
      <c r="L1015" s="882">
        <f ca="1">IF(ISERROR(XIRR(INDIRECT(L1017):L1014,INDIRECT($B1017):$B1014,-20%)),XIRR(INDIRECT(L1017):L1014,INDIRECT($B1017):$B1014,20%),"N/A")</f>
        <v>0.21013686060905459</v>
      </c>
      <c r="U1015" s="663"/>
      <c r="Z1015" s="663"/>
      <c r="AA1015" s="663"/>
      <c r="AB1015" s="663"/>
      <c r="AC1015" s="663"/>
      <c r="AD1015" s="663"/>
      <c r="AE1015" s="663"/>
      <c r="AF1015" s="663"/>
      <c r="AG1015" s="663"/>
      <c r="AH1015" s="663"/>
      <c r="AI1015" s="663"/>
      <c r="AJ1015" s="663"/>
      <c r="AK1015" s="663"/>
      <c r="AL1015" s="663"/>
      <c r="AM1015" s="663"/>
      <c r="AN1015" s="663"/>
    </row>
    <row r="1016" spans="2:40" ht="14.45" hidden="1" customHeight="1" x14ac:dyDescent="0.25">
      <c r="B1016" s="898">
        <f>IF(C1004&lt;&gt;0,ROW(C1004),IF(C1005&lt;&gt;0,ROW(C1005),IF(C1006&lt;&gt;0,ROW(C1006),IF(C1007&lt;&gt;0,ROW(C1007),IF(C1008&lt;&gt;0,ROW(C1008),IF(C1009&lt;&gt;0,ROW(C1009),IF(C1010&lt;&gt;0,ROW(C1010),IF(C1011&lt;&gt;0,ROW(C1011),IF(C1012&lt;&gt;0,ROW(C1012),IF(C1013&lt;&gt;0,ROW(C1013)))))))))))</f>
        <v>1004</v>
      </c>
      <c r="C1016" s="882"/>
      <c r="U1016" s="663"/>
      <c r="Z1016" s="663"/>
      <c r="AA1016" s="663"/>
      <c r="AB1016" s="663"/>
      <c r="AC1016" s="663"/>
      <c r="AD1016" s="663"/>
      <c r="AE1016" s="663"/>
      <c r="AF1016" s="663"/>
      <c r="AG1016" s="663"/>
      <c r="AH1016" s="663"/>
      <c r="AI1016" s="663"/>
      <c r="AJ1016" s="663"/>
      <c r="AK1016" s="663"/>
      <c r="AL1016" s="663"/>
      <c r="AM1016" s="663"/>
      <c r="AN1016" s="663"/>
    </row>
    <row r="1017" spans="2:40" ht="14.45" hidden="1" customHeight="1" x14ac:dyDescent="0.25">
      <c r="B1017" s="899" t="str">
        <f>CONCATENATE(IF(COLUMN(B1016)&lt;=26,CHAR(96+COLUMN(B1016)),(CHAR(96+(ROUNDDOWN((COLUMN(B1016)-1)/26,0)))&amp;CHAR(96+IF(MOD(COLUMN(B1016),26)=0,26,MOD(COLUMN(B1016),26))))),B1016)</f>
        <v>b1004</v>
      </c>
      <c r="C1017" s="899" t="str">
        <f>CONCATENATE(IF(COLUMN(C1015)&lt;=26,CHAR(96+COLUMN(C1015)),(CHAR(96+(ROUNDDOWN((COLUMN(C1015)-1)/26,0)))&amp;CHAR(96+IF(MOD(COLUMN(C1015),26)=0,26,MOD(COLUMN(C1015),26))))),$B1016)</f>
        <v>c1004</v>
      </c>
      <c r="D1017" s="899" t="str">
        <f t="shared" ref="D1017" si="2602">CONCATENATE(IF(COLUMN(D1015)&lt;=26,CHAR(96+COLUMN(D1015)),(CHAR(96+(ROUNDDOWN((COLUMN(D1015)-1)/26,0)))&amp;CHAR(96+IF(MOD(COLUMN(D1015),26)=0,26,MOD(COLUMN(D1015),26))))),$B1016)</f>
        <v>d1004</v>
      </c>
      <c r="E1017" s="899" t="str">
        <f t="shared" ref="E1017" si="2603">CONCATENATE(IF(COLUMN(E1015)&lt;=26,CHAR(96+COLUMN(E1015)),(CHAR(96+(ROUNDDOWN((COLUMN(E1015)-1)/26,0)))&amp;CHAR(96+IF(MOD(COLUMN(E1015),26)=0,26,MOD(COLUMN(E1015),26))))),$B1016)</f>
        <v>e1004</v>
      </c>
      <c r="F1017" s="899" t="str">
        <f t="shared" ref="F1017" si="2604">CONCATENATE(IF(COLUMN(F1015)&lt;=26,CHAR(96+COLUMN(F1015)),(CHAR(96+(ROUNDDOWN((COLUMN(F1015)-1)/26,0)))&amp;CHAR(96+IF(MOD(COLUMN(F1015),26)=0,26,MOD(COLUMN(F1015),26))))),$B1016)</f>
        <v>f1004</v>
      </c>
      <c r="G1017" s="899" t="str">
        <f t="shared" ref="G1017" si="2605">CONCATENATE(IF(COLUMN(G1015)&lt;=26,CHAR(96+COLUMN(G1015)),(CHAR(96+(ROUNDDOWN((COLUMN(G1015)-1)/26,0)))&amp;CHAR(96+IF(MOD(COLUMN(G1015),26)=0,26,MOD(COLUMN(G1015),26))))),$B1016)</f>
        <v>g1004</v>
      </c>
      <c r="H1017" s="899" t="str">
        <f t="shared" ref="H1017" si="2606">CONCATENATE(IF(COLUMN(H1015)&lt;=26,CHAR(96+COLUMN(H1015)),(CHAR(96+(ROUNDDOWN((COLUMN(H1015)-1)/26,0)))&amp;CHAR(96+IF(MOD(COLUMN(H1015),26)=0,26,MOD(COLUMN(H1015),26))))),$B1016)</f>
        <v>h1004</v>
      </c>
      <c r="I1017" s="899" t="str">
        <f t="shared" ref="I1017" si="2607">CONCATENATE(IF(COLUMN(I1015)&lt;=26,CHAR(96+COLUMN(I1015)),(CHAR(96+(ROUNDDOWN((COLUMN(I1015)-1)/26,0)))&amp;CHAR(96+IF(MOD(COLUMN(I1015),26)=0,26,MOD(COLUMN(I1015),26))))),$B1016)</f>
        <v>i1004</v>
      </c>
      <c r="J1017" s="899" t="str">
        <f t="shared" ref="J1017" si="2608">CONCATENATE(IF(COLUMN(J1015)&lt;=26,CHAR(96+COLUMN(J1015)),(CHAR(96+(ROUNDDOWN((COLUMN(J1015)-1)/26,0)))&amp;CHAR(96+IF(MOD(COLUMN(J1015),26)=0,26,MOD(COLUMN(J1015),26))))),$B1016)</f>
        <v>j1004</v>
      </c>
      <c r="K1017" s="899" t="str">
        <f t="shared" ref="K1017" si="2609">CONCATENATE(IF(COLUMN(K1015)&lt;=26,CHAR(96+COLUMN(K1015)),(CHAR(96+(ROUNDDOWN((COLUMN(K1015)-1)/26,0)))&amp;CHAR(96+IF(MOD(COLUMN(K1015),26)=0,26,MOD(COLUMN(K1015),26))))),$B1016)</f>
        <v>k1004</v>
      </c>
      <c r="L1017" s="899" t="str">
        <f t="shared" ref="L1017" si="2610">CONCATENATE(IF(COLUMN(L1015)&lt;=26,CHAR(96+COLUMN(L1015)),(CHAR(96+(ROUNDDOWN((COLUMN(L1015)-1)/26,0)))&amp;CHAR(96+IF(MOD(COLUMN(L1015),26)=0,26,MOD(COLUMN(L1015),26))))),$B1016)</f>
        <v>l1004</v>
      </c>
      <c r="U1017" s="663"/>
      <c r="Z1017" s="663"/>
      <c r="AA1017" s="663"/>
      <c r="AB1017" s="663"/>
      <c r="AC1017" s="663"/>
      <c r="AD1017" s="663"/>
      <c r="AE1017" s="663"/>
      <c r="AF1017" s="663"/>
      <c r="AG1017" s="663"/>
      <c r="AH1017" s="663"/>
      <c r="AI1017" s="663"/>
      <c r="AJ1017" s="663"/>
      <c r="AK1017" s="663"/>
      <c r="AL1017" s="663"/>
      <c r="AM1017" s="663"/>
      <c r="AN1017" s="663"/>
    </row>
    <row r="1018" spans="2:40" ht="14.45" hidden="1" customHeight="1" x14ac:dyDescent="0.25">
      <c r="C1018" s="662"/>
      <c r="U1018" s="663"/>
      <c r="Z1018" s="663"/>
      <c r="AA1018" s="663"/>
      <c r="AB1018" s="663"/>
      <c r="AC1018" s="663"/>
      <c r="AD1018" s="663"/>
      <c r="AE1018" s="663"/>
      <c r="AF1018" s="663"/>
      <c r="AG1018" s="663"/>
      <c r="AH1018" s="663"/>
      <c r="AI1018" s="663"/>
      <c r="AJ1018" s="663"/>
      <c r="AK1018" s="663"/>
      <c r="AL1018" s="663"/>
      <c r="AM1018" s="663"/>
      <c r="AN1018" s="663"/>
    </row>
    <row r="1019" spans="2:40" ht="14.45" hidden="1" customHeight="1" x14ac:dyDescent="0.25">
      <c r="C1019" s="662"/>
      <c r="U1019" s="663"/>
      <c r="Z1019" s="663"/>
      <c r="AA1019" s="663"/>
      <c r="AB1019" s="663"/>
      <c r="AC1019" s="663"/>
      <c r="AD1019" s="663"/>
      <c r="AE1019" s="663"/>
      <c r="AF1019" s="663"/>
      <c r="AG1019" s="663"/>
      <c r="AH1019" s="663"/>
      <c r="AI1019" s="663"/>
      <c r="AJ1019" s="663"/>
      <c r="AK1019" s="663"/>
      <c r="AL1019" s="663"/>
      <c r="AM1019" s="663"/>
      <c r="AN1019" s="663"/>
    </row>
    <row r="1020" spans="2:40" ht="14.45" hidden="1" customHeight="1" x14ac:dyDescent="0.25">
      <c r="C1020" s="662"/>
      <c r="U1020" s="663"/>
      <c r="Z1020" s="663"/>
      <c r="AA1020" s="663"/>
      <c r="AB1020" s="663"/>
      <c r="AC1020" s="663"/>
      <c r="AD1020" s="663"/>
      <c r="AE1020" s="663"/>
      <c r="AF1020" s="663"/>
      <c r="AG1020" s="663"/>
      <c r="AH1020" s="663"/>
      <c r="AI1020" s="663"/>
      <c r="AJ1020" s="663"/>
      <c r="AK1020" s="663"/>
      <c r="AL1020" s="663"/>
      <c r="AM1020" s="663"/>
      <c r="AN1020" s="663"/>
    </row>
    <row r="1021" spans="2:40" ht="14.45" hidden="1" customHeight="1" x14ac:dyDescent="0.25">
      <c r="B1021" s="661" t="str">
        <f>B1673</f>
        <v>Inv B Gross Return Analysis</v>
      </c>
      <c r="C1021" s="662"/>
      <c r="U1021" s="663"/>
      <c r="Z1021" s="663"/>
      <c r="AA1021" s="663"/>
      <c r="AB1021" s="663"/>
      <c r="AC1021" s="663"/>
      <c r="AD1021" s="663"/>
      <c r="AE1021" s="663"/>
      <c r="AF1021" s="663"/>
      <c r="AG1021" s="663"/>
      <c r="AH1021" s="663"/>
      <c r="AI1021" s="663"/>
      <c r="AJ1021" s="663"/>
      <c r="AK1021" s="663"/>
      <c r="AL1021" s="663"/>
      <c r="AM1021" s="663"/>
      <c r="AN1021" s="663"/>
    </row>
    <row r="1022" spans="2:40" ht="14.45" hidden="1" customHeight="1" x14ac:dyDescent="0.25">
      <c r="B1022" s="936">
        <f>B956</f>
        <v>39113</v>
      </c>
      <c r="C1022" s="662">
        <f>C293</f>
        <v>-1000000</v>
      </c>
      <c r="D1022" s="662">
        <f>C1022</f>
        <v>-1000000</v>
      </c>
      <c r="E1022" s="662">
        <f t="shared" ref="E1022:L1022" si="2611">D1022</f>
        <v>-1000000</v>
      </c>
      <c r="F1022" s="662">
        <f t="shared" si="2611"/>
        <v>-1000000</v>
      </c>
      <c r="G1022" s="662">
        <f t="shared" si="2611"/>
        <v>-1000000</v>
      </c>
      <c r="H1022" s="662">
        <f t="shared" si="2611"/>
        <v>-1000000</v>
      </c>
      <c r="I1022" s="662">
        <f t="shared" si="2611"/>
        <v>-1000000</v>
      </c>
      <c r="J1022" s="662">
        <f t="shared" si="2611"/>
        <v>-1000000</v>
      </c>
      <c r="K1022" s="662">
        <f t="shared" si="2611"/>
        <v>-1000000</v>
      </c>
      <c r="L1022" s="662">
        <f t="shared" si="2611"/>
        <v>-1000000</v>
      </c>
      <c r="U1022" s="663"/>
      <c r="Z1022" s="663"/>
      <c r="AA1022" s="663"/>
      <c r="AB1022" s="663"/>
      <c r="AC1022" s="663"/>
      <c r="AD1022" s="663"/>
      <c r="AE1022" s="663"/>
      <c r="AF1022" s="663"/>
      <c r="AG1022" s="663"/>
      <c r="AH1022" s="663"/>
      <c r="AI1022" s="663"/>
      <c r="AJ1022" s="663"/>
      <c r="AK1022" s="663"/>
      <c r="AL1022" s="663"/>
      <c r="AM1022" s="663"/>
      <c r="AN1022" s="663"/>
    </row>
    <row r="1023" spans="2:40" ht="14.45" hidden="1" customHeight="1" x14ac:dyDescent="0.25">
      <c r="B1023" s="936">
        <f t="shared" ref="B1023:B1032" si="2612">B957</f>
        <v>39478</v>
      </c>
      <c r="C1023" s="662">
        <f t="shared" ref="C1023:C1031" si="2613">C294</f>
        <v>-2000000</v>
      </c>
      <c r="D1023" s="662">
        <f t="shared" ref="D1023:L1031" si="2614">C1023</f>
        <v>-2000000</v>
      </c>
      <c r="E1023" s="662">
        <f t="shared" si="2614"/>
        <v>-2000000</v>
      </c>
      <c r="F1023" s="662">
        <f t="shared" si="2614"/>
        <v>-2000000</v>
      </c>
      <c r="G1023" s="662">
        <f t="shared" si="2614"/>
        <v>-2000000</v>
      </c>
      <c r="H1023" s="662">
        <f t="shared" si="2614"/>
        <v>-2000000</v>
      </c>
      <c r="I1023" s="662">
        <f t="shared" si="2614"/>
        <v>-2000000</v>
      </c>
      <c r="J1023" s="662">
        <f t="shared" si="2614"/>
        <v>-2000000</v>
      </c>
      <c r="K1023" s="662">
        <f t="shared" si="2614"/>
        <v>-2000000</v>
      </c>
      <c r="L1023" s="662">
        <f t="shared" si="2614"/>
        <v>-2000000</v>
      </c>
      <c r="U1023" s="663"/>
      <c r="Z1023" s="663"/>
      <c r="AA1023" s="663"/>
      <c r="AB1023" s="663"/>
      <c r="AC1023" s="663"/>
      <c r="AD1023" s="663"/>
      <c r="AE1023" s="663"/>
      <c r="AF1023" s="663"/>
      <c r="AG1023" s="663"/>
      <c r="AH1023" s="663"/>
      <c r="AI1023" s="663"/>
      <c r="AJ1023" s="663"/>
      <c r="AK1023" s="663"/>
      <c r="AL1023" s="663"/>
      <c r="AM1023" s="663"/>
      <c r="AN1023" s="663"/>
    </row>
    <row r="1024" spans="2:40" ht="14.45" hidden="1" customHeight="1" x14ac:dyDescent="0.25">
      <c r="B1024" s="936">
        <f t="shared" si="2612"/>
        <v>39843</v>
      </c>
      <c r="C1024" s="662">
        <f t="shared" si="2613"/>
        <v>0</v>
      </c>
      <c r="D1024" s="662">
        <f t="shared" si="2614"/>
        <v>0</v>
      </c>
      <c r="E1024" s="662">
        <f t="shared" si="2614"/>
        <v>0</v>
      </c>
      <c r="F1024" s="662">
        <f t="shared" si="2614"/>
        <v>0</v>
      </c>
      <c r="G1024" s="662">
        <f t="shared" si="2614"/>
        <v>0</v>
      </c>
      <c r="H1024" s="662">
        <f t="shared" si="2614"/>
        <v>0</v>
      </c>
      <c r="I1024" s="662">
        <f t="shared" si="2614"/>
        <v>0</v>
      </c>
      <c r="J1024" s="662">
        <f t="shared" si="2614"/>
        <v>0</v>
      </c>
      <c r="K1024" s="662">
        <f t="shared" si="2614"/>
        <v>0</v>
      </c>
      <c r="L1024" s="662">
        <f t="shared" si="2614"/>
        <v>0</v>
      </c>
      <c r="U1024" s="663"/>
      <c r="Z1024" s="663"/>
      <c r="AA1024" s="663"/>
      <c r="AB1024" s="663"/>
      <c r="AC1024" s="663"/>
      <c r="AD1024" s="663"/>
      <c r="AE1024" s="663"/>
      <c r="AF1024" s="663"/>
      <c r="AG1024" s="663"/>
      <c r="AH1024" s="663"/>
      <c r="AI1024" s="663"/>
      <c r="AJ1024" s="663"/>
      <c r="AK1024" s="663"/>
      <c r="AL1024" s="663"/>
      <c r="AM1024" s="663"/>
      <c r="AN1024" s="663"/>
    </row>
    <row r="1025" spans="2:40" ht="14.45" hidden="1" customHeight="1" x14ac:dyDescent="0.25">
      <c r="B1025" s="936">
        <f t="shared" si="2612"/>
        <v>39843</v>
      </c>
      <c r="C1025" s="662">
        <f t="shared" si="2613"/>
        <v>0</v>
      </c>
      <c r="D1025" s="662">
        <f t="shared" si="2614"/>
        <v>0</v>
      </c>
      <c r="E1025" s="662">
        <f t="shared" si="2614"/>
        <v>0</v>
      </c>
      <c r="F1025" s="662">
        <f t="shared" si="2614"/>
        <v>0</v>
      </c>
      <c r="G1025" s="662">
        <f t="shared" si="2614"/>
        <v>0</v>
      </c>
      <c r="H1025" s="662">
        <f t="shared" si="2614"/>
        <v>0</v>
      </c>
      <c r="I1025" s="662">
        <f t="shared" si="2614"/>
        <v>0</v>
      </c>
      <c r="J1025" s="662">
        <f t="shared" si="2614"/>
        <v>0</v>
      </c>
      <c r="K1025" s="662">
        <f t="shared" si="2614"/>
        <v>0</v>
      </c>
      <c r="L1025" s="662">
        <f t="shared" si="2614"/>
        <v>0</v>
      </c>
      <c r="U1025" s="663"/>
      <c r="Z1025" s="663"/>
      <c r="AA1025" s="663"/>
      <c r="AB1025" s="663"/>
      <c r="AC1025" s="663"/>
      <c r="AD1025" s="663"/>
      <c r="AE1025" s="663"/>
      <c r="AF1025" s="663"/>
      <c r="AG1025" s="663"/>
      <c r="AH1025" s="663"/>
      <c r="AI1025" s="663"/>
      <c r="AJ1025" s="663"/>
      <c r="AK1025" s="663"/>
      <c r="AL1025" s="663"/>
      <c r="AM1025" s="663"/>
      <c r="AN1025" s="663"/>
    </row>
    <row r="1026" spans="2:40" ht="14.45" hidden="1" customHeight="1" x14ac:dyDescent="0.25">
      <c r="B1026" s="936">
        <f t="shared" si="2612"/>
        <v>39843</v>
      </c>
      <c r="C1026" s="662">
        <f t="shared" si="2613"/>
        <v>0</v>
      </c>
      <c r="D1026" s="662">
        <f t="shared" si="2614"/>
        <v>0</v>
      </c>
      <c r="E1026" s="662">
        <f t="shared" si="2614"/>
        <v>0</v>
      </c>
      <c r="F1026" s="662">
        <f t="shared" si="2614"/>
        <v>0</v>
      </c>
      <c r="G1026" s="662">
        <f t="shared" si="2614"/>
        <v>0</v>
      </c>
      <c r="H1026" s="662">
        <f t="shared" si="2614"/>
        <v>0</v>
      </c>
      <c r="I1026" s="662">
        <f t="shared" si="2614"/>
        <v>0</v>
      </c>
      <c r="J1026" s="662">
        <f t="shared" si="2614"/>
        <v>0</v>
      </c>
      <c r="K1026" s="662">
        <f t="shared" si="2614"/>
        <v>0</v>
      </c>
      <c r="L1026" s="662">
        <f t="shared" si="2614"/>
        <v>0</v>
      </c>
      <c r="U1026" s="663"/>
      <c r="Z1026" s="663"/>
      <c r="AA1026" s="663"/>
      <c r="AB1026" s="663"/>
      <c r="AC1026" s="663"/>
      <c r="AD1026" s="663"/>
      <c r="AE1026" s="663"/>
      <c r="AF1026" s="663"/>
      <c r="AG1026" s="663"/>
      <c r="AH1026" s="663"/>
      <c r="AI1026" s="663"/>
      <c r="AJ1026" s="663"/>
      <c r="AK1026" s="663"/>
      <c r="AL1026" s="663"/>
      <c r="AM1026" s="663"/>
      <c r="AN1026" s="663"/>
    </row>
    <row r="1027" spans="2:40" ht="14.45" hidden="1" customHeight="1" x14ac:dyDescent="0.25">
      <c r="B1027" s="936">
        <f t="shared" si="2612"/>
        <v>39843</v>
      </c>
      <c r="C1027" s="662">
        <f t="shared" si="2613"/>
        <v>0</v>
      </c>
      <c r="D1027" s="662">
        <f t="shared" si="2614"/>
        <v>0</v>
      </c>
      <c r="E1027" s="662">
        <f t="shared" si="2614"/>
        <v>0</v>
      </c>
      <c r="F1027" s="662">
        <f t="shared" si="2614"/>
        <v>0</v>
      </c>
      <c r="G1027" s="662">
        <f t="shared" si="2614"/>
        <v>0</v>
      </c>
      <c r="H1027" s="662">
        <f t="shared" si="2614"/>
        <v>0</v>
      </c>
      <c r="I1027" s="662">
        <f t="shared" si="2614"/>
        <v>0</v>
      </c>
      <c r="J1027" s="662">
        <f t="shared" si="2614"/>
        <v>0</v>
      </c>
      <c r="K1027" s="662">
        <f t="shared" si="2614"/>
        <v>0</v>
      </c>
      <c r="L1027" s="662">
        <f t="shared" si="2614"/>
        <v>0</v>
      </c>
      <c r="U1027" s="663"/>
      <c r="Z1027" s="663"/>
      <c r="AA1027" s="663"/>
      <c r="AB1027" s="663"/>
      <c r="AC1027" s="663"/>
      <c r="AD1027" s="663"/>
      <c r="AE1027" s="663"/>
      <c r="AF1027" s="663"/>
      <c r="AG1027" s="663"/>
      <c r="AH1027" s="663"/>
      <c r="AI1027" s="663"/>
      <c r="AJ1027" s="663"/>
      <c r="AK1027" s="663"/>
      <c r="AL1027" s="663"/>
      <c r="AM1027" s="663"/>
      <c r="AN1027" s="663"/>
    </row>
    <row r="1028" spans="2:40" ht="14.45" hidden="1" customHeight="1" x14ac:dyDescent="0.25">
      <c r="B1028" s="936">
        <f t="shared" si="2612"/>
        <v>39843</v>
      </c>
      <c r="C1028" s="662">
        <f t="shared" si="2613"/>
        <v>0</v>
      </c>
      <c r="D1028" s="662">
        <f t="shared" si="2614"/>
        <v>0</v>
      </c>
      <c r="E1028" s="662">
        <f t="shared" si="2614"/>
        <v>0</v>
      </c>
      <c r="F1028" s="662">
        <f t="shared" si="2614"/>
        <v>0</v>
      </c>
      <c r="G1028" s="662">
        <f t="shared" si="2614"/>
        <v>0</v>
      </c>
      <c r="H1028" s="662">
        <f t="shared" si="2614"/>
        <v>0</v>
      </c>
      <c r="I1028" s="662">
        <f t="shared" si="2614"/>
        <v>0</v>
      </c>
      <c r="J1028" s="662">
        <f t="shared" si="2614"/>
        <v>0</v>
      </c>
      <c r="K1028" s="662">
        <f t="shared" si="2614"/>
        <v>0</v>
      </c>
      <c r="L1028" s="662">
        <f t="shared" si="2614"/>
        <v>0</v>
      </c>
      <c r="U1028" s="663"/>
      <c r="Z1028" s="663"/>
      <c r="AA1028" s="663"/>
      <c r="AB1028" s="663"/>
      <c r="AC1028" s="663"/>
      <c r="AD1028" s="663"/>
      <c r="AE1028" s="663"/>
      <c r="AF1028" s="663"/>
      <c r="AG1028" s="663"/>
      <c r="AH1028" s="663"/>
      <c r="AI1028" s="663"/>
      <c r="AJ1028" s="663"/>
      <c r="AK1028" s="663"/>
      <c r="AL1028" s="663"/>
      <c r="AM1028" s="663"/>
      <c r="AN1028" s="663"/>
    </row>
    <row r="1029" spans="2:40" ht="14.45" hidden="1" customHeight="1" x14ac:dyDescent="0.25">
      <c r="B1029" s="936">
        <f t="shared" si="2612"/>
        <v>39843</v>
      </c>
      <c r="C1029" s="662">
        <f t="shared" si="2613"/>
        <v>0</v>
      </c>
      <c r="D1029" s="662">
        <f t="shared" si="2614"/>
        <v>0</v>
      </c>
      <c r="E1029" s="662">
        <f t="shared" si="2614"/>
        <v>0</v>
      </c>
      <c r="F1029" s="662">
        <f t="shared" si="2614"/>
        <v>0</v>
      </c>
      <c r="G1029" s="662">
        <f t="shared" si="2614"/>
        <v>0</v>
      </c>
      <c r="H1029" s="662">
        <f t="shared" si="2614"/>
        <v>0</v>
      </c>
      <c r="I1029" s="662">
        <f t="shared" si="2614"/>
        <v>0</v>
      </c>
      <c r="J1029" s="662">
        <f t="shared" si="2614"/>
        <v>0</v>
      </c>
      <c r="K1029" s="662">
        <f t="shared" si="2614"/>
        <v>0</v>
      </c>
      <c r="L1029" s="662">
        <f t="shared" si="2614"/>
        <v>0</v>
      </c>
      <c r="U1029" s="663"/>
      <c r="Z1029" s="663"/>
      <c r="AA1029" s="663"/>
      <c r="AB1029" s="663"/>
      <c r="AC1029" s="663"/>
      <c r="AD1029" s="663"/>
      <c r="AE1029" s="663"/>
      <c r="AF1029" s="663"/>
      <c r="AG1029" s="663"/>
      <c r="AH1029" s="663"/>
      <c r="AI1029" s="663"/>
      <c r="AJ1029" s="663"/>
      <c r="AK1029" s="663"/>
      <c r="AL1029" s="663"/>
      <c r="AM1029" s="663"/>
      <c r="AN1029" s="663"/>
    </row>
    <row r="1030" spans="2:40" ht="14.45" hidden="1" customHeight="1" x14ac:dyDescent="0.25">
      <c r="B1030" s="936">
        <f t="shared" si="2612"/>
        <v>39843</v>
      </c>
      <c r="C1030" s="662">
        <f t="shared" si="2613"/>
        <v>0</v>
      </c>
      <c r="D1030" s="662">
        <f t="shared" si="2614"/>
        <v>0</v>
      </c>
      <c r="E1030" s="662">
        <f t="shared" si="2614"/>
        <v>0</v>
      </c>
      <c r="F1030" s="662">
        <f t="shared" si="2614"/>
        <v>0</v>
      </c>
      <c r="G1030" s="662">
        <f t="shared" si="2614"/>
        <v>0</v>
      </c>
      <c r="H1030" s="662">
        <f t="shared" si="2614"/>
        <v>0</v>
      </c>
      <c r="I1030" s="662">
        <f t="shared" si="2614"/>
        <v>0</v>
      </c>
      <c r="J1030" s="662">
        <f t="shared" si="2614"/>
        <v>0</v>
      </c>
      <c r="K1030" s="662">
        <f t="shared" si="2614"/>
        <v>0</v>
      </c>
      <c r="L1030" s="662">
        <f t="shared" si="2614"/>
        <v>0</v>
      </c>
      <c r="U1030" s="663"/>
      <c r="Z1030" s="663"/>
      <c r="AA1030" s="663"/>
      <c r="AB1030" s="663"/>
      <c r="AC1030" s="663"/>
      <c r="AD1030" s="663"/>
      <c r="AE1030" s="663"/>
      <c r="AF1030" s="663"/>
      <c r="AG1030" s="663"/>
      <c r="AH1030" s="663"/>
      <c r="AI1030" s="663"/>
      <c r="AJ1030" s="663"/>
      <c r="AK1030" s="663"/>
      <c r="AL1030" s="663"/>
      <c r="AM1030" s="663"/>
      <c r="AN1030" s="663"/>
    </row>
    <row r="1031" spans="2:40" ht="14.45" hidden="1" customHeight="1" x14ac:dyDescent="0.25">
      <c r="B1031" s="936">
        <f t="shared" si="2612"/>
        <v>39843</v>
      </c>
      <c r="C1031" s="662">
        <f t="shared" si="2613"/>
        <v>0</v>
      </c>
      <c r="D1031" s="662">
        <f t="shared" si="2614"/>
        <v>0</v>
      </c>
      <c r="E1031" s="662">
        <f t="shared" si="2614"/>
        <v>0</v>
      </c>
      <c r="F1031" s="662">
        <f t="shared" si="2614"/>
        <v>0</v>
      </c>
      <c r="G1031" s="662">
        <f t="shared" si="2614"/>
        <v>0</v>
      </c>
      <c r="H1031" s="662">
        <f t="shared" si="2614"/>
        <v>0</v>
      </c>
      <c r="I1031" s="662">
        <f t="shared" si="2614"/>
        <v>0</v>
      </c>
      <c r="J1031" s="662">
        <f t="shared" si="2614"/>
        <v>0</v>
      </c>
      <c r="K1031" s="662">
        <f t="shared" si="2614"/>
        <v>0</v>
      </c>
      <c r="L1031" s="662">
        <f t="shared" si="2614"/>
        <v>0</v>
      </c>
      <c r="U1031" s="663"/>
      <c r="Z1031" s="663"/>
      <c r="AA1031" s="663"/>
      <c r="AB1031" s="663"/>
      <c r="AC1031" s="663"/>
      <c r="AD1031" s="663"/>
      <c r="AE1031" s="663"/>
      <c r="AF1031" s="663"/>
      <c r="AG1031" s="663"/>
      <c r="AH1031" s="663"/>
      <c r="AI1031" s="663"/>
      <c r="AJ1031" s="663"/>
      <c r="AK1031" s="663"/>
      <c r="AL1031" s="663"/>
      <c r="AM1031" s="663"/>
      <c r="AN1031" s="663"/>
    </row>
    <row r="1032" spans="2:40" ht="14.45" hidden="1" customHeight="1" x14ac:dyDescent="0.25">
      <c r="B1032" s="936">
        <f t="shared" si="2612"/>
        <v>41179</v>
      </c>
      <c r="C1032" s="662">
        <f>C1674</f>
        <v>1882530.1204819279</v>
      </c>
      <c r="D1032" s="662">
        <f t="shared" ref="D1032:L1032" si="2615">D1674</f>
        <v>2823795.1807228918</v>
      </c>
      <c r="E1032" s="662">
        <f t="shared" si="2615"/>
        <v>3765060.2409638558</v>
      </c>
      <c r="F1032" s="662">
        <f t="shared" si="2615"/>
        <v>4706325.3012048192</v>
      </c>
      <c r="G1032" s="662">
        <f t="shared" si="2615"/>
        <v>5647590.3614457836</v>
      </c>
      <c r="H1032" s="662">
        <f t="shared" si="2615"/>
        <v>6588855.4216867471</v>
      </c>
      <c r="I1032" s="662">
        <f t="shared" si="2615"/>
        <v>7530120.4819277115</v>
      </c>
      <c r="J1032" s="662">
        <f t="shared" si="2615"/>
        <v>8471385.542168675</v>
      </c>
      <c r="K1032" s="662">
        <f t="shared" si="2615"/>
        <v>9412650.6024096385</v>
      </c>
      <c r="L1032" s="662">
        <f t="shared" si="2615"/>
        <v>10353915.662650604</v>
      </c>
      <c r="U1032" s="663"/>
      <c r="Z1032" s="663"/>
      <c r="AA1032" s="663"/>
      <c r="AB1032" s="663"/>
      <c r="AC1032" s="663"/>
      <c r="AD1032" s="663"/>
      <c r="AE1032" s="663"/>
      <c r="AF1032" s="663"/>
      <c r="AG1032" s="663"/>
      <c r="AH1032" s="663"/>
      <c r="AI1032" s="663"/>
      <c r="AJ1032" s="663"/>
      <c r="AK1032" s="663"/>
      <c r="AL1032" s="663"/>
      <c r="AM1032" s="663"/>
      <c r="AN1032" s="663"/>
    </row>
    <row r="1033" spans="2:40" ht="14.45" hidden="1" customHeight="1" x14ac:dyDescent="0.25">
      <c r="C1033" s="882" t="str">
        <f ca="1">IF(ISERROR(XIRR(INDIRECT(C1035):C1032,INDIRECT($B1035):$B1032,-20%)),XIRR(INDIRECT(C1035):C1032,INDIRECT($B1035):$B1032,20%),"N/A")</f>
        <v>N/A</v>
      </c>
      <c r="D1033" s="882" t="str">
        <f ca="1">IF(ISERROR(XIRR(INDIRECT(D1035):D1032,INDIRECT($B1035):$B1032,-20%)),XIRR(INDIRECT(D1035):D1032,INDIRECT($B1035):$B1032,20%),"N/A")</f>
        <v>N/A</v>
      </c>
      <c r="E1033" s="882">
        <f ca="1">IF(ISERROR(XIRR(INDIRECT(E1035):E1032,INDIRECT($B1035):$B1032,-20%)),XIRR(INDIRECT(E1035):E1032,INDIRECT($B1035):$B1032,20%),"N/A")</f>
        <v>4.6490618586540217E-2</v>
      </c>
      <c r="F1033" s="882">
        <f ca="1">IF(ISERROR(XIRR(INDIRECT(F1035):F1032,INDIRECT($B1035):$B1032,-20%)),XIRR(INDIRECT(F1035):F1032,INDIRECT($B1035):$B1032,20%),"N/A")</f>
        <v>9.4165918231010434E-2</v>
      </c>
      <c r="G1033" s="882">
        <f ca="1">IF(ISERROR(XIRR(INDIRECT(G1035):G1032,INDIRECT($B1035):$B1032,-20%)),XIRR(INDIRECT(G1035):G1032,INDIRECT($B1035):$B1032,20%),"N/A")</f>
        <v>0.13465133309364322</v>
      </c>
      <c r="H1033" s="882">
        <f ca="1">IF(ISERROR(XIRR(INDIRECT(H1035):H1032,INDIRECT($B1035):$B1032,-20%)),XIRR(INDIRECT(H1035):H1032,INDIRECT($B1035):$B1032,20%),"N/A")</f>
        <v>0.16999245285987852</v>
      </c>
      <c r="I1033" s="882">
        <f ca="1">IF(ISERROR(XIRR(INDIRECT(I1035):I1032,INDIRECT($B1035):$B1032,-20%)),XIRR(INDIRECT(I1035):I1032,INDIRECT($B1035):$B1032,20%),"N/A")</f>
        <v>0.20145263075828554</v>
      </c>
      <c r="J1033" s="882">
        <f ca="1">IF(ISERROR(XIRR(INDIRECT(J1035):J1032,INDIRECT($B1035):$B1032,-20%)),XIRR(INDIRECT(J1035):J1032,INDIRECT($B1035):$B1032,20%),"N/A")</f>
        <v>0.22987049221992498</v>
      </c>
      <c r="K1033" s="882">
        <f ca="1">IF(ISERROR(XIRR(INDIRECT(K1035):K1032,INDIRECT($B1035):$B1032,-20%)),XIRR(INDIRECT(K1035):K1032,INDIRECT($B1035):$B1032,20%),"N/A")</f>
        <v>0.25583305954933167</v>
      </c>
      <c r="L1033" s="882">
        <f ca="1">IF(ISERROR(XIRR(INDIRECT(L1035):L1032,INDIRECT($B1035):$B1032,-20%)),XIRR(INDIRECT(L1035):L1032,INDIRECT($B1035):$B1032,20%),"N/A")</f>
        <v>0.27976831793785095</v>
      </c>
      <c r="U1033" s="663"/>
      <c r="Z1033" s="663"/>
      <c r="AA1033" s="663"/>
      <c r="AB1033" s="663"/>
      <c r="AC1033" s="663"/>
      <c r="AD1033" s="663"/>
      <c r="AE1033" s="663"/>
      <c r="AF1033" s="663"/>
      <c r="AG1033" s="663"/>
      <c r="AH1033" s="663"/>
      <c r="AI1033" s="663"/>
      <c r="AJ1033" s="663"/>
      <c r="AK1033" s="663"/>
      <c r="AL1033" s="663"/>
      <c r="AM1033" s="663"/>
      <c r="AN1033" s="663"/>
    </row>
    <row r="1034" spans="2:40" ht="14.45" hidden="1" customHeight="1" x14ac:dyDescent="0.25">
      <c r="B1034" s="898">
        <f>IF(C1022&lt;&gt;0,ROW(C1022),IF(C1023&lt;&gt;0,ROW(C1023),IF(C1024&lt;&gt;0,ROW(C1024),IF(C1025&lt;&gt;0,ROW(C1025),IF(C1026&lt;&gt;0,ROW(C1026),IF(C1027&lt;&gt;0,ROW(C1027),IF(C1028&lt;&gt;0,ROW(C1028),IF(C1029&lt;&gt;0,ROW(C1029),IF(C1030&lt;&gt;0,ROW(C1030),IF(C1031&lt;&gt;0,ROW(C1031)))))))))))</f>
        <v>1022</v>
      </c>
      <c r="C1034" s="882"/>
      <c r="U1034" s="663"/>
      <c r="Z1034" s="663"/>
      <c r="AA1034" s="663"/>
      <c r="AB1034" s="663"/>
      <c r="AC1034" s="663"/>
      <c r="AD1034" s="663"/>
      <c r="AE1034" s="663"/>
      <c r="AF1034" s="663"/>
      <c r="AG1034" s="663"/>
      <c r="AH1034" s="663"/>
      <c r="AI1034" s="663"/>
      <c r="AJ1034" s="663"/>
      <c r="AK1034" s="663"/>
      <c r="AL1034" s="663"/>
      <c r="AM1034" s="663"/>
      <c r="AN1034" s="663"/>
    </row>
    <row r="1035" spans="2:40" ht="14.45" hidden="1" customHeight="1" x14ac:dyDescent="0.25">
      <c r="B1035" s="899" t="str">
        <f>CONCATENATE(IF(COLUMN(B1034)&lt;=26,CHAR(96+COLUMN(B1034)),(CHAR(96+(ROUNDDOWN((COLUMN(B1034)-1)/26,0)))&amp;CHAR(96+IF(MOD(COLUMN(B1034),26)=0,26,MOD(COLUMN(B1034),26))))),B1034)</f>
        <v>b1022</v>
      </c>
      <c r="C1035" s="899" t="str">
        <f>CONCATENATE(IF(COLUMN(C1033)&lt;=26,CHAR(96+COLUMN(C1033)),(CHAR(96+(ROUNDDOWN((COLUMN(C1033)-1)/26,0)))&amp;CHAR(96+IF(MOD(COLUMN(C1033),26)=0,26,MOD(COLUMN(C1033),26))))),$B1034)</f>
        <v>c1022</v>
      </c>
      <c r="D1035" s="899" t="str">
        <f t="shared" ref="D1035" si="2616">CONCATENATE(IF(COLUMN(D1033)&lt;=26,CHAR(96+COLUMN(D1033)),(CHAR(96+(ROUNDDOWN((COLUMN(D1033)-1)/26,0)))&amp;CHAR(96+IF(MOD(COLUMN(D1033),26)=0,26,MOD(COLUMN(D1033),26))))),$B1034)</f>
        <v>d1022</v>
      </c>
      <c r="E1035" s="899" t="str">
        <f t="shared" ref="E1035" si="2617">CONCATENATE(IF(COLUMN(E1033)&lt;=26,CHAR(96+COLUMN(E1033)),(CHAR(96+(ROUNDDOWN((COLUMN(E1033)-1)/26,0)))&amp;CHAR(96+IF(MOD(COLUMN(E1033),26)=0,26,MOD(COLUMN(E1033),26))))),$B1034)</f>
        <v>e1022</v>
      </c>
      <c r="F1035" s="899" t="str">
        <f t="shared" ref="F1035" si="2618">CONCATENATE(IF(COLUMN(F1033)&lt;=26,CHAR(96+COLUMN(F1033)),(CHAR(96+(ROUNDDOWN((COLUMN(F1033)-1)/26,0)))&amp;CHAR(96+IF(MOD(COLUMN(F1033),26)=0,26,MOD(COLUMN(F1033),26))))),$B1034)</f>
        <v>f1022</v>
      </c>
      <c r="G1035" s="899" t="str">
        <f t="shared" ref="G1035" si="2619">CONCATENATE(IF(COLUMN(G1033)&lt;=26,CHAR(96+COLUMN(G1033)),(CHAR(96+(ROUNDDOWN((COLUMN(G1033)-1)/26,0)))&amp;CHAR(96+IF(MOD(COLUMN(G1033),26)=0,26,MOD(COLUMN(G1033),26))))),$B1034)</f>
        <v>g1022</v>
      </c>
      <c r="H1035" s="899" t="str">
        <f t="shared" ref="H1035" si="2620">CONCATENATE(IF(COLUMN(H1033)&lt;=26,CHAR(96+COLUMN(H1033)),(CHAR(96+(ROUNDDOWN((COLUMN(H1033)-1)/26,0)))&amp;CHAR(96+IF(MOD(COLUMN(H1033),26)=0,26,MOD(COLUMN(H1033),26))))),$B1034)</f>
        <v>h1022</v>
      </c>
      <c r="I1035" s="899" t="str">
        <f t="shared" ref="I1035" si="2621">CONCATENATE(IF(COLUMN(I1033)&lt;=26,CHAR(96+COLUMN(I1033)),(CHAR(96+(ROUNDDOWN((COLUMN(I1033)-1)/26,0)))&amp;CHAR(96+IF(MOD(COLUMN(I1033),26)=0,26,MOD(COLUMN(I1033),26))))),$B1034)</f>
        <v>i1022</v>
      </c>
      <c r="J1035" s="899" t="str">
        <f t="shared" ref="J1035" si="2622">CONCATENATE(IF(COLUMN(J1033)&lt;=26,CHAR(96+COLUMN(J1033)),(CHAR(96+(ROUNDDOWN((COLUMN(J1033)-1)/26,0)))&amp;CHAR(96+IF(MOD(COLUMN(J1033),26)=0,26,MOD(COLUMN(J1033),26))))),$B1034)</f>
        <v>j1022</v>
      </c>
      <c r="K1035" s="899" t="str">
        <f t="shared" ref="K1035" si="2623">CONCATENATE(IF(COLUMN(K1033)&lt;=26,CHAR(96+COLUMN(K1033)),(CHAR(96+(ROUNDDOWN((COLUMN(K1033)-1)/26,0)))&amp;CHAR(96+IF(MOD(COLUMN(K1033),26)=0,26,MOD(COLUMN(K1033),26))))),$B1034)</f>
        <v>k1022</v>
      </c>
      <c r="L1035" s="899" t="str">
        <f t="shared" ref="L1035" si="2624">CONCATENATE(IF(COLUMN(L1033)&lt;=26,CHAR(96+COLUMN(L1033)),(CHAR(96+(ROUNDDOWN((COLUMN(L1033)-1)/26,0)))&amp;CHAR(96+IF(MOD(COLUMN(L1033),26)=0,26,MOD(COLUMN(L1033),26))))),$B1034)</f>
        <v>l1022</v>
      </c>
      <c r="U1035" s="663"/>
      <c r="Z1035" s="663"/>
      <c r="AA1035" s="663"/>
      <c r="AB1035" s="663"/>
      <c r="AC1035" s="663"/>
      <c r="AD1035" s="663"/>
      <c r="AE1035" s="663"/>
      <c r="AF1035" s="663"/>
      <c r="AG1035" s="663"/>
      <c r="AH1035" s="663"/>
      <c r="AI1035" s="663"/>
      <c r="AJ1035" s="663"/>
      <c r="AK1035" s="663"/>
      <c r="AL1035" s="663"/>
      <c r="AM1035" s="663"/>
      <c r="AN1035" s="663"/>
    </row>
    <row r="1036" spans="2:40" ht="14.45" hidden="1" customHeight="1" x14ac:dyDescent="0.25">
      <c r="B1036" s="661"/>
      <c r="C1036" s="662"/>
      <c r="U1036" s="663"/>
      <c r="Z1036" s="663"/>
      <c r="AA1036" s="663"/>
      <c r="AB1036" s="663"/>
      <c r="AC1036" s="663"/>
      <c r="AD1036" s="663"/>
      <c r="AE1036" s="663"/>
      <c r="AF1036" s="663"/>
      <c r="AG1036" s="663"/>
      <c r="AH1036" s="663"/>
      <c r="AI1036" s="663"/>
      <c r="AJ1036" s="663"/>
      <c r="AK1036" s="663"/>
      <c r="AL1036" s="663"/>
      <c r="AM1036" s="663"/>
      <c r="AN1036" s="663"/>
    </row>
    <row r="1037" spans="2:40" ht="14.45" hidden="1" customHeight="1" x14ac:dyDescent="0.25">
      <c r="B1037" s="661"/>
      <c r="C1037" s="662"/>
      <c r="U1037" s="663"/>
      <c r="Z1037" s="663"/>
      <c r="AA1037" s="663"/>
      <c r="AB1037" s="663"/>
      <c r="AC1037" s="663"/>
      <c r="AD1037" s="663"/>
      <c r="AE1037" s="663"/>
      <c r="AF1037" s="663"/>
      <c r="AG1037" s="663"/>
      <c r="AH1037" s="663"/>
      <c r="AI1037" s="663"/>
      <c r="AJ1037" s="663"/>
      <c r="AK1037" s="663"/>
      <c r="AL1037" s="663"/>
      <c r="AM1037" s="663"/>
      <c r="AN1037" s="663"/>
    </row>
    <row r="1038" spans="2:40" ht="14.45" hidden="1" customHeight="1" x14ac:dyDescent="0.25">
      <c r="B1038" s="936">
        <f>B1022</f>
        <v>39113</v>
      </c>
      <c r="C1038" s="662">
        <f>C1022</f>
        <v>-1000000</v>
      </c>
      <c r="D1038" s="662">
        <f t="shared" ref="D1038:L1038" si="2625">D1022</f>
        <v>-1000000</v>
      </c>
      <c r="E1038" s="662">
        <f t="shared" si="2625"/>
        <v>-1000000</v>
      </c>
      <c r="F1038" s="662">
        <f t="shared" si="2625"/>
        <v>-1000000</v>
      </c>
      <c r="G1038" s="662">
        <f t="shared" si="2625"/>
        <v>-1000000</v>
      </c>
      <c r="H1038" s="662">
        <f t="shared" si="2625"/>
        <v>-1000000</v>
      </c>
      <c r="I1038" s="662">
        <f t="shared" si="2625"/>
        <v>-1000000</v>
      </c>
      <c r="J1038" s="662">
        <f t="shared" si="2625"/>
        <v>-1000000</v>
      </c>
      <c r="K1038" s="662">
        <f t="shared" si="2625"/>
        <v>-1000000</v>
      </c>
      <c r="L1038" s="662">
        <f t="shared" si="2625"/>
        <v>-1000000</v>
      </c>
      <c r="U1038" s="663"/>
      <c r="Z1038" s="663"/>
      <c r="AA1038" s="663"/>
      <c r="AB1038" s="663"/>
      <c r="AC1038" s="663"/>
      <c r="AD1038" s="663"/>
      <c r="AE1038" s="663"/>
      <c r="AF1038" s="663"/>
      <c r="AG1038" s="663"/>
      <c r="AH1038" s="663"/>
      <c r="AI1038" s="663"/>
      <c r="AJ1038" s="663"/>
      <c r="AK1038" s="663"/>
      <c r="AL1038" s="663"/>
      <c r="AM1038" s="663"/>
      <c r="AN1038" s="663"/>
    </row>
    <row r="1039" spans="2:40" ht="14.45" hidden="1" customHeight="1" x14ac:dyDescent="0.25">
      <c r="B1039" s="936">
        <f t="shared" ref="B1039:L1039" si="2626">B1023</f>
        <v>39478</v>
      </c>
      <c r="C1039" s="662">
        <f t="shared" si="2626"/>
        <v>-2000000</v>
      </c>
      <c r="D1039" s="662">
        <f t="shared" si="2626"/>
        <v>-2000000</v>
      </c>
      <c r="E1039" s="662">
        <f t="shared" si="2626"/>
        <v>-2000000</v>
      </c>
      <c r="F1039" s="662">
        <f t="shared" si="2626"/>
        <v>-2000000</v>
      </c>
      <c r="G1039" s="662">
        <f t="shared" si="2626"/>
        <v>-2000000</v>
      </c>
      <c r="H1039" s="662">
        <f t="shared" si="2626"/>
        <v>-2000000</v>
      </c>
      <c r="I1039" s="662">
        <f t="shared" si="2626"/>
        <v>-2000000</v>
      </c>
      <c r="J1039" s="662">
        <f t="shared" si="2626"/>
        <v>-2000000</v>
      </c>
      <c r="K1039" s="662">
        <f t="shared" si="2626"/>
        <v>-2000000</v>
      </c>
      <c r="L1039" s="662">
        <f t="shared" si="2626"/>
        <v>-2000000</v>
      </c>
      <c r="U1039" s="663"/>
      <c r="Z1039" s="663"/>
      <c r="AA1039" s="663"/>
      <c r="AB1039" s="663"/>
      <c r="AC1039" s="663"/>
      <c r="AD1039" s="663"/>
      <c r="AE1039" s="663"/>
      <c r="AF1039" s="663"/>
      <c r="AG1039" s="663"/>
      <c r="AH1039" s="663"/>
      <c r="AI1039" s="663"/>
      <c r="AJ1039" s="663"/>
      <c r="AK1039" s="663"/>
      <c r="AL1039" s="663"/>
      <c r="AM1039" s="663"/>
      <c r="AN1039" s="663"/>
    </row>
    <row r="1040" spans="2:40" ht="14.45" hidden="1" customHeight="1" x14ac:dyDescent="0.25">
      <c r="B1040" s="936">
        <f t="shared" ref="B1040:L1040" si="2627">B1024</f>
        <v>39843</v>
      </c>
      <c r="C1040" s="662">
        <f t="shared" si="2627"/>
        <v>0</v>
      </c>
      <c r="D1040" s="662">
        <f t="shared" si="2627"/>
        <v>0</v>
      </c>
      <c r="E1040" s="662">
        <f t="shared" si="2627"/>
        <v>0</v>
      </c>
      <c r="F1040" s="662">
        <f t="shared" si="2627"/>
        <v>0</v>
      </c>
      <c r="G1040" s="662">
        <f t="shared" si="2627"/>
        <v>0</v>
      </c>
      <c r="H1040" s="662">
        <f t="shared" si="2627"/>
        <v>0</v>
      </c>
      <c r="I1040" s="662">
        <f t="shared" si="2627"/>
        <v>0</v>
      </c>
      <c r="J1040" s="662">
        <f t="shared" si="2627"/>
        <v>0</v>
      </c>
      <c r="K1040" s="662">
        <f t="shared" si="2627"/>
        <v>0</v>
      </c>
      <c r="L1040" s="662">
        <f t="shared" si="2627"/>
        <v>0</v>
      </c>
      <c r="U1040" s="663"/>
      <c r="Z1040" s="663"/>
      <c r="AA1040" s="663"/>
      <c r="AB1040" s="663"/>
      <c r="AC1040" s="663"/>
      <c r="AD1040" s="663"/>
      <c r="AE1040" s="663"/>
      <c r="AF1040" s="663"/>
      <c r="AG1040" s="663"/>
      <c r="AH1040" s="663"/>
      <c r="AI1040" s="663"/>
      <c r="AJ1040" s="663"/>
      <c r="AK1040" s="663"/>
      <c r="AL1040" s="663"/>
      <c r="AM1040" s="663"/>
      <c r="AN1040" s="663"/>
    </row>
    <row r="1041" spans="2:40" ht="14.45" hidden="1" customHeight="1" x14ac:dyDescent="0.25">
      <c r="B1041" s="936">
        <f t="shared" ref="B1041:L1041" si="2628">B1025</f>
        <v>39843</v>
      </c>
      <c r="C1041" s="662">
        <f t="shared" si="2628"/>
        <v>0</v>
      </c>
      <c r="D1041" s="662">
        <f t="shared" si="2628"/>
        <v>0</v>
      </c>
      <c r="E1041" s="662">
        <f t="shared" si="2628"/>
        <v>0</v>
      </c>
      <c r="F1041" s="662">
        <f t="shared" si="2628"/>
        <v>0</v>
      </c>
      <c r="G1041" s="662">
        <f t="shared" si="2628"/>
        <v>0</v>
      </c>
      <c r="H1041" s="662">
        <f t="shared" si="2628"/>
        <v>0</v>
      </c>
      <c r="I1041" s="662">
        <f t="shared" si="2628"/>
        <v>0</v>
      </c>
      <c r="J1041" s="662">
        <f t="shared" si="2628"/>
        <v>0</v>
      </c>
      <c r="K1041" s="662">
        <f t="shared" si="2628"/>
        <v>0</v>
      </c>
      <c r="L1041" s="662">
        <f t="shared" si="2628"/>
        <v>0</v>
      </c>
      <c r="U1041" s="663"/>
      <c r="Z1041" s="663"/>
      <c r="AA1041" s="663"/>
      <c r="AB1041" s="663"/>
      <c r="AC1041" s="663"/>
      <c r="AD1041" s="663"/>
      <c r="AE1041" s="663"/>
      <c r="AF1041" s="663"/>
      <c r="AG1041" s="663"/>
      <c r="AH1041" s="663"/>
      <c r="AI1041" s="663"/>
      <c r="AJ1041" s="663"/>
      <c r="AK1041" s="663"/>
      <c r="AL1041" s="663"/>
      <c r="AM1041" s="663"/>
      <c r="AN1041" s="663"/>
    </row>
    <row r="1042" spans="2:40" ht="14.45" hidden="1" customHeight="1" x14ac:dyDescent="0.25">
      <c r="B1042" s="936">
        <f t="shared" ref="B1042:L1042" si="2629">B1026</f>
        <v>39843</v>
      </c>
      <c r="C1042" s="662">
        <f t="shared" si="2629"/>
        <v>0</v>
      </c>
      <c r="D1042" s="662">
        <f t="shared" si="2629"/>
        <v>0</v>
      </c>
      <c r="E1042" s="662">
        <f t="shared" si="2629"/>
        <v>0</v>
      </c>
      <c r="F1042" s="662">
        <f t="shared" si="2629"/>
        <v>0</v>
      </c>
      <c r="G1042" s="662">
        <f t="shared" si="2629"/>
        <v>0</v>
      </c>
      <c r="H1042" s="662">
        <f t="shared" si="2629"/>
        <v>0</v>
      </c>
      <c r="I1042" s="662">
        <f t="shared" si="2629"/>
        <v>0</v>
      </c>
      <c r="J1042" s="662">
        <f t="shared" si="2629"/>
        <v>0</v>
      </c>
      <c r="K1042" s="662">
        <f t="shared" si="2629"/>
        <v>0</v>
      </c>
      <c r="L1042" s="662">
        <f t="shared" si="2629"/>
        <v>0</v>
      </c>
      <c r="U1042" s="663"/>
      <c r="Z1042" s="663"/>
      <c r="AA1042" s="663"/>
      <c r="AB1042" s="663"/>
      <c r="AC1042" s="663"/>
      <c r="AD1042" s="663"/>
      <c r="AE1042" s="663"/>
      <c r="AF1042" s="663"/>
      <c r="AG1042" s="663"/>
      <c r="AH1042" s="663"/>
      <c r="AI1042" s="663"/>
      <c r="AJ1042" s="663"/>
      <c r="AK1042" s="663"/>
      <c r="AL1042" s="663"/>
      <c r="AM1042" s="663"/>
      <c r="AN1042" s="663"/>
    </row>
    <row r="1043" spans="2:40" ht="14.45" hidden="1" customHeight="1" x14ac:dyDescent="0.25">
      <c r="B1043" s="936">
        <f t="shared" ref="B1043:L1043" si="2630">B1027</f>
        <v>39843</v>
      </c>
      <c r="C1043" s="662">
        <f t="shared" si="2630"/>
        <v>0</v>
      </c>
      <c r="D1043" s="662">
        <f t="shared" si="2630"/>
        <v>0</v>
      </c>
      <c r="E1043" s="662">
        <f t="shared" si="2630"/>
        <v>0</v>
      </c>
      <c r="F1043" s="662">
        <f t="shared" si="2630"/>
        <v>0</v>
      </c>
      <c r="G1043" s="662">
        <f t="shared" si="2630"/>
        <v>0</v>
      </c>
      <c r="H1043" s="662">
        <f t="shared" si="2630"/>
        <v>0</v>
      </c>
      <c r="I1043" s="662">
        <f t="shared" si="2630"/>
        <v>0</v>
      </c>
      <c r="J1043" s="662">
        <f t="shared" si="2630"/>
        <v>0</v>
      </c>
      <c r="K1043" s="662">
        <f t="shared" si="2630"/>
        <v>0</v>
      </c>
      <c r="L1043" s="662">
        <f t="shared" si="2630"/>
        <v>0</v>
      </c>
      <c r="U1043" s="663"/>
      <c r="Z1043" s="663"/>
      <c r="AA1043" s="663"/>
      <c r="AB1043" s="663"/>
      <c r="AC1043" s="663"/>
      <c r="AD1043" s="663"/>
      <c r="AE1043" s="663"/>
      <c r="AF1043" s="663"/>
      <c r="AG1043" s="663"/>
      <c r="AH1043" s="663"/>
      <c r="AI1043" s="663"/>
      <c r="AJ1043" s="663"/>
      <c r="AK1043" s="663"/>
      <c r="AL1043" s="663"/>
      <c r="AM1043" s="663"/>
      <c r="AN1043" s="663"/>
    </row>
    <row r="1044" spans="2:40" ht="14.45" hidden="1" customHeight="1" x14ac:dyDescent="0.25">
      <c r="B1044" s="936">
        <f t="shared" ref="B1044:L1044" si="2631">B1028</f>
        <v>39843</v>
      </c>
      <c r="C1044" s="662">
        <f t="shared" si="2631"/>
        <v>0</v>
      </c>
      <c r="D1044" s="662">
        <f t="shared" si="2631"/>
        <v>0</v>
      </c>
      <c r="E1044" s="662">
        <f t="shared" si="2631"/>
        <v>0</v>
      </c>
      <c r="F1044" s="662">
        <f t="shared" si="2631"/>
        <v>0</v>
      </c>
      <c r="G1044" s="662">
        <f t="shared" si="2631"/>
        <v>0</v>
      </c>
      <c r="H1044" s="662">
        <f t="shared" si="2631"/>
        <v>0</v>
      </c>
      <c r="I1044" s="662">
        <f t="shared" si="2631"/>
        <v>0</v>
      </c>
      <c r="J1044" s="662">
        <f t="shared" si="2631"/>
        <v>0</v>
      </c>
      <c r="K1044" s="662">
        <f t="shared" si="2631"/>
        <v>0</v>
      </c>
      <c r="L1044" s="662">
        <f t="shared" si="2631"/>
        <v>0</v>
      </c>
      <c r="U1044" s="663"/>
      <c r="Z1044" s="663"/>
      <c r="AA1044" s="663"/>
      <c r="AB1044" s="663"/>
      <c r="AC1044" s="663"/>
      <c r="AD1044" s="663"/>
      <c r="AE1044" s="663"/>
      <c r="AF1044" s="663"/>
      <c r="AG1044" s="663"/>
      <c r="AH1044" s="663"/>
      <c r="AI1044" s="663"/>
      <c r="AJ1044" s="663"/>
      <c r="AK1044" s="663"/>
      <c r="AL1044" s="663"/>
      <c r="AM1044" s="663"/>
      <c r="AN1044" s="663"/>
    </row>
    <row r="1045" spans="2:40" ht="14.45" hidden="1" customHeight="1" x14ac:dyDescent="0.25">
      <c r="B1045" s="936">
        <f t="shared" ref="B1045:L1045" si="2632">B1029</f>
        <v>39843</v>
      </c>
      <c r="C1045" s="662">
        <f t="shared" si="2632"/>
        <v>0</v>
      </c>
      <c r="D1045" s="662">
        <f t="shared" si="2632"/>
        <v>0</v>
      </c>
      <c r="E1045" s="662">
        <f t="shared" si="2632"/>
        <v>0</v>
      </c>
      <c r="F1045" s="662">
        <f t="shared" si="2632"/>
        <v>0</v>
      </c>
      <c r="G1045" s="662">
        <f t="shared" si="2632"/>
        <v>0</v>
      </c>
      <c r="H1045" s="662">
        <f t="shared" si="2632"/>
        <v>0</v>
      </c>
      <c r="I1045" s="662">
        <f t="shared" si="2632"/>
        <v>0</v>
      </c>
      <c r="J1045" s="662">
        <f t="shared" si="2632"/>
        <v>0</v>
      </c>
      <c r="K1045" s="662">
        <f t="shared" si="2632"/>
        <v>0</v>
      </c>
      <c r="L1045" s="662">
        <f t="shared" si="2632"/>
        <v>0</v>
      </c>
      <c r="U1045" s="663"/>
      <c r="Z1045" s="663"/>
      <c r="AA1045" s="663"/>
      <c r="AB1045" s="663"/>
      <c r="AC1045" s="663"/>
      <c r="AD1045" s="663"/>
      <c r="AE1045" s="663"/>
      <c r="AF1045" s="663"/>
      <c r="AG1045" s="663"/>
      <c r="AH1045" s="663"/>
      <c r="AI1045" s="663"/>
      <c r="AJ1045" s="663"/>
      <c r="AK1045" s="663"/>
      <c r="AL1045" s="663"/>
      <c r="AM1045" s="663"/>
      <c r="AN1045" s="663"/>
    </row>
    <row r="1046" spans="2:40" ht="14.45" hidden="1" customHeight="1" x14ac:dyDescent="0.25">
      <c r="B1046" s="936">
        <f t="shared" ref="B1046:L1046" si="2633">B1030</f>
        <v>39843</v>
      </c>
      <c r="C1046" s="662">
        <f t="shared" si="2633"/>
        <v>0</v>
      </c>
      <c r="D1046" s="662">
        <f t="shared" si="2633"/>
        <v>0</v>
      </c>
      <c r="E1046" s="662">
        <f t="shared" si="2633"/>
        <v>0</v>
      </c>
      <c r="F1046" s="662">
        <f t="shared" si="2633"/>
        <v>0</v>
      </c>
      <c r="G1046" s="662">
        <f t="shared" si="2633"/>
        <v>0</v>
      </c>
      <c r="H1046" s="662">
        <f t="shared" si="2633"/>
        <v>0</v>
      </c>
      <c r="I1046" s="662">
        <f t="shared" si="2633"/>
        <v>0</v>
      </c>
      <c r="J1046" s="662">
        <f t="shared" si="2633"/>
        <v>0</v>
      </c>
      <c r="K1046" s="662">
        <f t="shared" si="2633"/>
        <v>0</v>
      </c>
      <c r="L1046" s="662">
        <f t="shared" si="2633"/>
        <v>0</v>
      </c>
      <c r="U1046" s="663"/>
      <c r="Z1046" s="663"/>
      <c r="AA1046" s="663"/>
      <c r="AB1046" s="663"/>
      <c r="AC1046" s="663"/>
      <c r="AD1046" s="663"/>
      <c r="AE1046" s="663"/>
      <c r="AF1046" s="663"/>
      <c r="AG1046" s="663"/>
      <c r="AH1046" s="663"/>
      <c r="AI1046" s="663"/>
      <c r="AJ1046" s="663"/>
      <c r="AK1046" s="663"/>
      <c r="AL1046" s="663"/>
      <c r="AM1046" s="663"/>
      <c r="AN1046" s="663"/>
    </row>
    <row r="1047" spans="2:40" ht="14.45" hidden="1" customHeight="1" x14ac:dyDescent="0.25">
      <c r="B1047" s="936">
        <f t="shared" ref="B1047:L1047" si="2634">B1031</f>
        <v>39843</v>
      </c>
      <c r="C1047" s="662">
        <f t="shared" si="2634"/>
        <v>0</v>
      </c>
      <c r="D1047" s="662">
        <f t="shared" si="2634"/>
        <v>0</v>
      </c>
      <c r="E1047" s="662">
        <f t="shared" si="2634"/>
        <v>0</v>
      </c>
      <c r="F1047" s="662">
        <f t="shared" si="2634"/>
        <v>0</v>
      </c>
      <c r="G1047" s="662">
        <f t="shared" si="2634"/>
        <v>0</v>
      </c>
      <c r="H1047" s="662">
        <f t="shared" si="2634"/>
        <v>0</v>
      </c>
      <c r="I1047" s="662">
        <f t="shared" si="2634"/>
        <v>0</v>
      </c>
      <c r="J1047" s="662">
        <f t="shared" si="2634"/>
        <v>0</v>
      </c>
      <c r="K1047" s="662">
        <f t="shared" si="2634"/>
        <v>0</v>
      </c>
      <c r="L1047" s="662">
        <f t="shared" si="2634"/>
        <v>0</v>
      </c>
      <c r="U1047" s="663"/>
      <c r="Z1047" s="663"/>
      <c r="AA1047" s="663"/>
      <c r="AB1047" s="663"/>
      <c r="AC1047" s="663"/>
      <c r="AD1047" s="663"/>
      <c r="AE1047" s="663"/>
      <c r="AF1047" s="663"/>
      <c r="AG1047" s="663"/>
      <c r="AH1047" s="663"/>
      <c r="AI1047" s="663"/>
      <c r="AJ1047" s="663"/>
      <c r="AK1047" s="663"/>
      <c r="AL1047" s="663"/>
      <c r="AM1047" s="663"/>
      <c r="AN1047" s="663"/>
    </row>
    <row r="1048" spans="2:40" ht="14.45" hidden="1" customHeight="1" x14ac:dyDescent="0.25">
      <c r="B1048" s="936">
        <f>B982</f>
        <v>41359</v>
      </c>
      <c r="C1048" s="662">
        <f t="shared" ref="C1048:L1048" si="2635">C1032</f>
        <v>1882530.1204819279</v>
      </c>
      <c r="D1048" s="662">
        <f t="shared" si="2635"/>
        <v>2823795.1807228918</v>
      </c>
      <c r="E1048" s="662">
        <f t="shared" si="2635"/>
        <v>3765060.2409638558</v>
      </c>
      <c r="F1048" s="662">
        <f t="shared" si="2635"/>
        <v>4706325.3012048192</v>
      </c>
      <c r="G1048" s="662">
        <f t="shared" si="2635"/>
        <v>5647590.3614457836</v>
      </c>
      <c r="H1048" s="662">
        <f t="shared" si="2635"/>
        <v>6588855.4216867471</v>
      </c>
      <c r="I1048" s="662">
        <f t="shared" si="2635"/>
        <v>7530120.4819277115</v>
      </c>
      <c r="J1048" s="662">
        <f t="shared" si="2635"/>
        <v>8471385.542168675</v>
      </c>
      <c r="K1048" s="662">
        <f t="shared" si="2635"/>
        <v>9412650.6024096385</v>
      </c>
      <c r="L1048" s="662">
        <f t="shared" si="2635"/>
        <v>10353915.662650604</v>
      </c>
      <c r="U1048" s="663"/>
      <c r="Z1048" s="663"/>
      <c r="AA1048" s="663"/>
      <c r="AB1048" s="663"/>
      <c r="AC1048" s="663"/>
      <c r="AD1048" s="663"/>
      <c r="AE1048" s="663"/>
      <c r="AF1048" s="663"/>
      <c r="AG1048" s="663"/>
      <c r="AH1048" s="663"/>
      <c r="AI1048" s="663"/>
      <c r="AJ1048" s="663"/>
      <c r="AK1048" s="663"/>
      <c r="AL1048" s="663"/>
      <c r="AM1048" s="663"/>
      <c r="AN1048" s="663"/>
    </row>
    <row r="1049" spans="2:40" ht="14.45" hidden="1" customHeight="1" x14ac:dyDescent="0.25">
      <c r="C1049" s="882" t="str">
        <f ca="1">IF(ISERROR(XIRR(INDIRECT(C1051):C1048,INDIRECT($B1051):$B1048,-20%)),XIRR(INDIRECT(C1051):C1048,INDIRECT($B1051):$B1048,20%),"N/A")</f>
        <v>N/A</v>
      </c>
      <c r="D1049" s="882" t="str">
        <f ca="1">IF(ISERROR(XIRR(INDIRECT(D1051):D1048,INDIRECT($B1051):$B1048,-20%)),XIRR(INDIRECT(D1051):D1048,INDIRECT($B1051):$B1048,20%),"N/A")</f>
        <v>N/A</v>
      </c>
      <c r="E1049" s="882">
        <f ca="1">IF(ISERROR(XIRR(INDIRECT(E1051):E1048,INDIRECT($B1051):$B1048,-20%)),XIRR(INDIRECT(E1051):E1048,INDIRECT($B1051):$B1048,20%),"N/A")</f>
        <v>4.2232611775398249E-2</v>
      </c>
      <c r="F1049" s="882">
        <f ca="1">IF(ISERROR(XIRR(INDIRECT(F1051):F1048,INDIRECT($B1051):$B1048,-20%)),XIRR(INDIRECT(F1051):F1048,INDIRECT($B1051):$B1048,20%),"N/A")</f>
        <v>8.5382309556007396E-2</v>
      </c>
      <c r="G1049" s="882">
        <f ca="1">IF(ISERROR(XIRR(INDIRECT(G1051):G1048,INDIRECT($B1051):$B1048,-20%)),XIRR(INDIRECT(G1051):G1048,INDIRECT($B1051):$B1048,20%),"N/A")</f>
        <v>0.1219043433666229</v>
      </c>
      <c r="H1049" s="882">
        <f ca="1">IF(ISERROR(XIRR(INDIRECT(H1051):H1048,INDIRECT($B1051):$B1048,-20%)),XIRR(INDIRECT(H1051):H1048,INDIRECT($B1051):$B1048,20%),"N/A")</f>
        <v>0.15369930863380435</v>
      </c>
      <c r="I1049" s="882">
        <f ca="1">IF(ISERROR(XIRR(INDIRECT(I1051):I1048,INDIRECT($B1051):$B1048,-20%)),XIRR(INDIRECT(I1051):I1048,INDIRECT($B1051):$B1048,20%),"N/A")</f>
        <v>0.18193746209144593</v>
      </c>
      <c r="J1049" s="882">
        <f ca="1">IF(ISERROR(XIRR(INDIRECT(J1051):J1048,INDIRECT($B1051):$B1048,-20%)),XIRR(INDIRECT(J1051):J1048,INDIRECT($B1051):$B1048,20%),"N/A")</f>
        <v>0.20739369988441467</v>
      </c>
      <c r="K1049" s="882">
        <f ca="1">IF(ISERROR(XIRR(INDIRECT(K1051):K1048,INDIRECT($B1051):$B1048,-20%)),XIRR(INDIRECT(K1051):K1048,INDIRECT($B1051):$B1048,20%),"N/A")</f>
        <v>0.23060923218727111</v>
      </c>
      <c r="L1049" s="882">
        <f ca="1">IF(ISERROR(XIRR(INDIRECT(L1051):L1048,INDIRECT($B1051):$B1048,-20%)),XIRR(INDIRECT(L1051):L1048,INDIRECT($B1051):$B1048,20%),"N/A")</f>
        <v>0.25197789072990417</v>
      </c>
      <c r="U1049" s="663"/>
      <c r="Z1049" s="663"/>
      <c r="AA1049" s="663"/>
      <c r="AB1049" s="663"/>
      <c r="AC1049" s="663"/>
      <c r="AD1049" s="663"/>
      <c r="AE1049" s="663"/>
      <c r="AF1049" s="663"/>
      <c r="AG1049" s="663"/>
      <c r="AH1049" s="663"/>
      <c r="AI1049" s="663"/>
      <c r="AJ1049" s="663"/>
      <c r="AK1049" s="663"/>
      <c r="AL1049" s="663"/>
      <c r="AM1049" s="663"/>
      <c r="AN1049" s="663"/>
    </row>
    <row r="1050" spans="2:40" ht="14.45" hidden="1" customHeight="1" x14ac:dyDescent="0.25">
      <c r="B1050" s="898">
        <f>IF(C1038&lt;&gt;0,ROW(C1038),IF(C1039&lt;&gt;0,ROW(C1039),IF(C1040&lt;&gt;0,ROW(C1040),IF(C1041&lt;&gt;0,ROW(C1041),IF(C1042&lt;&gt;0,ROW(C1042),IF(C1043&lt;&gt;0,ROW(C1043),IF(C1044&lt;&gt;0,ROW(C1044),IF(C1045&lt;&gt;0,ROW(C1045),IF(C1046&lt;&gt;0,ROW(C1046),IF(C1047&lt;&gt;0,ROW(C1047)))))))))))</f>
        <v>1038</v>
      </c>
      <c r="C1050" s="882"/>
      <c r="U1050" s="663"/>
      <c r="Z1050" s="663"/>
      <c r="AA1050" s="663"/>
      <c r="AB1050" s="663"/>
      <c r="AC1050" s="663"/>
      <c r="AD1050" s="663"/>
      <c r="AE1050" s="663"/>
      <c r="AF1050" s="663"/>
      <c r="AG1050" s="663"/>
      <c r="AH1050" s="663"/>
      <c r="AI1050" s="663"/>
      <c r="AJ1050" s="663"/>
      <c r="AK1050" s="663"/>
      <c r="AL1050" s="663"/>
      <c r="AM1050" s="663"/>
      <c r="AN1050" s="663"/>
    </row>
    <row r="1051" spans="2:40" ht="14.45" hidden="1" customHeight="1" x14ac:dyDescent="0.25">
      <c r="B1051" s="899" t="str">
        <f>CONCATENATE(IF(COLUMN(B1050)&lt;=26,CHAR(96+COLUMN(B1050)),(CHAR(96+(ROUNDDOWN((COLUMN(B1050)-1)/26,0)))&amp;CHAR(96+IF(MOD(COLUMN(B1050),26)=0,26,MOD(COLUMN(B1050),26))))),B1050)</f>
        <v>b1038</v>
      </c>
      <c r="C1051" s="899" t="str">
        <f>CONCATENATE(IF(COLUMN(C1049)&lt;=26,CHAR(96+COLUMN(C1049)),(CHAR(96+(ROUNDDOWN((COLUMN(C1049)-1)/26,0)))&amp;CHAR(96+IF(MOD(COLUMN(C1049),26)=0,26,MOD(COLUMN(C1049),26))))),$B1050)</f>
        <v>c1038</v>
      </c>
      <c r="D1051" s="899" t="str">
        <f t="shared" ref="D1051" si="2636">CONCATENATE(IF(COLUMN(D1049)&lt;=26,CHAR(96+COLUMN(D1049)),(CHAR(96+(ROUNDDOWN((COLUMN(D1049)-1)/26,0)))&amp;CHAR(96+IF(MOD(COLUMN(D1049),26)=0,26,MOD(COLUMN(D1049),26))))),$B1050)</f>
        <v>d1038</v>
      </c>
      <c r="E1051" s="899" t="str">
        <f t="shared" ref="E1051" si="2637">CONCATENATE(IF(COLUMN(E1049)&lt;=26,CHAR(96+COLUMN(E1049)),(CHAR(96+(ROUNDDOWN((COLUMN(E1049)-1)/26,0)))&amp;CHAR(96+IF(MOD(COLUMN(E1049),26)=0,26,MOD(COLUMN(E1049),26))))),$B1050)</f>
        <v>e1038</v>
      </c>
      <c r="F1051" s="899" t="str">
        <f t="shared" ref="F1051" si="2638">CONCATENATE(IF(COLUMN(F1049)&lt;=26,CHAR(96+COLUMN(F1049)),(CHAR(96+(ROUNDDOWN((COLUMN(F1049)-1)/26,0)))&amp;CHAR(96+IF(MOD(COLUMN(F1049),26)=0,26,MOD(COLUMN(F1049),26))))),$B1050)</f>
        <v>f1038</v>
      </c>
      <c r="G1051" s="899" t="str">
        <f t="shared" ref="G1051" si="2639">CONCATENATE(IF(COLUMN(G1049)&lt;=26,CHAR(96+COLUMN(G1049)),(CHAR(96+(ROUNDDOWN((COLUMN(G1049)-1)/26,0)))&amp;CHAR(96+IF(MOD(COLUMN(G1049),26)=0,26,MOD(COLUMN(G1049),26))))),$B1050)</f>
        <v>g1038</v>
      </c>
      <c r="H1051" s="899" t="str">
        <f t="shared" ref="H1051" si="2640">CONCATENATE(IF(COLUMN(H1049)&lt;=26,CHAR(96+COLUMN(H1049)),(CHAR(96+(ROUNDDOWN((COLUMN(H1049)-1)/26,0)))&amp;CHAR(96+IF(MOD(COLUMN(H1049),26)=0,26,MOD(COLUMN(H1049),26))))),$B1050)</f>
        <v>h1038</v>
      </c>
      <c r="I1051" s="899" t="str">
        <f t="shared" ref="I1051" si="2641">CONCATENATE(IF(COLUMN(I1049)&lt;=26,CHAR(96+COLUMN(I1049)),(CHAR(96+(ROUNDDOWN((COLUMN(I1049)-1)/26,0)))&amp;CHAR(96+IF(MOD(COLUMN(I1049),26)=0,26,MOD(COLUMN(I1049),26))))),$B1050)</f>
        <v>i1038</v>
      </c>
      <c r="J1051" s="899" t="str">
        <f t="shared" ref="J1051" si="2642">CONCATENATE(IF(COLUMN(J1049)&lt;=26,CHAR(96+COLUMN(J1049)),(CHAR(96+(ROUNDDOWN((COLUMN(J1049)-1)/26,0)))&amp;CHAR(96+IF(MOD(COLUMN(J1049),26)=0,26,MOD(COLUMN(J1049),26))))),$B1050)</f>
        <v>j1038</v>
      </c>
      <c r="K1051" s="899" t="str">
        <f t="shared" ref="K1051" si="2643">CONCATENATE(IF(COLUMN(K1049)&lt;=26,CHAR(96+COLUMN(K1049)),(CHAR(96+(ROUNDDOWN((COLUMN(K1049)-1)/26,0)))&amp;CHAR(96+IF(MOD(COLUMN(K1049),26)=0,26,MOD(COLUMN(K1049),26))))),$B1050)</f>
        <v>k1038</v>
      </c>
      <c r="L1051" s="899" t="str">
        <f t="shared" ref="L1051" si="2644">CONCATENATE(IF(COLUMN(L1049)&lt;=26,CHAR(96+COLUMN(L1049)),(CHAR(96+(ROUNDDOWN((COLUMN(L1049)-1)/26,0)))&amp;CHAR(96+IF(MOD(COLUMN(L1049),26)=0,26,MOD(COLUMN(L1049),26))))),$B1050)</f>
        <v>l1038</v>
      </c>
      <c r="U1051" s="663"/>
      <c r="Z1051" s="663"/>
      <c r="AA1051" s="663"/>
      <c r="AB1051" s="663"/>
      <c r="AC1051" s="663"/>
      <c r="AD1051" s="663"/>
      <c r="AE1051" s="663"/>
      <c r="AF1051" s="663"/>
      <c r="AG1051" s="663"/>
      <c r="AH1051" s="663"/>
      <c r="AI1051" s="663"/>
      <c r="AJ1051" s="663"/>
      <c r="AK1051" s="663"/>
      <c r="AL1051" s="663"/>
      <c r="AM1051" s="663"/>
      <c r="AN1051" s="663"/>
    </row>
    <row r="1052" spans="2:40" ht="14.45" hidden="1" customHeight="1" x14ac:dyDescent="0.25">
      <c r="C1052" s="662"/>
      <c r="U1052" s="663"/>
      <c r="Z1052" s="663"/>
      <c r="AA1052" s="663"/>
      <c r="AB1052" s="663"/>
      <c r="AC1052" s="663"/>
      <c r="AD1052" s="663"/>
      <c r="AE1052" s="663"/>
      <c r="AF1052" s="663"/>
      <c r="AG1052" s="663"/>
      <c r="AH1052" s="663"/>
      <c r="AI1052" s="663"/>
      <c r="AJ1052" s="663"/>
      <c r="AK1052" s="663"/>
      <c r="AL1052" s="663"/>
      <c r="AM1052" s="663"/>
      <c r="AN1052" s="663"/>
    </row>
    <row r="1053" spans="2:40" ht="14.45" hidden="1" customHeight="1" x14ac:dyDescent="0.25">
      <c r="C1053" s="662"/>
      <c r="U1053" s="663"/>
      <c r="Z1053" s="663"/>
      <c r="AA1053" s="663"/>
      <c r="AB1053" s="663"/>
      <c r="AC1053" s="663"/>
      <c r="AD1053" s="663"/>
      <c r="AE1053" s="663"/>
      <c r="AF1053" s="663"/>
      <c r="AG1053" s="663"/>
      <c r="AH1053" s="663"/>
      <c r="AI1053" s="663"/>
      <c r="AJ1053" s="663"/>
      <c r="AK1053" s="663"/>
      <c r="AL1053" s="663"/>
      <c r="AM1053" s="663"/>
      <c r="AN1053" s="663"/>
    </row>
    <row r="1054" spans="2:40" ht="14.45" hidden="1" customHeight="1" x14ac:dyDescent="0.25">
      <c r="B1054" s="936">
        <f>B1038</f>
        <v>39113</v>
      </c>
      <c r="C1054" s="662">
        <f>C1038</f>
        <v>-1000000</v>
      </c>
      <c r="D1054" s="662">
        <f t="shared" ref="D1054:L1054" si="2645">D1038</f>
        <v>-1000000</v>
      </c>
      <c r="E1054" s="662">
        <f t="shared" si="2645"/>
        <v>-1000000</v>
      </c>
      <c r="F1054" s="662">
        <f t="shared" si="2645"/>
        <v>-1000000</v>
      </c>
      <c r="G1054" s="662">
        <f t="shared" si="2645"/>
        <v>-1000000</v>
      </c>
      <c r="H1054" s="662">
        <f t="shared" si="2645"/>
        <v>-1000000</v>
      </c>
      <c r="I1054" s="662">
        <f t="shared" si="2645"/>
        <v>-1000000</v>
      </c>
      <c r="J1054" s="662">
        <f t="shared" si="2645"/>
        <v>-1000000</v>
      </c>
      <c r="K1054" s="662">
        <f t="shared" si="2645"/>
        <v>-1000000</v>
      </c>
      <c r="L1054" s="662">
        <f t="shared" si="2645"/>
        <v>-1000000</v>
      </c>
      <c r="U1054" s="663"/>
      <c r="Z1054" s="663"/>
      <c r="AA1054" s="663"/>
      <c r="AB1054" s="663"/>
      <c r="AC1054" s="663"/>
      <c r="AD1054" s="663"/>
      <c r="AE1054" s="663"/>
      <c r="AF1054" s="663"/>
      <c r="AG1054" s="663"/>
      <c r="AH1054" s="663"/>
      <c r="AI1054" s="663"/>
      <c r="AJ1054" s="663"/>
      <c r="AK1054" s="663"/>
      <c r="AL1054" s="663"/>
      <c r="AM1054" s="663"/>
      <c r="AN1054" s="663"/>
    </row>
    <row r="1055" spans="2:40" ht="14.45" hidden="1" customHeight="1" x14ac:dyDescent="0.25">
      <c r="B1055" s="936">
        <f t="shared" ref="B1055:L1055" si="2646">B1039</f>
        <v>39478</v>
      </c>
      <c r="C1055" s="662">
        <f t="shared" si="2646"/>
        <v>-2000000</v>
      </c>
      <c r="D1055" s="662">
        <f t="shared" si="2646"/>
        <v>-2000000</v>
      </c>
      <c r="E1055" s="662">
        <f t="shared" si="2646"/>
        <v>-2000000</v>
      </c>
      <c r="F1055" s="662">
        <f t="shared" si="2646"/>
        <v>-2000000</v>
      </c>
      <c r="G1055" s="662">
        <f t="shared" si="2646"/>
        <v>-2000000</v>
      </c>
      <c r="H1055" s="662">
        <f t="shared" si="2646"/>
        <v>-2000000</v>
      </c>
      <c r="I1055" s="662">
        <f t="shared" si="2646"/>
        <v>-2000000</v>
      </c>
      <c r="J1055" s="662">
        <f t="shared" si="2646"/>
        <v>-2000000</v>
      </c>
      <c r="K1055" s="662">
        <f t="shared" si="2646"/>
        <v>-2000000</v>
      </c>
      <c r="L1055" s="662">
        <f t="shared" si="2646"/>
        <v>-2000000</v>
      </c>
      <c r="U1055" s="663"/>
      <c r="Z1055" s="663"/>
      <c r="AA1055" s="663"/>
      <c r="AB1055" s="663"/>
      <c r="AC1055" s="663"/>
      <c r="AD1055" s="663"/>
      <c r="AE1055" s="663"/>
      <c r="AF1055" s="663"/>
      <c r="AG1055" s="663"/>
      <c r="AH1055" s="663"/>
      <c r="AI1055" s="663"/>
      <c r="AJ1055" s="663"/>
      <c r="AK1055" s="663"/>
      <c r="AL1055" s="663"/>
      <c r="AM1055" s="663"/>
      <c r="AN1055" s="663"/>
    </row>
    <row r="1056" spans="2:40" ht="14.45" hidden="1" customHeight="1" x14ac:dyDescent="0.25">
      <c r="B1056" s="936">
        <f t="shared" ref="B1056:L1056" si="2647">B1040</f>
        <v>39843</v>
      </c>
      <c r="C1056" s="662">
        <f t="shared" si="2647"/>
        <v>0</v>
      </c>
      <c r="D1056" s="662">
        <f t="shared" si="2647"/>
        <v>0</v>
      </c>
      <c r="E1056" s="662">
        <f t="shared" si="2647"/>
        <v>0</v>
      </c>
      <c r="F1056" s="662">
        <f t="shared" si="2647"/>
        <v>0</v>
      </c>
      <c r="G1056" s="662">
        <f t="shared" si="2647"/>
        <v>0</v>
      </c>
      <c r="H1056" s="662">
        <f t="shared" si="2647"/>
        <v>0</v>
      </c>
      <c r="I1056" s="662">
        <f t="shared" si="2647"/>
        <v>0</v>
      </c>
      <c r="J1056" s="662">
        <f t="shared" si="2647"/>
        <v>0</v>
      </c>
      <c r="K1056" s="662">
        <f t="shared" si="2647"/>
        <v>0</v>
      </c>
      <c r="L1056" s="662">
        <f t="shared" si="2647"/>
        <v>0</v>
      </c>
      <c r="U1056" s="663"/>
      <c r="Z1056" s="663"/>
      <c r="AA1056" s="663"/>
      <c r="AB1056" s="663"/>
      <c r="AC1056" s="663"/>
      <c r="AD1056" s="663"/>
      <c r="AE1056" s="663"/>
      <c r="AF1056" s="663"/>
      <c r="AG1056" s="663"/>
      <c r="AH1056" s="663"/>
      <c r="AI1056" s="663"/>
      <c r="AJ1056" s="663"/>
      <c r="AK1056" s="663"/>
      <c r="AL1056" s="663"/>
      <c r="AM1056" s="663"/>
      <c r="AN1056" s="663"/>
    </row>
    <row r="1057" spans="2:40" ht="14.45" hidden="1" customHeight="1" x14ac:dyDescent="0.25">
      <c r="B1057" s="936">
        <f t="shared" ref="B1057:L1057" si="2648">B1041</f>
        <v>39843</v>
      </c>
      <c r="C1057" s="662">
        <f t="shared" si="2648"/>
        <v>0</v>
      </c>
      <c r="D1057" s="662">
        <f t="shared" si="2648"/>
        <v>0</v>
      </c>
      <c r="E1057" s="662">
        <f t="shared" si="2648"/>
        <v>0</v>
      </c>
      <c r="F1057" s="662">
        <f t="shared" si="2648"/>
        <v>0</v>
      </c>
      <c r="G1057" s="662">
        <f t="shared" si="2648"/>
        <v>0</v>
      </c>
      <c r="H1057" s="662">
        <f t="shared" si="2648"/>
        <v>0</v>
      </c>
      <c r="I1057" s="662">
        <f t="shared" si="2648"/>
        <v>0</v>
      </c>
      <c r="J1057" s="662">
        <f t="shared" si="2648"/>
        <v>0</v>
      </c>
      <c r="K1057" s="662">
        <f t="shared" si="2648"/>
        <v>0</v>
      </c>
      <c r="L1057" s="662">
        <f t="shared" si="2648"/>
        <v>0</v>
      </c>
      <c r="U1057" s="663"/>
      <c r="Z1057" s="663"/>
      <c r="AA1057" s="663"/>
      <c r="AB1057" s="663"/>
      <c r="AC1057" s="663"/>
      <c r="AD1057" s="663"/>
      <c r="AE1057" s="663"/>
      <c r="AF1057" s="663"/>
      <c r="AG1057" s="663"/>
      <c r="AH1057" s="663"/>
      <c r="AI1057" s="663"/>
      <c r="AJ1057" s="663"/>
      <c r="AK1057" s="663"/>
      <c r="AL1057" s="663"/>
      <c r="AM1057" s="663"/>
      <c r="AN1057" s="663"/>
    </row>
    <row r="1058" spans="2:40" ht="14.45" hidden="1" customHeight="1" x14ac:dyDescent="0.25">
      <c r="B1058" s="936">
        <f t="shared" ref="B1058:L1058" si="2649">B1042</f>
        <v>39843</v>
      </c>
      <c r="C1058" s="662">
        <f t="shared" si="2649"/>
        <v>0</v>
      </c>
      <c r="D1058" s="662">
        <f t="shared" si="2649"/>
        <v>0</v>
      </c>
      <c r="E1058" s="662">
        <f t="shared" si="2649"/>
        <v>0</v>
      </c>
      <c r="F1058" s="662">
        <f t="shared" si="2649"/>
        <v>0</v>
      </c>
      <c r="G1058" s="662">
        <f t="shared" si="2649"/>
        <v>0</v>
      </c>
      <c r="H1058" s="662">
        <f t="shared" si="2649"/>
        <v>0</v>
      </c>
      <c r="I1058" s="662">
        <f t="shared" si="2649"/>
        <v>0</v>
      </c>
      <c r="J1058" s="662">
        <f t="shared" si="2649"/>
        <v>0</v>
      </c>
      <c r="K1058" s="662">
        <f t="shared" si="2649"/>
        <v>0</v>
      </c>
      <c r="L1058" s="662">
        <f t="shared" si="2649"/>
        <v>0</v>
      </c>
      <c r="U1058" s="663"/>
      <c r="Z1058" s="663"/>
      <c r="AA1058" s="663"/>
      <c r="AB1058" s="663"/>
      <c r="AC1058" s="663"/>
      <c r="AD1058" s="663"/>
      <c r="AE1058" s="663"/>
      <c r="AF1058" s="663"/>
      <c r="AG1058" s="663"/>
      <c r="AH1058" s="663"/>
      <c r="AI1058" s="663"/>
      <c r="AJ1058" s="663"/>
      <c r="AK1058" s="663"/>
      <c r="AL1058" s="663"/>
      <c r="AM1058" s="663"/>
      <c r="AN1058" s="663"/>
    </row>
    <row r="1059" spans="2:40" ht="14.45" hidden="1" customHeight="1" x14ac:dyDescent="0.25">
      <c r="B1059" s="936">
        <f t="shared" ref="B1059:L1059" si="2650">B1043</f>
        <v>39843</v>
      </c>
      <c r="C1059" s="662">
        <f t="shared" si="2650"/>
        <v>0</v>
      </c>
      <c r="D1059" s="662">
        <f t="shared" si="2650"/>
        <v>0</v>
      </c>
      <c r="E1059" s="662">
        <f t="shared" si="2650"/>
        <v>0</v>
      </c>
      <c r="F1059" s="662">
        <f t="shared" si="2650"/>
        <v>0</v>
      </c>
      <c r="G1059" s="662">
        <f t="shared" si="2650"/>
        <v>0</v>
      </c>
      <c r="H1059" s="662">
        <f t="shared" si="2650"/>
        <v>0</v>
      </c>
      <c r="I1059" s="662">
        <f t="shared" si="2650"/>
        <v>0</v>
      </c>
      <c r="J1059" s="662">
        <f t="shared" si="2650"/>
        <v>0</v>
      </c>
      <c r="K1059" s="662">
        <f t="shared" si="2650"/>
        <v>0</v>
      </c>
      <c r="L1059" s="662">
        <f t="shared" si="2650"/>
        <v>0</v>
      </c>
      <c r="U1059" s="663"/>
      <c r="Z1059" s="663"/>
      <c r="AA1059" s="663"/>
      <c r="AB1059" s="663"/>
      <c r="AC1059" s="663"/>
      <c r="AD1059" s="663"/>
      <c r="AE1059" s="663"/>
      <c r="AF1059" s="663"/>
      <c r="AG1059" s="663"/>
      <c r="AH1059" s="663"/>
      <c r="AI1059" s="663"/>
      <c r="AJ1059" s="663"/>
      <c r="AK1059" s="663"/>
      <c r="AL1059" s="663"/>
      <c r="AM1059" s="663"/>
      <c r="AN1059" s="663"/>
    </row>
    <row r="1060" spans="2:40" ht="14.45" hidden="1" customHeight="1" x14ac:dyDescent="0.25">
      <c r="B1060" s="936">
        <f t="shared" ref="B1060:L1060" si="2651">B1044</f>
        <v>39843</v>
      </c>
      <c r="C1060" s="662">
        <f t="shared" si="2651"/>
        <v>0</v>
      </c>
      <c r="D1060" s="662">
        <f t="shared" si="2651"/>
        <v>0</v>
      </c>
      <c r="E1060" s="662">
        <f t="shared" si="2651"/>
        <v>0</v>
      </c>
      <c r="F1060" s="662">
        <f t="shared" si="2651"/>
        <v>0</v>
      </c>
      <c r="G1060" s="662">
        <f t="shared" si="2651"/>
        <v>0</v>
      </c>
      <c r="H1060" s="662">
        <f t="shared" si="2651"/>
        <v>0</v>
      </c>
      <c r="I1060" s="662">
        <f t="shared" si="2651"/>
        <v>0</v>
      </c>
      <c r="J1060" s="662">
        <f t="shared" si="2651"/>
        <v>0</v>
      </c>
      <c r="K1060" s="662">
        <f t="shared" si="2651"/>
        <v>0</v>
      </c>
      <c r="L1060" s="662">
        <f t="shared" si="2651"/>
        <v>0</v>
      </c>
      <c r="U1060" s="663"/>
      <c r="Z1060" s="663"/>
      <c r="AA1060" s="663"/>
      <c r="AB1060" s="663"/>
      <c r="AC1060" s="663"/>
      <c r="AD1060" s="663"/>
      <c r="AE1060" s="663"/>
      <c r="AF1060" s="663"/>
      <c r="AG1060" s="663"/>
      <c r="AH1060" s="663"/>
      <c r="AI1060" s="663"/>
      <c r="AJ1060" s="663"/>
      <c r="AK1060" s="663"/>
      <c r="AL1060" s="663"/>
      <c r="AM1060" s="663"/>
      <c r="AN1060" s="663"/>
    </row>
    <row r="1061" spans="2:40" ht="14.45" hidden="1" customHeight="1" x14ac:dyDescent="0.25">
      <c r="B1061" s="936">
        <f t="shared" ref="B1061:L1061" si="2652">B1045</f>
        <v>39843</v>
      </c>
      <c r="C1061" s="662">
        <f t="shared" si="2652"/>
        <v>0</v>
      </c>
      <c r="D1061" s="662">
        <f t="shared" si="2652"/>
        <v>0</v>
      </c>
      <c r="E1061" s="662">
        <f t="shared" si="2652"/>
        <v>0</v>
      </c>
      <c r="F1061" s="662">
        <f t="shared" si="2652"/>
        <v>0</v>
      </c>
      <c r="G1061" s="662">
        <f t="shared" si="2652"/>
        <v>0</v>
      </c>
      <c r="H1061" s="662">
        <f t="shared" si="2652"/>
        <v>0</v>
      </c>
      <c r="I1061" s="662">
        <f t="shared" si="2652"/>
        <v>0</v>
      </c>
      <c r="J1061" s="662">
        <f t="shared" si="2652"/>
        <v>0</v>
      </c>
      <c r="K1061" s="662">
        <f t="shared" si="2652"/>
        <v>0</v>
      </c>
      <c r="L1061" s="662">
        <f t="shared" si="2652"/>
        <v>0</v>
      </c>
      <c r="U1061" s="663"/>
      <c r="Z1061" s="663"/>
      <c r="AA1061" s="663"/>
      <c r="AB1061" s="663"/>
      <c r="AC1061" s="663"/>
      <c r="AD1061" s="663"/>
      <c r="AE1061" s="663"/>
      <c r="AF1061" s="663"/>
      <c r="AG1061" s="663"/>
      <c r="AH1061" s="663"/>
      <c r="AI1061" s="663"/>
      <c r="AJ1061" s="663"/>
      <c r="AK1061" s="663"/>
      <c r="AL1061" s="663"/>
      <c r="AM1061" s="663"/>
      <c r="AN1061" s="663"/>
    </row>
    <row r="1062" spans="2:40" ht="14.45" hidden="1" customHeight="1" x14ac:dyDescent="0.25">
      <c r="B1062" s="936">
        <f t="shared" ref="B1062:L1062" si="2653">B1046</f>
        <v>39843</v>
      </c>
      <c r="C1062" s="662">
        <f t="shared" si="2653"/>
        <v>0</v>
      </c>
      <c r="D1062" s="662">
        <f t="shared" si="2653"/>
        <v>0</v>
      </c>
      <c r="E1062" s="662">
        <f t="shared" si="2653"/>
        <v>0</v>
      </c>
      <c r="F1062" s="662">
        <f t="shared" si="2653"/>
        <v>0</v>
      </c>
      <c r="G1062" s="662">
        <f t="shared" si="2653"/>
        <v>0</v>
      </c>
      <c r="H1062" s="662">
        <f t="shared" si="2653"/>
        <v>0</v>
      </c>
      <c r="I1062" s="662">
        <f t="shared" si="2653"/>
        <v>0</v>
      </c>
      <c r="J1062" s="662">
        <f t="shared" si="2653"/>
        <v>0</v>
      </c>
      <c r="K1062" s="662">
        <f t="shared" si="2653"/>
        <v>0</v>
      </c>
      <c r="L1062" s="662">
        <f t="shared" si="2653"/>
        <v>0</v>
      </c>
      <c r="U1062" s="663"/>
      <c r="Z1062" s="663"/>
      <c r="AA1062" s="663"/>
      <c r="AB1062" s="663"/>
      <c r="AC1062" s="663"/>
      <c r="AD1062" s="663"/>
      <c r="AE1062" s="663"/>
      <c r="AF1062" s="663"/>
      <c r="AG1062" s="663"/>
      <c r="AH1062" s="663"/>
      <c r="AI1062" s="663"/>
      <c r="AJ1062" s="663"/>
      <c r="AK1062" s="663"/>
      <c r="AL1062" s="663"/>
      <c r="AM1062" s="663"/>
      <c r="AN1062" s="663"/>
    </row>
    <row r="1063" spans="2:40" ht="14.45" hidden="1" customHeight="1" x14ac:dyDescent="0.25">
      <c r="B1063" s="936">
        <f t="shared" ref="B1063:L1063" si="2654">B1047</f>
        <v>39843</v>
      </c>
      <c r="C1063" s="662">
        <f t="shared" si="2654"/>
        <v>0</v>
      </c>
      <c r="D1063" s="662">
        <f t="shared" si="2654"/>
        <v>0</v>
      </c>
      <c r="E1063" s="662">
        <f t="shared" si="2654"/>
        <v>0</v>
      </c>
      <c r="F1063" s="662">
        <f t="shared" si="2654"/>
        <v>0</v>
      </c>
      <c r="G1063" s="662">
        <f t="shared" si="2654"/>
        <v>0</v>
      </c>
      <c r="H1063" s="662">
        <f t="shared" si="2654"/>
        <v>0</v>
      </c>
      <c r="I1063" s="662">
        <f t="shared" si="2654"/>
        <v>0</v>
      </c>
      <c r="J1063" s="662">
        <f t="shared" si="2654"/>
        <v>0</v>
      </c>
      <c r="K1063" s="662">
        <f t="shared" si="2654"/>
        <v>0</v>
      </c>
      <c r="L1063" s="662">
        <f t="shared" si="2654"/>
        <v>0</v>
      </c>
      <c r="U1063" s="663"/>
      <c r="Z1063" s="663"/>
      <c r="AA1063" s="663"/>
      <c r="AB1063" s="663"/>
      <c r="AC1063" s="663"/>
      <c r="AD1063" s="663"/>
      <c r="AE1063" s="663"/>
      <c r="AF1063" s="663"/>
      <c r="AG1063" s="663"/>
      <c r="AH1063" s="663"/>
      <c r="AI1063" s="663"/>
      <c r="AJ1063" s="663"/>
      <c r="AK1063" s="663"/>
      <c r="AL1063" s="663"/>
      <c r="AM1063" s="663"/>
      <c r="AN1063" s="663"/>
    </row>
    <row r="1064" spans="2:40" ht="14.45" hidden="1" customHeight="1" x14ac:dyDescent="0.25">
      <c r="B1064" s="936">
        <f>B998</f>
        <v>41539</v>
      </c>
      <c r="C1064" s="662">
        <f t="shared" ref="C1064:L1064" si="2655">C1048</f>
        <v>1882530.1204819279</v>
      </c>
      <c r="D1064" s="662">
        <f t="shared" si="2655"/>
        <v>2823795.1807228918</v>
      </c>
      <c r="E1064" s="662">
        <f t="shared" si="2655"/>
        <v>3765060.2409638558</v>
      </c>
      <c r="F1064" s="662">
        <f t="shared" si="2655"/>
        <v>4706325.3012048192</v>
      </c>
      <c r="G1064" s="662">
        <f t="shared" si="2655"/>
        <v>5647590.3614457836</v>
      </c>
      <c r="H1064" s="662">
        <f t="shared" si="2655"/>
        <v>6588855.4216867471</v>
      </c>
      <c r="I1064" s="662">
        <f t="shared" si="2655"/>
        <v>7530120.4819277115</v>
      </c>
      <c r="J1064" s="662">
        <f t="shared" si="2655"/>
        <v>8471385.542168675</v>
      </c>
      <c r="K1064" s="662">
        <f t="shared" si="2655"/>
        <v>9412650.6024096385</v>
      </c>
      <c r="L1064" s="662">
        <f t="shared" si="2655"/>
        <v>10353915.662650604</v>
      </c>
      <c r="U1064" s="663"/>
      <c r="Z1064" s="663"/>
      <c r="AA1064" s="663"/>
      <c r="AB1064" s="663"/>
      <c r="AC1064" s="663"/>
      <c r="AD1064" s="663"/>
      <c r="AE1064" s="663"/>
      <c r="AF1064" s="663"/>
      <c r="AG1064" s="663"/>
      <c r="AH1064" s="663"/>
      <c r="AI1064" s="663"/>
      <c r="AJ1064" s="663"/>
      <c r="AK1064" s="663"/>
      <c r="AL1064" s="663"/>
      <c r="AM1064" s="663"/>
      <c r="AN1064" s="663"/>
    </row>
    <row r="1065" spans="2:40" ht="14.45" hidden="1" customHeight="1" x14ac:dyDescent="0.25">
      <c r="C1065" s="882" t="str">
        <f ca="1">IF(ISERROR(XIRR(INDIRECT(C1067):C1064,INDIRECT($B1067):$B1064,-20%)),XIRR(INDIRECT(C1067):C1064,INDIRECT($B1067):$B1064,20%),"N/A")</f>
        <v>N/A</v>
      </c>
      <c r="D1065" s="882" t="str">
        <f ca="1">IF(ISERROR(XIRR(INDIRECT(D1067):D1064,INDIRECT($B1067):$B1064,-20%)),XIRR(INDIRECT(D1067):D1064,INDIRECT($B1067):$B1064,20%),"N/A")</f>
        <v>N/A</v>
      </c>
      <c r="E1065" s="882">
        <f ca="1">IF(ISERROR(XIRR(INDIRECT(E1067):E1064,INDIRECT($B1067):$B1064,-20%)),XIRR(INDIRECT(E1067):E1064,INDIRECT($B1067):$B1064,20%),"N/A")</f>
        <v>3.8688549399375924E-2</v>
      </c>
      <c r="F1065" s="882">
        <f ca="1">IF(ISERROR(XIRR(INDIRECT(F1067):F1064,INDIRECT($B1067):$B1064,-20%)),XIRR(INDIRECT(F1067):F1064,INDIRECT($B1067):$B1064,20%),"N/A")</f>
        <v>7.8094807267189051E-2</v>
      </c>
      <c r="G1065" s="882">
        <f ca="1">IF(ISERROR(XIRR(INDIRECT(G1067):G1064,INDIRECT($B1067):$B1064,-20%)),XIRR(INDIRECT(G1067):G1064,INDIRECT($B1067):$B1064,20%),"N/A")</f>
        <v>0.11135597825050356</v>
      </c>
      <c r="H1065" s="882">
        <f ca="1">IF(ISERROR(XIRR(INDIRECT(H1067):H1064,INDIRECT($B1067):$B1064,-20%)),XIRR(INDIRECT(H1067):H1064,INDIRECT($B1067):$B1064,20%),"N/A")</f>
        <v>0.14024584889411928</v>
      </c>
      <c r="I1065" s="882">
        <f ca="1">IF(ISERROR(XIRR(INDIRECT(I1067):I1064,INDIRECT($B1067):$B1064,-20%)),XIRR(INDIRECT(I1067):I1064,INDIRECT($B1067):$B1064,20%),"N/A")</f>
        <v>0.16585387587547304</v>
      </c>
      <c r="J1065" s="882">
        <f ca="1">IF(ISERROR(XIRR(INDIRECT(J1067):J1064,INDIRECT($B1067):$B1064,-20%)),XIRR(INDIRECT(J1067):J1064,INDIRECT($B1067):$B1064,20%),"N/A")</f>
        <v>0.18889990448951721</v>
      </c>
      <c r="K1065" s="882">
        <f ca="1">IF(ISERROR(XIRR(INDIRECT(K1067):K1064,INDIRECT($B1067):$B1064,-20%)),XIRR(INDIRECT(K1067):K1064,INDIRECT($B1067):$B1064,20%),"N/A")</f>
        <v>0.20988579392433171</v>
      </c>
      <c r="L1065" s="882">
        <f ca="1">IF(ISERROR(XIRR(INDIRECT(L1067):L1064,INDIRECT($B1067):$B1064,-20%)),XIRR(INDIRECT(L1067):L1064,INDIRECT($B1067):$B1064,20%),"N/A")</f>
        <v>0.22917614579200749</v>
      </c>
      <c r="U1065" s="663"/>
      <c r="Z1065" s="663"/>
      <c r="AA1065" s="663"/>
      <c r="AB1065" s="663"/>
      <c r="AC1065" s="663"/>
      <c r="AD1065" s="663"/>
      <c r="AE1065" s="663"/>
      <c r="AF1065" s="663"/>
      <c r="AG1065" s="663"/>
      <c r="AH1065" s="663"/>
      <c r="AI1065" s="663"/>
      <c r="AJ1065" s="663"/>
      <c r="AK1065" s="663"/>
      <c r="AL1065" s="663"/>
      <c r="AM1065" s="663"/>
      <c r="AN1065" s="663"/>
    </row>
    <row r="1066" spans="2:40" ht="14.45" hidden="1" customHeight="1" x14ac:dyDescent="0.25">
      <c r="B1066" s="898">
        <f>IF(C1054&lt;&gt;0,ROW(C1054),IF(C1055&lt;&gt;0,ROW(C1055),IF(C1056&lt;&gt;0,ROW(C1056),IF(C1057&lt;&gt;0,ROW(C1057),IF(C1058&lt;&gt;0,ROW(C1058),IF(C1059&lt;&gt;0,ROW(C1059),IF(C1060&lt;&gt;0,ROW(C1060),IF(C1061&lt;&gt;0,ROW(C1061),IF(C1062&lt;&gt;0,ROW(C1062),IF(C1063&lt;&gt;0,ROW(C1063)))))))))))</f>
        <v>1054</v>
      </c>
      <c r="C1066" s="882"/>
      <c r="U1066" s="663"/>
      <c r="Z1066" s="663"/>
      <c r="AA1066" s="663"/>
      <c r="AB1066" s="663"/>
      <c r="AC1066" s="663"/>
      <c r="AD1066" s="663"/>
      <c r="AE1066" s="663"/>
      <c r="AF1066" s="663"/>
      <c r="AG1066" s="663"/>
      <c r="AH1066" s="663"/>
      <c r="AI1066" s="663"/>
      <c r="AJ1066" s="663"/>
      <c r="AK1066" s="663"/>
      <c r="AL1066" s="663"/>
      <c r="AM1066" s="663"/>
      <c r="AN1066" s="663"/>
    </row>
    <row r="1067" spans="2:40" ht="14.45" hidden="1" customHeight="1" x14ac:dyDescent="0.25">
      <c r="B1067" s="899" t="str">
        <f>CONCATENATE(IF(COLUMN(B1066)&lt;=26,CHAR(96+COLUMN(B1066)),(CHAR(96+(ROUNDDOWN((COLUMN(B1066)-1)/26,0)))&amp;CHAR(96+IF(MOD(COLUMN(B1066),26)=0,26,MOD(COLUMN(B1066),26))))),B1066)</f>
        <v>b1054</v>
      </c>
      <c r="C1067" s="899" t="str">
        <f>CONCATENATE(IF(COLUMN(C1065)&lt;=26,CHAR(96+COLUMN(C1065)),(CHAR(96+(ROUNDDOWN((COLUMN(C1065)-1)/26,0)))&amp;CHAR(96+IF(MOD(COLUMN(C1065),26)=0,26,MOD(COLUMN(C1065),26))))),$B1066)</f>
        <v>c1054</v>
      </c>
      <c r="D1067" s="899" t="str">
        <f t="shared" ref="D1067" si="2656">CONCATENATE(IF(COLUMN(D1065)&lt;=26,CHAR(96+COLUMN(D1065)),(CHAR(96+(ROUNDDOWN((COLUMN(D1065)-1)/26,0)))&amp;CHAR(96+IF(MOD(COLUMN(D1065),26)=0,26,MOD(COLUMN(D1065),26))))),$B1066)</f>
        <v>d1054</v>
      </c>
      <c r="E1067" s="899" t="str">
        <f t="shared" ref="E1067" si="2657">CONCATENATE(IF(COLUMN(E1065)&lt;=26,CHAR(96+COLUMN(E1065)),(CHAR(96+(ROUNDDOWN((COLUMN(E1065)-1)/26,0)))&amp;CHAR(96+IF(MOD(COLUMN(E1065),26)=0,26,MOD(COLUMN(E1065),26))))),$B1066)</f>
        <v>e1054</v>
      </c>
      <c r="F1067" s="899" t="str">
        <f t="shared" ref="F1067" si="2658">CONCATENATE(IF(COLUMN(F1065)&lt;=26,CHAR(96+COLUMN(F1065)),(CHAR(96+(ROUNDDOWN((COLUMN(F1065)-1)/26,0)))&amp;CHAR(96+IF(MOD(COLUMN(F1065),26)=0,26,MOD(COLUMN(F1065),26))))),$B1066)</f>
        <v>f1054</v>
      </c>
      <c r="G1067" s="899" t="str">
        <f t="shared" ref="G1067" si="2659">CONCATENATE(IF(COLUMN(G1065)&lt;=26,CHAR(96+COLUMN(G1065)),(CHAR(96+(ROUNDDOWN((COLUMN(G1065)-1)/26,0)))&amp;CHAR(96+IF(MOD(COLUMN(G1065),26)=0,26,MOD(COLUMN(G1065),26))))),$B1066)</f>
        <v>g1054</v>
      </c>
      <c r="H1067" s="899" t="str">
        <f t="shared" ref="H1067" si="2660">CONCATENATE(IF(COLUMN(H1065)&lt;=26,CHAR(96+COLUMN(H1065)),(CHAR(96+(ROUNDDOWN((COLUMN(H1065)-1)/26,0)))&amp;CHAR(96+IF(MOD(COLUMN(H1065),26)=0,26,MOD(COLUMN(H1065),26))))),$B1066)</f>
        <v>h1054</v>
      </c>
      <c r="I1067" s="899" t="str">
        <f t="shared" ref="I1067" si="2661">CONCATENATE(IF(COLUMN(I1065)&lt;=26,CHAR(96+COLUMN(I1065)),(CHAR(96+(ROUNDDOWN((COLUMN(I1065)-1)/26,0)))&amp;CHAR(96+IF(MOD(COLUMN(I1065),26)=0,26,MOD(COLUMN(I1065),26))))),$B1066)</f>
        <v>i1054</v>
      </c>
      <c r="J1067" s="899" t="str">
        <f t="shared" ref="J1067" si="2662">CONCATENATE(IF(COLUMN(J1065)&lt;=26,CHAR(96+COLUMN(J1065)),(CHAR(96+(ROUNDDOWN((COLUMN(J1065)-1)/26,0)))&amp;CHAR(96+IF(MOD(COLUMN(J1065),26)=0,26,MOD(COLUMN(J1065),26))))),$B1066)</f>
        <v>j1054</v>
      </c>
      <c r="K1067" s="899" t="str">
        <f t="shared" ref="K1067" si="2663">CONCATENATE(IF(COLUMN(K1065)&lt;=26,CHAR(96+COLUMN(K1065)),(CHAR(96+(ROUNDDOWN((COLUMN(K1065)-1)/26,0)))&amp;CHAR(96+IF(MOD(COLUMN(K1065),26)=0,26,MOD(COLUMN(K1065),26))))),$B1066)</f>
        <v>k1054</v>
      </c>
      <c r="L1067" s="899" t="str">
        <f t="shared" ref="L1067" si="2664">CONCATENATE(IF(COLUMN(L1065)&lt;=26,CHAR(96+COLUMN(L1065)),(CHAR(96+(ROUNDDOWN((COLUMN(L1065)-1)/26,0)))&amp;CHAR(96+IF(MOD(COLUMN(L1065),26)=0,26,MOD(COLUMN(L1065),26))))),$B1066)</f>
        <v>l1054</v>
      </c>
      <c r="U1067" s="663"/>
      <c r="Z1067" s="663"/>
      <c r="AA1067" s="663"/>
      <c r="AB1067" s="663"/>
      <c r="AC1067" s="663"/>
      <c r="AD1067" s="663"/>
      <c r="AE1067" s="663"/>
      <c r="AF1067" s="663"/>
      <c r="AG1067" s="663"/>
      <c r="AH1067" s="663"/>
      <c r="AI1067" s="663"/>
      <c r="AJ1067" s="663"/>
      <c r="AK1067" s="663"/>
      <c r="AL1067" s="663"/>
      <c r="AM1067" s="663"/>
      <c r="AN1067" s="663"/>
    </row>
    <row r="1068" spans="2:40" ht="14.45" hidden="1" customHeight="1" x14ac:dyDescent="0.25">
      <c r="C1068" s="662"/>
      <c r="U1068" s="663"/>
      <c r="Z1068" s="663"/>
      <c r="AA1068" s="663"/>
      <c r="AB1068" s="663"/>
      <c r="AC1068" s="663"/>
      <c r="AD1068" s="663"/>
      <c r="AE1068" s="663"/>
      <c r="AF1068" s="663"/>
      <c r="AG1068" s="663"/>
      <c r="AH1068" s="663"/>
      <c r="AI1068" s="663"/>
      <c r="AJ1068" s="663"/>
      <c r="AK1068" s="663"/>
      <c r="AL1068" s="663"/>
      <c r="AM1068" s="663"/>
      <c r="AN1068" s="663"/>
    </row>
    <row r="1069" spans="2:40" ht="14.45" hidden="1" customHeight="1" x14ac:dyDescent="0.25">
      <c r="C1069" s="662"/>
      <c r="U1069" s="663"/>
      <c r="Z1069" s="663"/>
      <c r="AA1069" s="663"/>
      <c r="AB1069" s="663"/>
      <c r="AC1069" s="663"/>
      <c r="AD1069" s="663"/>
      <c r="AE1069" s="663"/>
      <c r="AF1069" s="663"/>
      <c r="AG1069" s="663"/>
      <c r="AH1069" s="663"/>
      <c r="AI1069" s="663"/>
      <c r="AJ1069" s="663"/>
      <c r="AK1069" s="663"/>
      <c r="AL1069" s="663"/>
      <c r="AM1069" s="663"/>
      <c r="AN1069" s="663"/>
    </row>
    <row r="1070" spans="2:40" ht="14.45" hidden="1" customHeight="1" x14ac:dyDescent="0.25">
      <c r="B1070" s="936">
        <f>B1054</f>
        <v>39113</v>
      </c>
      <c r="C1070" s="662">
        <f>C1054</f>
        <v>-1000000</v>
      </c>
      <c r="D1070" s="662">
        <f t="shared" ref="D1070:L1070" si="2665">D1054</f>
        <v>-1000000</v>
      </c>
      <c r="E1070" s="662">
        <f t="shared" si="2665"/>
        <v>-1000000</v>
      </c>
      <c r="F1070" s="662">
        <f t="shared" si="2665"/>
        <v>-1000000</v>
      </c>
      <c r="G1070" s="662">
        <f t="shared" si="2665"/>
        <v>-1000000</v>
      </c>
      <c r="H1070" s="662">
        <f t="shared" si="2665"/>
        <v>-1000000</v>
      </c>
      <c r="I1070" s="662">
        <f t="shared" si="2665"/>
        <v>-1000000</v>
      </c>
      <c r="J1070" s="662">
        <f t="shared" si="2665"/>
        <v>-1000000</v>
      </c>
      <c r="K1070" s="662">
        <f t="shared" si="2665"/>
        <v>-1000000</v>
      </c>
      <c r="L1070" s="662">
        <f t="shared" si="2665"/>
        <v>-1000000</v>
      </c>
      <c r="U1070" s="663"/>
      <c r="Z1070" s="663"/>
      <c r="AA1070" s="663"/>
      <c r="AB1070" s="663"/>
      <c r="AC1070" s="663"/>
      <c r="AD1070" s="663"/>
      <c r="AE1070" s="663"/>
      <c r="AF1070" s="663"/>
      <c r="AG1070" s="663"/>
      <c r="AH1070" s="663"/>
      <c r="AI1070" s="663"/>
      <c r="AJ1070" s="663"/>
      <c r="AK1070" s="663"/>
      <c r="AL1070" s="663"/>
      <c r="AM1070" s="663"/>
      <c r="AN1070" s="663"/>
    </row>
    <row r="1071" spans="2:40" ht="14.45" hidden="1" customHeight="1" x14ac:dyDescent="0.25">
      <c r="B1071" s="936">
        <f t="shared" ref="B1071:L1071" si="2666">B1055</f>
        <v>39478</v>
      </c>
      <c r="C1071" s="662">
        <f t="shared" si="2666"/>
        <v>-2000000</v>
      </c>
      <c r="D1071" s="662">
        <f t="shared" si="2666"/>
        <v>-2000000</v>
      </c>
      <c r="E1071" s="662">
        <f t="shared" si="2666"/>
        <v>-2000000</v>
      </c>
      <c r="F1071" s="662">
        <f t="shared" si="2666"/>
        <v>-2000000</v>
      </c>
      <c r="G1071" s="662">
        <f t="shared" si="2666"/>
        <v>-2000000</v>
      </c>
      <c r="H1071" s="662">
        <f t="shared" si="2666"/>
        <v>-2000000</v>
      </c>
      <c r="I1071" s="662">
        <f t="shared" si="2666"/>
        <v>-2000000</v>
      </c>
      <c r="J1071" s="662">
        <f t="shared" si="2666"/>
        <v>-2000000</v>
      </c>
      <c r="K1071" s="662">
        <f t="shared" si="2666"/>
        <v>-2000000</v>
      </c>
      <c r="L1071" s="662">
        <f t="shared" si="2666"/>
        <v>-2000000</v>
      </c>
      <c r="U1071" s="663"/>
      <c r="Z1071" s="663"/>
      <c r="AA1071" s="663"/>
      <c r="AB1071" s="663"/>
      <c r="AC1071" s="663"/>
      <c r="AD1071" s="663"/>
      <c r="AE1071" s="663"/>
      <c r="AF1071" s="663"/>
      <c r="AG1071" s="663"/>
      <c r="AH1071" s="663"/>
      <c r="AI1071" s="663"/>
      <c r="AJ1071" s="663"/>
      <c r="AK1071" s="663"/>
      <c r="AL1071" s="663"/>
      <c r="AM1071" s="663"/>
      <c r="AN1071" s="663"/>
    </row>
    <row r="1072" spans="2:40" ht="14.45" hidden="1" customHeight="1" x14ac:dyDescent="0.25">
      <c r="B1072" s="936">
        <f t="shared" ref="B1072:L1072" si="2667">B1056</f>
        <v>39843</v>
      </c>
      <c r="C1072" s="662">
        <f t="shared" si="2667"/>
        <v>0</v>
      </c>
      <c r="D1072" s="662">
        <f t="shared" si="2667"/>
        <v>0</v>
      </c>
      <c r="E1072" s="662">
        <f t="shared" si="2667"/>
        <v>0</v>
      </c>
      <c r="F1072" s="662">
        <f t="shared" si="2667"/>
        <v>0</v>
      </c>
      <c r="G1072" s="662">
        <f t="shared" si="2667"/>
        <v>0</v>
      </c>
      <c r="H1072" s="662">
        <f t="shared" si="2667"/>
        <v>0</v>
      </c>
      <c r="I1072" s="662">
        <f t="shared" si="2667"/>
        <v>0</v>
      </c>
      <c r="J1072" s="662">
        <f t="shared" si="2667"/>
        <v>0</v>
      </c>
      <c r="K1072" s="662">
        <f t="shared" si="2667"/>
        <v>0</v>
      </c>
      <c r="L1072" s="662">
        <f t="shared" si="2667"/>
        <v>0</v>
      </c>
      <c r="U1072" s="663"/>
      <c r="Z1072" s="663"/>
      <c r="AA1072" s="663"/>
      <c r="AB1072" s="663"/>
      <c r="AC1072" s="663"/>
      <c r="AD1072" s="663"/>
      <c r="AE1072" s="663"/>
      <c r="AF1072" s="663"/>
      <c r="AG1072" s="663"/>
      <c r="AH1072" s="663"/>
      <c r="AI1072" s="663"/>
      <c r="AJ1072" s="663"/>
      <c r="AK1072" s="663"/>
      <c r="AL1072" s="663"/>
      <c r="AM1072" s="663"/>
      <c r="AN1072" s="663"/>
    </row>
    <row r="1073" spans="2:40" ht="14.45" hidden="1" customHeight="1" x14ac:dyDescent="0.25">
      <c r="B1073" s="936">
        <f t="shared" ref="B1073:L1073" si="2668">B1057</f>
        <v>39843</v>
      </c>
      <c r="C1073" s="662">
        <f t="shared" si="2668"/>
        <v>0</v>
      </c>
      <c r="D1073" s="662">
        <f t="shared" si="2668"/>
        <v>0</v>
      </c>
      <c r="E1073" s="662">
        <f t="shared" si="2668"/>
        <v>0</v>
      </c>
      <c r="F1073" s="662">
        <f t="shared" si="2668"/>
        <v>0</v>
      </c>
      <c r="G1073" s="662">
        <f t="shared" si="2668"/>
        <v>0</v>
      </c>
      <c r="H1073" s="662">
        <f t="shared" si="2668"/>
        <v>0</v>
      </c>
      <c r="I1073" s="662">
        <f t="shared" si="2668"/>
        <v>0</v>
      </c>
      <c r="J1073" s="662">
        <f t="shared" si="2668"/>
        <v>0</v>
      </c>
      <c r="K1073" s="662">
        <f t="shared" si="2668"/>
        <v>0</v>
      </c>
      <c r="L1073" s="662">
        <f t="shared" si="2668"/>
        <v>0</v>
      </c>
      <c r="U1073" s="663"/>
      <c r="Z1073" s="663"/>
      <c r="AA1073" s="663"/>
      <c r="AB1073" s="663"/>
      <c r="AC1073" s="663"/>
      <c r="AD1073" s="663"/>
      <c r="AE1073" s="663"/>
      <c r="AF1073" s="663"/>
      <c r="AG1073" s="663"/>
      <c r="AH1073" s="663"/>
      <c r="AI1073" s="663"/>
      <c r="AJ1073" s="663"/>
      <c r="AK1073" s="663"/>
      <c r="AL1073" s="663"/>
      <c r="AM1073" s="663"/>
      <c r="AN1073" s="663"/>
    </row>
    <row r="1074" spans="2:40" ht="14.45" hidden="1" customHeight="1" x14ac:dyDescent="0.25">
      <c r="B1074" s="936">
        <f t="shared" ref="B1074:L1074" si="2669">B1058</f>
        <v>39843</v>
      </c>
      <c r="C1074" s="662">
        <f t="shared" si="2669"/>
        <v>0</v>
      </c>
      <c r="D1074" s="662">
        <f t="shared" si="2669"/>
        <v>0</v>
      </c>
      <c r="E1074" s="662">
        <f t="shared" si="2669"/>
        <v>0</v>
      </c>
      <c r="F1074" s="662">
        <f t="shared" si="2669"/>
        <v>0</v>
      </c>
      <c r="G1074" s="662">
        <f t="shared" si="2669"/>
        <v>0</v>
      </c>
      <c r="H1074" s="662">
        <f t="shared" si="2669"/>
        <v>0</v>
      </c>
      <c r="I1074" s="662">
        <f t="shared" si="2669"/>
        <v>0</v>
      </c>
      <c r="J1074" s="662">
        <f t="shared" si="2669"/>
        <v>0</v>
      </c>
      <c r="K1074" s="662">
        <f t="shared" si="2669"/>
        <v>0</v>
      </c>
      <c r="L1074" s="662">
        <f t="shared" si="2669"/>
        <v>0</v>
      </c>
      <c r="U1074" s="663"/>
      <c r="Z1074" s="663"/>
      <c r="AA1074" s="663"/>
      <c r="AB1074" s="663"/>
      <c r="AC1074" s="663"/>
      <c r="AD1074" s="663"/>
      <c r="AE1074" s="663"/>
      <c r="AF1074" s="663"/>
      <c r="AG1074" s="663"/>
      <c r="AH1074" s="663"/>
      <c r="AI1074" s="663"/>
      <c r="AJ1074" s="663"/>
      <c r="AK1074" s="663"/>
      <c r="AL1074" s="663"/>
      <c r="AM1074" s="663"/>
      <c r="AN1074" s="663"/>
    </row>
    <row r="1075" spans="2:40" ht="14.45" hidden="1" customHeight="1" x14ac:dyDescent="0.25">
      <c r="B1075" s="936">
        <f t="shared" ref="B1075:L1075" si="2670">B1059</f>
        <v>39843</v>
      </c>
      <c r="C1075" s="662">
        <f t="shared" si="2670"/>
        <v>0</v>
      </c>
      <c r="D1075" s="662">
        <f t="shared" si="2670"/>
        <v>0</v>
      </c>
      <c r="E1075" s="662">
        <f t="shared" si="2670"/>
        <v>0</v>
      </c>
      <c r="F1075" s="662">
        <f t="shared" si="2670"/>
        <v>0</v>
      </c>
      <c r="G1075" s="662">
        <f t="shared" si="2670"/>
        <v>0</v>
      </c>
      <c r="H1075" s="662">
        <f t="shared" si="2670"/>
        <v>0</v>
      </c>
      <c r="I1075" s="662">
        <f t="shared" si="2670"/>
        <v>0</v>
      </c>
      <c r="J1075" s="662">
        <f t="shared" si="2670"/>
        <v>0</v>
      </c>
      <c r="K1075" s="662">
        <f t="shared" si="2670"/>
        <v>0</v>
      </c>
      <c r="L1075" s="662">
        <f t="shared" si="2670"/>
        <v>0</v>
      </c>
      <c r="U1075" s="663"/>
      <c r="Z1075" s="663"/>
      <c r="AA1075" s="663"/>
      <c r="AB1075" s="663"/>
      <c r="AC1075" s="663"/>
      <c r="AD1075" s="663"/>
      <c r="AE1075" s="663"/>
      <c r="AF1075" s="663"/>
      <c r="AG1075" s="663"/>
      <c r="AH1075" s="663"/>
      <c r="AI1075" s="663"/>
      <c r="AJ1075" s="663"/>
      <c r="AK1075" s="663"/>
      <c r="AL1075" s="663"/>
      <c r="AM1075" s="663"/>
      <c r="AN1075" s="663"/>
    </row>
    <row r="1076" spans="2:40" ht="14.45" hidden="1" customHeight="1" x14ac:dyDescent="0.25">
      <c r="B1076" s="936">
        <f t="shared" ref="B1076:L1076" si="2671">B1060</f>
        <v>39843</v>
      </c>
      <c r="C1076" s="662">
        <f t="shared" si="2671"/>
        <v>0</v>
      </c>
      <c r="D1076" s="662">
        <f t="shared" si="2671"/>
        <v>0</v>
      </c>
      <c r="E1076" s="662">
        <f t="shared" si="2671"/>
        <v>0</v>
      </c>
      <c r="F1076" s="662">
        <f t="shared" si="2671"/>
        <v>0</v>
      </c>
      <c r="G1076" s="662">
        <f t="shared" si="2671"/>
        <v>0</v>
      </c>
      <c r="H1076" s="662">
        <f t="shared" si="2671"/>
        <v>0</v>
      </c>
      <c r="I1076" s="662">
        <f t="shared" si="2671"/>
        <v>0</v>
      </c>
      <c r="J1076" s="662">
        <f t="shared" si="2671"/>
        <v>0</v>
      </c>
      <c r="K1076" s="662">
        <f t="shared" si="2671"/>
        <v>0</v>
      </c>
      <c r="L1076" s="662">
        <f t="shared" si="2671"/>
        <v>0</v>
      </c>
      <c r="U1076" s="663"/>
      <c r="Z1076" s="663"/>
      <c r="AA1076" s="663"/>
      <c r="AB1076" s="663"/>
      <c r="AC1076" s="663"/>
      <c r="AD1076" s="663"/>
      <c r="AE1076" s="663"/>
      <c r="AF1076" s="663"/>
      <c r="AG1076" s="663"/>
      <c r="AH1076" s="663"/>
      <c r="AI1076" s="663"/>
      <c r="AJ1076" s="663"/>
      <c r="AK1076" s="663"/>
      <c r="AL1076" s="663"/>
      <c r="AM1076" s="663"/>
      <c r="AN1076" s="663"/>
    </row>
    <row r="1077" spans="2:40" ht="14.45" hidden="1" customHeight="1" x14ac:dyDescent="0.25">
      <c r="B1077" s="936">
        <f t="shared" ref="B1077:L1077" si="2672">B1061</f>
        <v>39843</v>
      </c>
      <c r="C1077" s="662">
        <f t="shared" si="2672"/>
        <v>0</v>
      </c>
      <c r="D1077" s="662">
        <f t="shared" si="2672"/>
        <v>0</v>
      </c>
      <c r="E1077" s="662">
        <f t="shared" si="2672"/>
        <v>0</v>
      </c>
      <c r="F1077" s="662">
        <f t="shared" si="2672"/>
        <v>0</v>
      </c>
      <c r="G1077" s="662">
        <f t="shared" si="2672"/>
        <v>0</v>
      </c>
      <c r="H1077" s="662">
        <f t="shared" si="2672"/>
        <v>0</v>
      </c>
      <c r="I1077" s="662">
        <f t="shared" si="2672"/>
        <v>0</v>
      </c>
      <c r="J1077" s="662">
        <f t="shared" si="2672"/>
        <v>0</v>
      </c>
      <c r="K1077" s="662">
        <f t="shared" si="2672"/>
        <v>0</v>
      </c>
      <c r="L1077" s="662">
        <f t="shared" si="2672"/>
        <v>0</v>
      </c>
      <c r="U1077" s="663"/>
      <c r="Z1077" s="663"/>
      <c r="AA1077" s="663"/>
      <c r="AB1077" s="663"/>
      <c r="AC1077" s="663"/>
      <c r="AD1077" s="663"/>
      <c r="AE1077" s="663"/>
      <c r="AF1077" s="663"/>
      <c r="AG1077" s="663"/>
      <c r="AH1077" s="663"/>
      <c r="AI1077" s="663"/>
      <c r="AJ1077" s="663"/>
      <c r="AK1077" s="663"/>
      <c r="AL1077" s="663"/>
      <c r="AM1077" s="663"/>
      <c r="AN1077" s="663"/>
    </row>
    <row r="1078" spans="2:40" ht="14.45" hidden="1" customHeight="1" x14ac:dyDescent="0.25">
      <c r="B1078" s="936">
        <f t="shared" ref="B1078:L1078" si="2673">B1062</f>
        <v>39843</v>
      </c>
      <c r="C1078" s="662">
        <f t="shared" si="2673"/>
        <v>0</v>
      </c>
      <c r="D1078" s="662">
        <f t="shared" si="2673"/>
        <v>0</v>
      </c>
      <c r="E1078" s="662">
        <f t="shared" si="2673"/>
        <v>0</v>
      </c>
      <c r="F1078" s="662">
        <f t="shared" si="2673"/>
        <v>0</v>
      </c>
      <c r="G1078" s="662">
        <f t="shared" si="2673"/>
        <v>0</v>
      </c>
      <c r="H1078" s="662">
        <f t="shared" si="2673"/>
        <v>0</v>
      </c>
      <c r="I1078" s="662">
        <f t="shared" si="2673"/>
        <v>0</v>
      </c>
      <c r="J1078" s="662">
        <f t="shared" si="2673"/>
        <v>0</v>
      </c>
      <c r="K1078" s="662">
        <f t="shared" si="2673"/>
        <v>0</v>
      </c>
      <c r="L1078" s="662">
        <f t="shared" si="2673"/>
        <v>0</v>
      </c>
      <c r="U1078" s="663"/>
      <c r="Z1078" s="663"/>
      <c r="AA1078" s="663"/>
      <c r="AB1078" s="663"/>
      <c r="AC1078" s="663"/>
      <c r="AD1078" s="663"/>
      <c r="AE1078" s="663"/>
      <c r="AF1078" s="663"/>
      <c r="AG1078" s="663"/>
      <c r="AH1078" s="663"/>
      <c r="AI1078" s="663"/>
      <c r="AJ1078" s="663"/>
      <c r="AK1078" s="663"/>
      <c r="AL1078" s="663"/>
      <c r="AM1078" s="663"/>
      <c r="AN1078" s="663"/>
    </row>
    <row r="1079" spans="2:40" ht="14.45" hidden="1" customHeight="1" x14ac:dyDescent="0.25">
      <c r="B1079" s="936">
        <f t="shared" ref="B1079:L1079" si="2674">B1063</f>
        <v>39843</v>
      </c>
      <c r="C1079" s="662">
        <f t="shared" si="2674"/>
        <v>0</v>
      </c>
      <c r="D1079" s="662">
        <f t="shared" si="2674"/>
        <v>0</v>
      </c>
      <c r="E1079" s="662">
        <f t="shared" si="2674"/>
        <v>0</v>
      </c>
      <c r="F1079" s="662">
        <f t="shared" si="2674"/>
        <v>0</v>
      </c>
      <c r="G1079" s="662">
        <f t="shared" si="2674"/>
        <v>0</v>
      </c>
      <c r="H1079" s="662">
        <f t="shared" si="2674"/>
        <v>0</v>
      </c>
      <c r="I1079" s="662">
        <f t="shared" si="2674"/>
        <v>0</v>
      </c>
      <c r="J1079" s="662">
        <f t="shared" si="2674"/>
        <v>0</v>
      </c>
      <c r="K1079" s="662">
        <f t="shared" si="2674"/>
        <v>0</v>
      </c>
      <c r="L1079" s="662">
        <f t="shared" si="2674"/>
        <v>0</v>
      </c>
      <c r="U1079" s="663"/>
      <c r="Z1079" s="663"/>
      <c r="AA1079" s="663"/>
      <c r="AB1079" s="663"/>
      <c r="AC1079" s="663"/>
      <c r="AD1079" s="663"/>
      <c r="AE1079" s="663"/>
      <c r="AF1079" s="663"/>
      <c r="AG1079" s="663"/>
      <c r="AH1079" s="663"/>
      <c r="AI1079" s="663"/>
      <c r="AJ1079" s="663"/>
      <c r="AK1079" s="663"/>
      <c r="AL1079" s="663"/>
      <c r="AM1079" s="663"/>
      <c r="AN1079" s="663"/>
    </row>
    <row r="1080" spans="2:40" ht="14.45" hidden="1" customHeight="1" x14ac:dyDescent="0.25">
      <c r="B1080" s="936">
        <f>B1014</f>
        <v>41719</v>
      </c>
      <c r="C1080" s="662">
        <f t="shared" ref="C1080:L1080" si="2675">C1064</f>
        <v>1882530.1204819279</v>
      </c>
      <c r="D1080" s="662">
        <f t="shared" si="2675"/>
        <v>2823795.1807228918</v>
      </c>
      <c r="E1080" s="662">
        <f t="shared" si="2675"/>
        <v>3765060.2409638558</v>
      </c>
      <c r="F1080" s="662">
        <f t="shared" si="2675"/>
        <v>4706325.3012048192</v>
      </c>
      <c r="G1080" s="662">
        <f t="shared" si="2675"/>
        <v>5647590.3614457836</v>
      </c>
      <c r="H1080" s="662">
        <f t="shared" si="2675"/>
        <v>6588855.4216867471</v>
      </c>
      <c r="I1080" s="662">
        <f t="shared" si="2675"/>
        <v>7530120.4819277115</v>
      </c>
      <c r="J1080" s="662">
        <f t="shared" si="2675"/>
        <v>8471385.542168675</v>
      </c>
      <c r="K1080" s="662">
        <f t="shared" si="2675"/>
        <v>9412650.6024096385</v>
      </c>
      <c r="L1080" s="662">
        <f t="shared" si="2675"/>
        <v>10353915.662650604</v>
      </c>
      <c r="U1080" s="663"/>
      <c r="Z1080" s="663"/>
      <c r="AA1080" s="663"/>
      <c r="AB1080" s="663"/>
      <c r="AC1080" s="663"/>
      <c r="AD1080" s="663"/>
      <c r="AE1080" s="663"/>
      <c r="AF1080" s="663"/>
      <c r="AG1080" s="663"/>
      <c r="AH1080" s="663"/>
      <c r="AI1080" s="663"/>
      <c r="AJ1080" s="663"/>
      <c r="AK1080" s="663"/>
      <c r="AL1080" s="663"/>
      <c r="AM1080" s="663"/>
      <c r="AN1080" s="663"/>
    </row>
    <row r="1081" spans="2:40" ht="14.45" hidden="1" customHeight="1" x14ac:dyDescent="0.25">
      <c r="C1081" s="882" t="str">
        <f ca="1">IF(ISERROR(XIRR(INDIRECT(C1083):C1080,INDIRECT($B1083):$B1080,-20%)),XIRR(INDIRECT(C1083):C1080,INDIRECT($B1083):$B1080,20%),"N/A")</f>
        <v>N/A</v>
      </c>
      <c r="D1081" s="882" t="str">
        <f ca="1">IF(ISERROR(XIRR(INDIRECT(D1083):D1080,INDIRECT($B1083):$B1080,-20%)),XIRR(INDIRECT(D1083):D1080,INDIRECT($B1083):$B1080,20%),"N/A")</f>
        <v>N/A</v>
      </c>
      <c r="E1081" s="882">
        <f ca="1">IF(ISERROR(XIRR(INDIRECT(E1083):E1080,INDIRECT($B1083):$B1080,-20%)),XIRR(INDIRECT(E1083):E1080,INDIRECT($B1083):$B1080,20%),"N/A")</f>
        <v>3.5692873597145097E-2</v>
      </c>
      <c r="F1081" s="882">
        <f ca="1">IF(ISERROR(XIRR(INDIRECT(F1083):F1080,INDIRECT($B1083):$B1080,-20%)),XIRR(INDIRECT(F1083):F1080,INDIRECT($B1083):$B1080,20%),"N/A")</f>
        <v>7.1951696276664742E-2</v>
      </c>
      <c r="G1081" s="882">
        <f ca="1">IF(ISERROR(XIRR(INDIRECT(G1083):G1080,INDIRECT($B1083):$B1080,-20%)),XIRR(INDIRECT(G1083):G1080,INDIRECT($B1083):$B1080,20%),"N/A")</f>
        <v>0.10248374342918398</v>
      </c>
      <c r="H1081" s="882">
        <f ca="1">IF(ISERROR(XIRR(INDIRECT(H1083):H1080,INDIRECT($B1083):$B1080,-20%)),XIRR(INDIRECT(H1083):H1080,INDIRECT($B1083):$B1080,20%),"N/A")</f>
        <v>0.128951233625412</v>
      </c>
      <c r="I1081" s="882">
        <f ca="1">IF(ISERROR(XIRR(INDIRECT(I1083):I1080,INDIRECT($B1083):$B1080,-20%)),XIRR(INDIRECT(I1083):I1080,INDIRECT($B1083):$B1080,20%),"N/A")</f>
        <v>0.15237289071083068</v>
      </c>
      <c r="J1081" s="882">
        <f ca="1">IF(ISERROR(XIRR(INDIRECT(J1083):J1080,INDIRECT($B1083):$B1080,-20%)),XIRR(INDIRECT(J1083):J1080,INDIRECT($B1083):$B1080,20%),"N/A")</f>
        <v>0.1734206259250641</v>
      </c>
      <c r="K1081" s="882">
        <f ca="1">IF(ISERROR(XIRR(INDIRECT(K1083):K1080,INDIRECT($B1083):$B1080,-20%)),XIRR(INDIRECT(K1083):K1080,INDIRECT($B1083):$B1080,20%),"N/A")</f>
        <v>0.1925621807575226</v>
      </c>
      <c r="L1081" s="882">
        <f ca="1">IF(ISERROR(XIRR(INDIRECT(L1083):L1080,INDIRECT($B1083):$B1080,-20%)),XIRR(INDIRECT(L1083):L1080,INDIRECT($B1083):$B1080,20%),"N/A")</f>
        <v>0.21013686060905459</v>
      </c>
      <c r="U1081" s="663"/>
      <c r="Z1081" s="663"/>
      <c r="AA1081" s="663"/>
      <c r="AB1081" s="663"/>
      <c r="AC1081" s="663"/>
      <c r="AD1081" s="663"/>
      <c r="AE1081" s="663"/>
      <c r="AF1081" s="663"/>
      <c r="AG1081" s="663"/>
      <c r="AH1081" s="663"/>
      <c r="AI1081" s="663"/>
      <c r="AJ1081" s="663"/>
      <c r="AK1081" s="663"/>
      <c r="AL1081" s="663"/>
      <c r="AM1081" s="663"/>
      <c r="AN1081" s="663"/>
    </row>
    <row r="1082" spans="2:40" ht="14.45" hidden="1" customHeight="1" x14ac:dyDescent="0.25">
      <c r="B1082" s="898">
        <f>IF(C1070&lt;&gt;0,ROW(C1070),IF(C1071&lt;&gt;0,ROW(C1071),IF(C1072&lt;&gt;0,ROW(C1072),IF(C1073&lt;&gt;0,ROW(C1073),IF(C1074&lt;&gt;0,ROW(C1074),IF(C1075&lt;&gt;0,ROW(C1075),IF(C1076&lt;&gt;0,ROW(C1076),IF(C1077&lt;&gt;0,ROW(C1077),IF(C1078&lt;&gt;0,ROW(C1078),IF(C1079&lt;&gt;0,ROW(C1079)))))))))))</f>
        <v>1070</v>
      </c>
      <c r="C1082" s="882"/>
      <c r="U1082" s="663"/>
      <c r="Z1082" s="663"/>
      <c r="AA1082" s="663"/>
      <c r="AB1082" s="663"/>
      <c r="AC1082" s="663"/>
      <c r="AD1082" s="663"/>
      <c r="AE1082" s="663"/>
      <c r="AF1082" s="663"/>
      <c r="AG1082" s="663"/>
      <c r="AH1082" s="663"/>
      <c r="AI1082" s="663"/>
      <c r="AJ1082" s="663"/>
      <c r="AK1082" s="663"/>
      <c r="AL1082" s="663"/>
      <c r="AM1082" s="663"/>
      <c r="AN1082" s="663"/>
    </row>
    <row r="1083" spans="2:40" ht="14.45" hidden="1" customHeight="1" x14ac:dyDescent="0.25">
      <c r="B1083" s="899" t="str">
        <f>CONCATENATE(IF(COLUMN(B1082)&lt;=26,CHAR(96+COLUMN(B1082)),(CHAR(96+(ROUNDDOWN((COLUMN(B1082)-1)/26,0)))&amp;CHAR(96+IF(MOD(COLUMN(B1082),26)=0,26,MOD(COLUMN(B1082),26))))),B1082)</f>
        <v>b1070</v>
      </c>
      <c r="C1083" s="899" t="str">
        <f>CONCATENATE(IF(COLUMN(C1081)&lt;=26,CHAR(96+COLUMN(C1081)),(CHAR(96+(ROUNDDOWN((COLUMN(C1081)-1)/26,0)))&amp;CHAR(96+IF(MOD(COLUMN(C1081),26)=0,26,MOD(COLUMN(C1081),26))))),$B1082)</f>
        <v>c1070</v>
      </c>
      <c r="D1083" s="899" t="str">
        <f t="shared" ref="D1083" si="2676">CONCATENATE(IF(COLUMN(D1081)&lt;=26,CHAR(96+COLUMN(D1081)),(CHAR(96+(ROUNDDOWN((COLUMN(D1081)-1)/26,0)))&amp;CHAR(96+IF(MOD(COLUMN(D1081),26)=0,26,MOD(COLUMN(D1081),26))))),$B1082)</f>
        <v>d1070</v>
      </c>
      <c r="E1083" s="899" t="str">
        <f t="shared" ref="E1083" si="2677">CONCATENATE(IF(COLUMN(E1081)&lt;=26,CHAR(96+COLUMN(E1081)),(CHAR(96+(ROUNDDOWN((COLUMN(E1081)-1)/26,0)))&amp;CHAR(96+IF(MOD(COLUMN(E1081),26)=0,26,MOD(COLUMN(E1081),26))))),$B1082)</f>
        <v>e1070</v>
      </c>
      <c r="F1083" s="899" t="str">
        <f t="shared" ref="F1083" si="2678">CONCATENATE(IF(COLUMN(F1081)&lt;=26,CHAR(96+COLUMN(F1081)),(CHAR(96+(ROUNDDOWN((COLUMN(F1081)-1)/26,0)))&amp;CHAR(96+IF(MOD(COLUMN(F1081),26)=0,26,MOD(COLUMN(F1081),26))))),$B1082)</f>
        <v>f1070</v>
      </c>
      <c r="G1083" s="899" t="str">
        <f t="shared" ref="G1083" si="2679">CONCATENATE(IF(COLUMN(G1081)&lt;=26,CHAR(96+COLUMN(G1081)),(CHAR(96+(ROUNDDOWN((COLUMN(G1081)-1)/26,0)))&amp;CHAR(96+IF(MOD(COLUMN(G1081),26)=0,26,MOD(COLUMN(G1081),26))))),$B1082)</f>
        <v>g1070</v>
      </c>
      <c r="H1083" s="899" t="str">
        <f t="shared" ref="H1083" si="2680">CONCATENATE(IF(COLUMN(H1081)&lt;=26,CHAR(96+COLUMN(H1081)),(CHAR(96+(ROUNDDOWN((COLUMN(H1081)-1)/26,0)))&amp;CHAR(96+IF(MOD(COLUMN(H1081),26)=0,26,MOD(COLUMN(H1081),26))))),$B1082)</f>
        <v>h1070</v>
      </c>
      <c r="I1083" s="899" t="str">
        <f t="shared" ref="I1083" si="2681">CONCATENATE(IF(COLUMN(I1081)&lt;=26,CHAR(96+COLUMN(I1081)),(CHAR(96+(ROUNDDOWN((COLUMN(I1081)-1)/26,0)))&amp;CHAR(96+IF(MOD(COLUMN(I1081),26)=0,26,MOD(COLUMN(I1081),26))))),$B1082)</f>
        <v>i1070</v>
      </c>
      <c r="J1083" s="899" t="str">
        <f t="shared" ref="J1083" si="2682">CONCATENATE(IF(COLUMN(J1081)&lt;=26,CHAR(96+COLUMN(J1081)),(CHAR(96+(ROUNDDOWN((COLUMN(J1081)-1)/26,0)))&amp;CHAR(96+IF(MOD(COLUMN(J1081),26)=0,26,MOD(COLUMN(J1081),26))))),$B1082)</f>
        <v>j1070</v>
      </c>
      <c r="K1083" s="899" t="str">
        <f t="shared" ref="K1083" si="2683">CONCATENATE(IF(COLUMN(K1081)&lt;=26,CHAR(96+COLUMN(K1081)),(CHAR(96+(ROUNDDOWN((COLUMN(K1081)-1)/26,0)))&amp;CHAR(96+IF(MOD(COLUMN(K1081),26)=0,26,MOD(COLUMN(K1081),26))))),$B1082)</f>
        <v>k1070</v>
      </c>
      <c r="L1083" s="899" t="str">
        <f t="shared" ref="L1083" si="2684">CONCATENATE(IF(COLUMN(L1081)&lt;=26,CHAR(96+COLUMN(L1081)),(CHAR(96+(ROUNDDOWN((COLUMN(L1081)-1)/26,0)))&amp;CHAR(96+IF(MOD(COLUMN(L1081),26)=0,26,MOD(COLUMN(L1081),26))))),$B1082)</f>
        <v>l1070</v>
      </c>
      <c r="U1083" s="663"/>
      <c r="Z1083" s="663"/>
      <c r="AA1083" s="663"/>
      <c r="AB1083" s="663"/>
      <c r="AC1083" s="663"/>
      <c r="AD1083" s="663"/>
      <c r="AE1083" s="663"/>
      <c r="AF1083" s="663"/>
      <c r="AG1083" s="663"/>
      <c r="AH1083" s="663"/>
      <c r="AI1083" s="663"/>
      <c r="AJ1083" s="663"/>
      <c r="AK1083" s="663"/>
      <c r="AL1083" s="663"/>
      <c r="AM1083" s="663"/>
      <c r="AN1083" s="663"/>
    </row>
    <row r="1084" spans="2:40" ht="14.45" hidden="1" customHeight="1" x14ac:dyDescent="0.25">
      <c r="B1084" s="661"/>
      <c r="C1084" s="662"/>
      <c r="U1084" s="663"/>
      <c r="Z1084" s="663"/>
      <c r="AA1084" s="663"/>
      <c r="AB1084" s="663"/>
      <c r="AC1084" s="663"/>
      <c r="AD1084" s="663"/>
      <c r="AE1084" s="663"/>
      <c r="AF1084" s="663"/>
      <c r="AG1084" s="663"/>
      <c r="AH1084" s="663"/>
      <c r="AI1084" s="663"/>
      <c r="AJ1084" s="663"/>
      <c r="AK1084" s="663"/>
      <c r="AL1084" s="663"/>
      <c r="AM1084" s="663"/>
      <c r="AN1084" s="663"/>
    </row>
    <row r="1085" spans="2:40" ht="14.45" hidden="1" customHeight="1" x14ac:dyDescent="0.25">
      <c r="B1085" s="661"/>
      <c r="C1085" s="662"/>
      <c r="U1085" s="663"/>
      <c r="Z1085" s="663"/>
      <c r="AA1085" s="663"/>
      <c r="AB1085" s="663"/>
      <c r="AC1085" s="663"/>
      <c r="AD1085" s="663"/>
      <c r="AE1085" s="663"/>
      <c r="AF1085" s="663"/>
      <c r="AG1085" s="663"/>
      <c r="AH1085" s="663"/>
      <c r="AI1085" s="663"/>
      <c r="AJ1085" s="663"/>
      <c r="AK1085" s="663"/>
      <c r="AL1085" s="663"/>
      <c r="AM1085" s="663"/>
      <c r="AN1085" s="663"/>
    </row>
    <row r="1086" spans="2:40" ht="14.45" hidden="1" customHeight="1" x14ac:dyDescent="0.25">
      <c r="B1086" s="661"/>
      <c r="C1086" s="662"/>
      <c r="U1086" s="663"/>
      <c r="Z1086" s="663"/>
      <c r="AA1086" s="663"/>
      <c r="AB1086" s="663"/>
      <c r="AC1086" s="663"/>
      <c r="AD1086" s="663"/>
      <c r="AE1086" s="663"/>
      <c r="AF1086" s="663"/>
      <c r="AG1086" s="663"/>
      <c r="AH1086" s="663"/>
      <c r="AI1086" s="663"/>
      <c r="AJ1086" s="663"/>
      <c r="AK1086" s="663"/>
      <c r="AL1086" s="663"/>
      <c r="AM1086" s="663"/>
      <c r="AN1086" s="663"/>
    </row>
    <row r="1087" spans="2:40" ht="14.45" hidden="1" customHeight="1" x14ac:dyDescent="0.25">
      <c r="B1087" s="661" t="str">
        <f>B1682</f>
        <v>Inv C Gross Return Analysis</v>
      </c>
      <c r="C1087" s="662"/>
      <c r="U1087" s="663"/>
      <c r="Z1087" s="663"/>
      <c r="AA1087" s="663"/>
      <c r="AB1087" s="663"/>
      <c r="AC1087" s="663"/>
      <c r="AD1087" s="663"/>
      <c r="AE1087" s="663"/>
      <c r="AF1087" s="663"/>
      <c r="AG1087" s="663"/>
      <c r="AH1087" s="663"/>
      <c r="AI1087" s="663"/>
      <c r="AJ1087" s="663"/>
      <c r="AK1087" s="663"/>
      <c r="AL1087" s="663"/>
      <c r="AM1087" s="663"/>
      <c r="AN1087" s="663"/>
    </row>
    <row r="1088" spans="2:40" ht="14.45" hidden="1" customHeight="1" x14ac:dyDescent="0.25">
      <c r="B1088" s="936">
        <f>B357</f>
        <v>39113</v>
      </c>
      <c r="C1088" s="662">
        <f>C357</f>
        <v>-1000000</v>
      </c>
      <c r="D1088" s="662">
        <f>C1088</f>
        <v>-1000000</v>
      </c>
      <c r="E1088" s="662">
        <f t="shared" ref="E1088:L1088" si="2685">D1088</f>
        <v>-1000000</v>
      </c>
      <c r="F1088" s="662">
        <f t="shared" si="2685"/>
        <v>-1000000</v>
      </c>
      <c r="G1088" s="662">
        <f t="shared" si="2685"/>
        <v>-1000000</v>
      </c>
      <c r="H1088" s="662">
        <f t="shared" si="2685"/>
        <v>-1000000</v>
      </c>
      <c r="I1088" s="662">
        <f t="shared" si="2685"/>
        <v>-1000000</v>
      </c>
      <c r="J1088" s="662">
        <f t="shared" si="2685"/>
        <v>-1000000</v>
      </c>
      <c r="K1088" s="662">
        <f t="shared" si="2685"/>
        <v>-1000000</v>
      </c>
      <c r="L1088" s="662">
        <f t="shared" si="2685"/>
        <v>-1000000</v>
      </c>
      <c r="U1088" s="663"/>
      <c r="Z1088" s="663"/>
      <c r="AA1088" s="663"/>
      <c r="AB1088" s="663"/>
      <c r="AC1088" s="663"/>
      <c r="AD1088" s="663"/>
      <c r="AE1088" s="663"/>
      <c r="AF1088" s="663"/>
      <c r="AG1088" s="663"/>
      <c r="AH1088" s="663"/>
      <c r="AI1088" s="663"/>
      <c r="AJ1088" s="663"/>
      <c r="AK1088" s="663"/>
      <c r="AL1088" s="663"/>
      <c r="AM1088" s="663"/>
      <c r="AN1088" s="663"/>
    </row>
    <row r="1089" spans="2:40" ht="14.45" hidden="1" customHeight="1" x14ac:dyDescent="0.25">
      <c r="B1089" s="936">
        <f t="shared" ref="B1089:C1097" si="2686">B358</f>
        <v>39478</v>
      </c>
      <c r="C1089" s="662">
        <f t="shared" si="2686"/>
        <v>-2000000</v>
      </c>
      <c r="D1089" s="662">
        <f t="shared" ref="D1089:L1097" si="2687">C1089</f>
        <v>-2000000</v>
      </c>
      <c r="E1089" s="662">
        <f t="shared" si="2687"/>
        <v>-2000000</v>
      </c>
      <c r="F1089" s="662">
        <f t="shared" si="2687"/>
        <v>-2000000</v>
      </c>
      <c r="G1089" s="662">
        <f t="shared" si="2687"/>
        <v>-2000000</v>
      </c>
      <c r="H1089" s="662">
        <f t="shared" si="2687"/>
        <v>-2000000</v>
      </c>
      <c r="I1089" s="662">
        <f t="shared" si="2687"/>
        <v>-2000000</v>
      </c>
      <c r="J1089" s="662">
        <f t="shared" si="2687"/>
        <v>-2000000</v>
      </c>
      <c r="K1089" s="662">
        <f t="shared" si="2687"/>
        <v>-2000000</v>
      </c>
      <c r="L1089" s="662">
        <f t="shared" si="2687"/>
        <v>-2000000</v>
      </c>
      <c r="U1089" s="663"/>
      <c r="Z1089" s="663"/>
      <c r="AA1089" s="663"/>
      <c r="AB1089" s="663"/>
      <c r="AC1089" s="663"/>
      <c r="AD1089" s="663"/>
      <c r="AE1089" s="663"/>
      <c r="AF1089" s="663"/>
      <c r="AG1089" s="663"/>
      <c r="AH1089" s="663"/>
      <c r="AI1089" s="663"/>
      <c r="AJ1089" s="663"/>
      <c r="AK1089" s="663"/>
      <c r="AL1089" s="663"/>
      <c r="AM1089" s="663"/>
      <c r="AN1089" s="663"/>
    </row>
    <row r="1090" spans="2:40" ht="14.45" hidden="1" customHeight="1" x14ac:dyDescent="0.25">
      <c r="B1090" s="936">
        <f t="shared" si="2686"/>
        <v>39843</v>
      </c>
      <c r="C1090" s="662">
        <f t="shared" si="2686"/>
        <v>-2500000</v>
      </c>
      <c r="D1090" s="662">
        <f t="shared" si="2687"/>
        <v>-2500000</v>
      </c>
      <c r="E1090" s="662">
        <f t="shared" si="2687"/>
        <v>-2500000</v>
      </c>
      <c r="F1090" s="662">
        <f t="shared" si="2687"/>
        <v>-2500000</v>
      </c>
      <c r="G1090" s="662">
        <f t="shared" si="2687"/>
        <v>-2500000</v>
      </c>
      <c r="H1090" s="662">
        <f t="shared" si="2687"/>
        <v>-2500000</v>
      </c>
      <c r="I1090" s="662">
        <f t="shared" si="2687"/>
        <v>-2500000</v>
      </c>
      <c r="J1090" s="662">
        <f t="shared" si="2687"/>
        <v>-2500000</v>
      </c>
      <c r="K1090" s="662">
        <f t="shared" si="2687"/>
        <v>-2500000</v>
      </c>
      <c r="L1090" s="662">
        <f t="shared" si="2687"/>
        <v>-2500000</v>
      </c>
      <c r="U1090" s="663"/>
      <c r="Z1090" s="663"/>
      <c r="AA1090" s="663"/>
      <c r="AB1090" s="663"/>
      <c r="AC1090" s="663"/>
      <c r="AD1090" s="663"/>
      <c r="AE1090" s="663"/>
      <c r="AF1090" s="663"/>
      <c r="AG1090" s="663"/>
      <c r="AH1090" s="663"/>
      <c r="AI1090" s="663"/>
      <c r="AJ1090" s="663"/>
      <c r="AK1090" s="663"/>
      <c r="AL1090" s="663"/>
      <c r="AM1090" s="663"/>
      <c r="AN1090" s="663"/>
    </row>
    <row r="1091" spans="2:40" ht="14.45" hidden="1" customHeight="1" x14ac:dyDescent="0.25">
      <c r="B1091" s="936">
        <f t="shared" si="2686"/>
        <v>39843</v>
      </c>
      <c r="C1091" s="662">
        <f t="shared" si="2686"/>
        <v>0</v>
      </c>
      <c r="D1091" s="662">
        <f t="shared" si="2687"/>
        <v>0</v>
      </c>
      <c r="E1091" s="662">
        <f t="shared" si="2687"/>
        <v>0</v>
      </c>
      <c r="F1091" s="662">
        <f t="shared" si="2687"/>
        <v>0</v>
      </c>
      <c r="G1091" s="662">
        <f t="shared" si="2687"/>
        <v>0</v>
      </c>
      <c r="H1091" s="662">
        <f t="shared" si="2687"/>
        <v>0</v>
      </c>
      <c r="I1091" s="662">
        <f t="shared" si="2687"/>
        <v>0</v>
      </c>
      <c r="J1091" s="662">
        <f t="shared" si="2687"/>
        <v>0</v>
      </c>
      <c r="K1091" s="662">
        <f t="shared" si="2687"/>
        <v>0</v>
      </c>
      <c r="L1091" s="662">
        <f t="shared" si="2687"/>
        <v>0</v>
      </c>
      <c r="U1091" s="663"/>
      <c r="Z1091" s="663"/>
      <c r="AA1091" s="663"/>
      <c r="AB1091" s="663"/>
      <c r="AC1091" s="663"/>
      <c r="AD1091" s="663"/>
      <c r="AE1091" s="663"/>
      <c r="AF1091" s="663"/>
      <c r="AG1091" s="663"/>
      <c r="AH1091" s="663"/>
      <c r="AI1091" s="663"/>
      <c r="AJ1091" s="663"/>
      <c r="AK1091" s="663"/>
      <c r="AL1091" s="663"/>
      <c r="AM1091" s="663"/>
      <c r="AN1091" s="663"/>
    </row>
    <row r="1092" spans="2:40" ht="14.45" hidden="1" customHeight="1" x14ac:dyDescent="0.25">
      <c r="B1092" s="936">
        <f t="shared" si="2686"/>
        <v>39843</v>
      </c>
      <c r="C1092" s="662">
        <f t="shared" si="2686"/>
        <v>0</v>
      </c>
      <c r="D1092" s="662">
        <f t="shared" si="2687"/>
        <v>0</v>
      </c>
      <c r="E1092" s="662">
        <f t="shared" si="2687"/>
        <v>0</v>
      </c>
      <c r="F1092" s="662">
        <f t="shared" si="2687"/>
        <v>0</v>
      </c>
      <c r="G1092" s="662">
        <f t="shared" si="2687"/>
        <v>0</v>
      </c>
      <c r="H1092" s="662">
        <f t="shared" si="2687"/>
        <v>0</v>
      </c>
      <c r="I1092" s="662">
        <f t="shared" si="2687"/>
        <v>0</v>
      </c>
      <c r="J1092" s="662">
        <f t="shared" si="2687"/>
        <v>0</v>
      </c>
      <c r="K1092" s="662">
        <f t="shared" si="2687"/>
        <v>0</v>
      </c>
      <c r="L1092" s="662">
        <f t="shared" si="2687"/>
        <v>0</v>
      </c>
      <c r="U1092" s="663"/>
      <c r="Z1092" s="663"/>
      <c r="AA1092" s="663"/>
      <c r="AB1092" s="663"/>
      <c r="AC1092" s="663"/>
      <c r="AD1092" s="663"/>
      <c r="AE1092" s="663"/>
      <c r="AF1092" s="663"/>
      <c r="AG1092" s="663"/>
      <c r="AH1092" s="663"/>
      <c r="AI1092" s="663"/>
      <c r="AJ1092" s="663"/>
      <c r="AK1092" s="663"/>
      <c r="AL1092" s="663"/>
      <c r="AM1092" s="663"/>
      <c r="AN1092" s="663"/>
    </row>
    <row r="1093" spans="2:40" ht="14.45" hidden="1" customHeight="1" x14ac:dyDescent="0.25">
      <c r="B1093" s="936">
        <f t="shared" si="2686"/>
        <v>39843</v>
      </c>
      <c r="C1093" s="662">
        <f t="shared" si="2686"/>
        <v>0</v>
      </c>
      <c r="D1093" s="662">
        <f t="shared" si="2687"/>
        <v>0</v>
      </c>
      <c r="E1093" s="662">
        <f t="shared" si="2687"/>
        <v>0</v>
      </c>
      <c r="F1093" s="662">
        <f t="shared" si="2687"/>
        <v>0</v>
      </c>
      <c r="G1093" s="662">
        <f t="shared" si="2687"/>
        <v>0</v>
      </c>
      <c r="H1093" s="662">
        <f t="shared" si="2687"/>
        <v>0</v>
      </c>
      <c r="I1093" s="662">
        <f t="shared" si="2687"/>
        <v>0</v>
      </c>
      <c r="J1093" s="662">
        <f t="shared" si="2687"/>
        <v>0</v>
      </c>
      <c r="K1093" s="662">
        <f t="shared" si="2687"/>
        <v>0</v>
      </c>
      <c r="L1093" s="662">
        <f t="shared" si="2687"/>
        <v>0</v>
      </c>
      <c r="U1093" s="663"/>
      <c r="Z1093" s="663"/>
      <c r="AA1093" s="663"/>
      <c r="AB1093" s="663"/>
      <c r="AC1093" s="663"/>
      <c r="AD1093" s="663"/>
      <c r="AE1093" s="663"/>
      <c r="AF1093" s="663"/>
      <c r="AG1093" s="663"/>
      <c r="AH1093" s="663"/>
      <c r="AI1093" s="663"/>
      <c r="AJ1093" s="663"/>
      <c r="AK1093" s="663"/>
      <c r="AL1093" s="663"/>
      <c r="AM1093" s="663"/>
      <c r="AN1093" s="663"/>
    </row>
    <row r="1094" spans="2:40" ht="14.45" hidden="1" customHeight="1" x14ac:dyDescent="0.25">
      <c r="B1094" s="936">
        <f t="shared" si="2686"/>
        <v>39843</v>
      </c>
      <c r="C1094" s="662">
        <f t="shared" si="2686"/>
        <v>0</v>
      </c>
      <c r="D1094" s="662">
        <f t="shared" si="2687"/>
        <v>0</v>
      </c>
      <c r="E1094" s="662">
        <f t="shared" si="2687"/>
        <v>0</v>
      </c>
      <c r="F1094" s="662">
        <f t="shared" si="2687"/>
        <v>0</v>
      </c>
      <c r="G1094" s="662">
        <f t="shared" si="2687"/>
        <v>0</v>
      </c>
      <c r="H1094" s="662">
        <f t="shared" si="2687"/>
        <v>0</v>
      </c>
      <c r="I1094" s="662">
        <f t="shared" si="2687"/>
        <v>0</v>
      </c>
      <c r="J1094" s="662">
        <f t="shared" si="2687"/>
        <v>0</v>
      </c>
      <c r="K1094" s="662">
        <f t="shared" si="2687"/>
        <v>0</v>
      </c>
      <c r="L1094" s="662">
        <f t="shared" si="2687"/>
        <v>0</v>
      </c>
      <c r="U1094" s="663"/>
      <c r="Z1094" s="663"/>
      <c r="AA1094" s="663"/>
      <c r="AB1094" s="663"/>
      <c r="AC1094" s="663"/>
      <c r="AD1094" s="663"/>
      <c r="AE1094" s="663"/>
      <c r="AF1094" s="663"/>
      <c r="AG1094" s="663"/>
      <c r="AH1094" s="663"/>
      <c r="AI1094" s="663"/>
      <c r="AJ1094" s="663"/>
      <c r="AK1094" s="663"/>
      <c r="AL1094" s="663"/>
      <c r="AM1094" s="663"/>
      <c r="AN1094" s="663"/>
    </row>
    <row r="1095" spans="2:40" ht="14.45" hidden="1" customHeight="1" x14ac:dyDescent="0.25">
      <c r="B1095" s="936">
        <f t="shared" si="2686"/>
        <v>39843</v>
      </c>
      <c r="C1095" s="662">
        <f t="shared" si="2686"/>
        <v>0</v>
      </c>
      <c r="D1095" s="662">
        <f t="shared" si="2687"/>
        <v>0</v>
      </c>
      <c r="E1095" s="662">
        <f t="shared" si="2687"/>
        <v>0</v>
      </c>
      <c r="F1095" s="662">
        <f t="shared" si="2687"/>
        <v>0</v>
      </c>
      <c r="G1095" s="662">
        <f t="shared" si="2687"/>
        <v>0</v>
      </c>
      <c r="H1095" s="662">
        <f t="shared" si="2687"/>
        <v>0</v>
      </c>
      <c r="I1095" s="662">
        <f t="shared" si="2687"/>
        <v>0</v>
      </c>
      <c r="J1095" s="662">
        <f t="shared" si="2687"/>
        <v>0</v>
      </c>
      <c r="K1095" s="662">
        <f t="shared" si="2687"/>
        <v>0</v>
      </c>
      <c r="L1095" s="662">
        <f t="shared" si="2687"/>
        <v>0</v>
      </c>
      <c r="U1095" s="663"/>
      <c r="Z1095" s="663"/>
      <c r="AA1095" s="663"/>
      <c r="AB1095" s="663"/>
      <c r="AC1095" s="663"/>
      <c r="AD1095" s="663"/>
      <c r="AE1095" s="663"/>
      <c r="AF1095" s="663"/>
      <c r="AG1095" s="663"/>
      <c r="AH1095" s="663"/>
      <c r="AI1095" s="663"/>
      <c r="AJ1095" s="663"/>
      <c r="AK1095" s="663"/>
      <c r="AL1095" s="663"/>
      <c r="AM1095" s="663"/>
      <c r="AN1095" s="663"/>
    </row>
    <row r="1096" spans="2:40" ht="14.45" hidden="1" customHeight="1" x14ac:dyDescent="0.25">
      <c r="B1096" s="936">
        <f t="shared" si="2686"/>
        <v>39843</v>
      </c>
      <c r="C1096" s="662">
        <f t="shared" si="2686"/>
        <v>0</v>
      </c>
      <c r="D1096" s="662">
        <f t="shared" si="2687"/>
        <v>0</v>
      </c>
      <c r="E1096" s="662">
        <f t="shared" si="2687"/>
        <v>0</v>
      </c>
      <c r="F1096" s="662">
        <f t="shared" si="2687"/>
        <v>0</v>
      </c>
      <c r="G1096" s="662">
        <f t="shared" si="2687"/>
        <v>0</v>
      </c>
      <c r="H1096" s="662">
        <f t="shared" si="2687"/>
        <v>0</v>
      </c>
      <c r="I1096" s="662">
        <f t="shared" si="2687"/>
        <v>0</v>
      </c>
      <c r="J1096" s="662">
        <f t="shared" si="2687"/>
        <v>0</v>
      </c>
      <c r="K1096" s="662">
        <f t="shared" si="2687"/>
        <v>0</v>
      </c>
      <c r="L1096" s="662">
        <f t="shared" si="2687"/>
        <v>0</v>
      </c>
      <c r="U1096" s="663"/>
      <c r="Z1096" s="663"/>
      <c r="AA1096" s="663"/>
      <c r="AB1096" s="663"/>
      <c r="AC1096" s="663"/>
      <c r="AD1096" s="663"/>
      <c r="AE1096" s="663"/>
      <c r="AF1096" s="663"/>
      <c r="AG1096" s="663"/>
      <c r="AH1096" s="663"/>
      <c r="AI1096" s="663"/>
      <c r="AJ1096" s="663"/>
      <c r="AK1096" s="663"/>
      <c r="AL1096" s="663"/>
      <c r="AM1096" s="663"/>
      <c r="AN1096" s="663"/>
    </row>
    <row r="1097" spans="2:40" ht="14.45" hidden="1" customHeight="1" x14ac:dyDescent="0.25">
      <c r="B1097" s="936">
        <f t="shared" si="2686"/>
        <v>39843</v>
      </c>
      <c r="C1097" s="662">
        <f t="shared" si="2686"/>
        <v>0</v>
      </c>
      <c r="D1097" s="662">
        <f t="shared" si="2687"/>
        <v>0</v>
      </c>
      <c r="E1097" s="662">
        <f t="shared" si="2687"/>
        <v>0</v>
      </c>
      <c r="F1097" s="662">
        <f t="shared" si="2687"/>
        <v>0</v>
      </c>
      <c r="G1097" s="662">
        <f t="shared" si="2687"/>
        <v>0</v>
      </c>
      <c r="H1097" s="662">
        <f t="shared" si="2687"/>
        <v>0</v>
      </c>
      <c r="I1097" s="662">
        <f t="shared" si="2687"/>
        <v>0</v>
      </c>
      <c r="J1097" s="662">
        <f t="shared" si="2687"/>
        <v>0</v>
      </c>
      <c r="K1097" s="662">
        <f t="shared" si="2687"/>
        <v>0</v>
      </c>
      <c r="L1097" s="662">
        <f t="shared" si="2687"/>
        <v>0</v>
      </c>
      <c r="U1097" s="663"/>
      <c r="Z1097" s="663"/>
      <c r="AA1097" s="663"/>
      <c r="AB1097" s="663"/>
      <c r="AC1097" s="663"/>
      <c r="AD1097" s="663"/>
      <c r="AE1097" s="663"/>
      <c r="AF1097" s="663"/>
      <c r="AG1097" s="663"/>
      <c r="AH1097" s="663"/>
      <c r="AI1097" s="663"/>
      <c r="AJ1097" s="663"/>
      <c r="AK1097" s="663"/>
      <c r="AL1097" s="663"/>
      <c r="AM1097" s="663"/>
      <c r="AN1097" s="663"/>
    </row>
    <row r="1098" spans="2:40" ht="14.45" hidden="1" customHeight="1" x14ac:dyDescent="0.25">
      <c r="B1098" s="936">
        <f>B1032</f>
        <v>41179</v>
      </c>
      <c r="C1098" s="662">
        <f>C1683</f>
        <v>2823795.1807228918</v>
      </c>
      <c r="D1098" s="662">
        <f t="shared" ref="D1098:L1098" si="2688">D1683</f>
        <v>4235692.7710843375</v>
      </c>
      <c r="E1098" s="662">
        <f t="shared" si="2688"/>
        <v>5647590.3614457836</v>
      </c>
      <c r="F1098" s="662">
        <f t="shared" si="2688"/>
        <v>7059487.9518072288</v>
      </c>
      <c r="G1098" s="662">
        <f t="shared" si="2688"/>
        <v>8471385.542168675</v>
      </c>
      <c r="H1098" s="662">
        <f t="shared" si="2688"/>
        <v>9883283.1325301211</v>
      </c>
      <c r="I1098" s="662">
        <f t="shared" si="2688"/>
        <v>11295180.722891567</v>
      </c>
      <c r="J1098" s="662">
        <f t="shared" si="2688"/>
        <v>12707078.313253012</v>
      </c>
      <c r="K1098" s="662">
        <f t="shared" si="2688"/>
        <v>14118975.903614458</v>
      </c>
      <c r="L1098" s="662">
        <f t="shared" si="2688"/>
        <v>15530873.493975904</v>
      </c>
      <c r="U1098" s="663"/>
      <c r="Z1098" s="663"/>
      <c r="AA1098" s="663"/>
      <c r="AB1098" s="663"/>
      <c r="AC1098" s="663"/>
      <c r="AD1098" s="663"/>
      <c r="AE1098" s="663"/>
      <c r="AF1098" s="663"/>
      <c r="AG1098" s="663"/>
      <c r="AH1098" s="663"/>
      <c r="AI1098" s="663"/>
      <c r="AJ1098" s="663"/>
      <c r="AK1098" s="663"/>
      <c r="AL1098" s="663"/>
      <c r="AM1098" s="663"/>
      <c r="AN1098" s="663"/>
    </row>
    <row r="1099" spans="2:40" ht="14.45" hidden="1" customHeight="1" x14ac:dyDescent="0.25">
      <c r="C1099" s="882" t="str">
        <f ca="1">IF(ISERROR(XIRR(INDIRECT(C1101):C1098,INDIRECT($B1101):$B1098,-20%)),XIRR(INDIRECT(C1101):C1098,INDIRECT($B1101):$B1098,20%),"N/A")</f>
        <v>N/A</v>
      </c>
      <c r="D1099" s="882" t="str">
        <f ca="1">IF(ISERROR(XIRR(INDIRECT(D1101):D1098,INDIRECT($B1101):$B1098,-20%)),XIRR(INDIRECT(D1101):D1098,INDIRECT($B1101):$B1098,20%),"N/A")</f>
        <v>N/A</v>
      </c>
      <c r="E1099" s="882">
        <f ca="1">IF(ISERROR(XIRR(INDIRECT(E1101):E1098,INDIRECT($B1101):$B1098,-20%)),XIRR(INDIRECT(E1101):E1098,INDIRECT($B1101):$B1098,20%),"N/A")</f>
        <v>6.051364541053773E-3</v>
      </c>
      <c r="F1099" s="882">
        <f ca="1">IF(ISERROR(XIRR(INDIRECT(F1101):F1098,INDIRECT($B1101):$B1098,-20%)),XIRR(INDIRECT(F1101):F1098,INDIRECT($B1101):$B1098,20%),"N/A")</f>
        <v>5.8324137330055245E-2</v>
      </c>
      <c r="G1099" s="882">
        <f ca="1">IF(ISERROR(XIRR(INDIRECT(G1101):G1098,INDIRECT($B1101):$B1098,-20%)),XIRR(INDIRECT(G1101):G1098,INDIRECT($B1101):$B1098,20%),"N/A")</f>
        <v>0.10277331471443177</v>
      </c>
      <c r="H1099" s="882">
        <f ca="1">IF(ISERROR(XIRR(INDIRECT(H1101):H1098,INDIRECT($B1101):$B1098,-20%)),XIRR(INDIRECT(H1101):H1098,INDIRECT($B1101):$B1098,20%),"N/A")</f>
        <v>0.14161195158958434</v>
      </c>
      <c r="I1099" s="882">
        <f ca="1">IF(ISERROR(XIRR(INDIRECT(I1101):I1098,INDIRECT($B1101):$B1098,-20%)),XIRR(INDIRECT(I1101):I1098,INDIRECT($B1101):$B1098,20%),"N/A")</f>
        <v>0.17621049284934998</v>
      </c>
      <c r="J1099" s="882">
        <f ca="1">IF(ISERROR(XIRR(INDIRECT(J1101):J1098,INDIRECT($B1101):$B1098,-20%)),XIRR(INDIRECT(J1101):J1098,INDIRECT($B1101):$B1098,20%),"N/A")</f>
        <v>0.20748057961463925</v>
      </c>
      <c r="K1099" s="882">
        <f ca="1">IF(ISERROR(XIRR(INDIRECT(K1101):K1098,INDIRECT($B1101):$B1098,-20%)),XIRR(INDIRECT(K1101):K1098,INDIRECT($B1101):$B1098,20%),"N/A")</f>
        <v>0.23606141209602355</v>
      </c>
      <c r="L1099" s="882">
        <f ca="1">IF(ISERROR(XIRR(INDIRECT(L1101):L1098,INDIRECT($B1101):$B1098,-20%)),XIRR(INDIRECT(L1101):L1098,INDIRECT($B1101):$B1098,20%),"N/A")</f>
        <v>0.26241969466209414</v>
      </c>
      <c r="U1099" s="663"/>
      <c r="Z1099" s="663"/>
      <c r="AA1099" s="663"/>
      <c r="AB1099" s="663"/>
      <c r="AC1099" s="663"/>
      <c r="AD1099" s="663"/>
      <c r="AE1099" s="663"/>
      <c r="AF1099" s="663"/>
      <c r="AG1099" s="663"/>
      <c r="AH1099" s="663"/>
      <c r="AI1099" s="663"/>
      <c r="AJ1099" s="663"/>
      <c r="AK1099" s="663"/>
      <c r="AL1099" s="663"/>
      <c r="AM1099" s="663"/>
      <c r="AN1099" s="663"/>
    </row>
    <row r="1100" spans="2:40" ht="14.45" hidden="1" customHeight="1" x14ac:dyDescent="0.25">
      <c r="B1100" s="898">
        <f>IF(C1088&lt;&gt;0,ROW(C1088),IF(C1089&lt;&gt;0,ROW(C1089),IF(C1090&lt;&gt;0,ROW(C1090),IF(C1091&lt;&gt;0,ROW(C1091),IF(C1092&lt;&gt;0,ROW(C1092),IF(C1093&lt;&gt;0,ROW(C1093),IF(C1094&lt;&gt;0,ROW(C1094),IF(C1095&lt;&gt;0,ROW(C1095),IF(C1096&lt;&gt;0,ROW(C1096),IF(C1097&lt;&gt;0,ROW(C1097)))))))))))</f>
        <v>1088</v>
      </c>
      <c r="C1100" s="882"/>
      <c r="U1100" s="663"/>
      <c r="Z1100" s="663"/>
      <c r="AA1100" s="663"/>
      <c r="AB1100" s="663"/>
      <c r="AC1100" s="663"/>
      <c r="AD1100" s="663"/>
      <c r="AE1100" s="663"/>
      <c r="AF1100" s="663"/>
      <c r="AG1100" s="663"/>
      <c r="AH1100" s="663"/>
      <c r="AI1100" s="663"/>
      <c r="AJ1100" s="663"/>
      <c r="AK1100" s="663"/>
      <c r="AL1100" s="663"/>
      <c r="AM1100" s="663"/>
      <c r="AN1100" s="663"/>
    </row>
    <row r="1101" spans="2:40" ht="14.45" hidden="1" customHeight="1" x14ac:dyDescent="0.25">
      <c r="B1101" s="899" t="str">
        <f>CONCATENATE(IF(COLUMN(B1100)&lt;=26,CHAR(96+COLUMN(B1100)),(CHAR(96+(ROUNDDOWN((COLUMN(B1100)-1)/26,0)))&amp;CHAR(96+IF(MOD(COLUMN(B1100),26)=0,26,MOD(COLUMN(B1100),26))))),B1100)</f>
        <v>b1088</v>
      </c>
      <c r="C1101" s="899" t="str">
        <f>CONCATENATE(IF(COLUMN(C1099)&lt;=26,CHAR(96+COLUMN(C1099)),(CHAR(96+(ROUNDDOWN((COLUMN(C1099)-1)/26,0)))&amp;CHAR(96+IF(MOD(COLUMN(C1099),26)=0,26,MOD(COLUMN(C1099),26))))),$B1100)</f>
        <v>c1088</v>
      </c>
      <c r="D1101" s="899" t="str">
        <f t="shared" ref="D1101" si="2689">CONCATENATE(IF(COLUMN(D1099)&lt;=26,CHAR(96+COLUMN(D1099)),(CHAR(96+(ROUNDDOWN((COLUMN(D1099)-1)/26,0)))&amp;CHAR(96+IF(MOD(COLUMN(D1099),26)=0,26,MOD(COLUMN(D1099),26))))),$B1100)</f>
        <v>d1088</v>
      </c>
      <c r="E1101" s="899" t="str">
        <f t="shared" ref="E1101" si="2690">CONCATENATE(IF(COLUMN(E1099)&lt;=26,CHAR(96+COLUMN(E1099)),(CHAR(96+(ROUNDDOWN((COLUMN(E1099)-1)/26,0)))&amp;CHAR(96+IF(MOD(COLUMN(E1099),26)=0,26,MOD(COLUMN(E1099),26))))),$B1100)</f>
        <v>e1088</v>
      </c>
      <c r="F1101" s="899" t="str">
        <f t="shared" ref="F1101" si="2691">CONCATENATE(IF(COLUMN(F1099)&lt;=26,CHAR(96+COLUMN(F1099)),(CHAR(96+(ROUNDDOWN((COLUMN(F1099)-1)/26,0)))&amp;CHAR(96+IF(MOD(COLUMN(F1099),26)=0,26,MOD(COLUMN(F1099),26))))),$B1100)</f>
        <v>f1088</v>
      </c>
      <c r="G1101" s="899" t="str">
        <f t="shared" ref="G1101" si="2692">CONCATENATE(IF(COLUMN(G1099)&lt;=26,CHAR(96+COLUMN(G1099)),(CHAR(96+(ROUNDDOWN((COLUMN(G1099)-1)/26,0)))&amp;CHAR(96+IF(MOD(COLUMN(G1099),26)=0,26,MOD(COLUMN(G1099),26))))),$B1100)</f>
        <v>g1088</v>
      </c>
      <c r="H1101" s="899" t="str">
        <f t="shared" ref="H1101" si="2693">CONCATENATE(IF(COLUMN(H1099)&lt;=26,CHAR(96+COLUMN(H1099)),(CHAR(96+(ROUNDDOWN((COLUMN(H1099)-1)/26,0)))&amp;CHAR(96+IF(MOD(COLUMN(H1099),26)=0,26,MOD(COLUMN(H1099),26))))),$B1100)</f>
        <v>h1088</v>
      </c>
      <c r="I1101" s="899" t="str">
        <f t="shared" ref="I1101" si="2694">CONCATENATE(IF(COLUMN(I1099)&lt;=26,CHAR(96+COLUMN(I1099)),(CHAR(96+(ROUNDDOWN((COLUMN(I1099)-1)/26,0)))&amp;CHAR(96+IF(MOD(COLUMN(I1099),26)=0,26,MOD(COLUMN(I1099),26))))),$B1100)</f>
        <v>i1088</v>
      </c>
      <c r="J1101" s="899" t="str">
        <f t="shared" ref="J1101" si="2695">CONCATENATE(IF(COLUMN(J1099)&lt;=26,CHAR(96+COLUMN(J1099)),(CHAR(96+(ROUNDDOWN((COLUMN(J1099)-1)/26,0)))&amp;CHAR(96+IF(MOD(COLUMN(J1099),26)=0,26,MOD(COLUMN(J1099),26))))),$B1100)</f>
        <v>j1088</v>
      </c>
      <c r="K1101" s="899" t="str">
        <f t="shared" ref="K1101" si="2696">CONCATENATE(IF(COLUMN(K1099)&lt;=26,CHAR(96+COLUMN(K1099)),(CHAR(96+(ROUNDDOWN((COLUMN(K1099)-1)/26,0)))&amp;CHAR(96+IF(MOD(COLUMN(K1099),26)=0,26,MOD(COLUMN(K1099),26))))),$B1100)</f>
        <v>k1088</v>
      </c>
      <c r="L1101" s="899" t="str">
        <f t="shared" ref="L1101" si="2697">CONCATENATE(IF(COLUMN(L1099)&lt;=26,CHAR(96+COLUMN(L1099)),(CHAR(96+(ROUNDDOWN((COLUMN(L1099)-1)/26,0)))&amp;CHAR(96+IF(MOD(COLUMN(L1099),26)=0,26,MOD(COLUMN(L1099),26))))),$B1100)</f>
        <v>l1088</v>
      </c>
      <c r="U1101" s="663"/>
      <c r="Z1101" s="663"/>
      <c r="AA1101" s="663"/>
      <c r="AB1101" s="663"/>
      <c r="AC1101" s="663"/>
      <c r="AD1101" s="663"/>
      <c r="AE1101" s="663"/>
      <c r="AF1101" s="663"/>
      <c r="AG1101" s="663"/>
      <c r="AH1101" s="663"/>
      <c r="AI1101" s="663"/>
      <c r="AJ1101" s="663"/>
      <c r="AK1101" s="663"/>
      <c r="AL1101" s="663"/>
      <c r="AM1101" s="663"/>
      <c r="AN1101" s="663"/>
    </row>
    <row r="1102" spans="2:40" ht="14.45" hidden="1" customHeight="1" x14ac:dyDescent="0.25">
      <c r="B1102" s="661"/>
      <c r="C1102" s="662"/>
      <c r="U1102" s="663"/>
      <c r="Z1102" s="663"/>
      <c r="AA1102" s="663"/>
      <c r="AB1102" s="663"/>
      <c r="AC1102" s="663"/>
      <c r="AD1102" s="663"/>
      <c r="AE1102" s="663"/>
      <c r="AF1102" s="663"/>
      <c r="AG1102" s="663"/>
      <c r="AH1102" s="663"/>
      <c r="AI1102" s="663"/>
      <c r="AJ1102" s="663"/>
      <c r="AK1102" s="663"/>
      <c r="AL1102" s="663"/>
      <c r="AM1102" s="663"/>
      <c r="AN1102" s="663"/>
    </row>
    <row r="1103" spans="2:40" ht="14.45" hidden="1" customHeight="1" x14ac:dyDescent="0.25">
      <c r="B1103" s="661"/>
      <c r="C1103" s="662"/>
      <c r="U1103" s="663"/>
      <c r="Z1103" s="663"/>
      <c r="AA1103" s="663"/>
      <c r="AB1103" s="663"/>
      <c r="AC1103" s="663"/>
      <c r="AD1103" s="663"/>
      <c r="AE1103" s="663"/>
      <c r="AF1103" s="663"/>
      <c r="AG1103" s="663"/>
      <c r="AH1103" s="663"/>
      <c r="AI1103" s="663"/>
      <c r="AJ1103" s="663"/>
      <c r="AK1103" s="663"/>
      <c r="AL1103" s="663"/>
      <c r="AM1103" s="663"/>
      <c r="AN1103" s="663"/>
    </row>
    <row r="1104" spans="2:40" ht="14.45" hidden="1" customHeight="1" x14ac:dyDescent="0.25">
      <c r="B1104" s="936">
        <f>B1088</f>
        <v>39113</v>
      </c>
      <c r="C1104" s="662">
        <f>C1088</f>
        <v>-1000000</v>
      </c>
      <c r="D1104" s="662">
        <f t="shared" ref="D1104:L1104" si="2698">D1088</f>
        <v>-1000000</v>
      </c>
      <c r="E1104" s="662">
        <f t="shared" si="2698"/>
        <v>-1000000</v>
      </c>
      <c r="F1104" s="662">
        <f t="shared" si="2698"/>
        <v>-1000000</v>
      </c>
      <c r="G1104" s="662">
        <f t="shared" si="2698"/>
        <v>-1000000</v>
      </c>
      <c r="H1104" s="662">
        <f t="shared" si="2698"/>
        <v>-1000000</v>
      </c>
      <c r="I1104" s="662">
        <f t="shared" si="2698"/>
        <v>-1000000</v>
      </c>
      <c r="J1104" s="662">
        <f t="shared" si="2698"/>
        <v>-1000000</v>
      </c>
      <c r="K1104" s="662">
        <f t="shared" si="2698"/>
        <v>-1000000</v>
      </c>
      <c r="L1104" s="662">
        <f t="shared" si="2698"/>
        <v>-1000000</v>
      </c>
      <c r="U1104" s="663"/>
      <c r="Z1104" s="663"/>
      <c r="AA1104" s="663"/>
      <c r="AB1104" s="663"/>
      <c r="AC1104" s="663"/>
      <c r="AD1104" s="663"/>
      <c r="AE1104" s="663"/>
      <c r="AF1104" s="663"/>
      <c r="AG1104" s="663"/>
      <c r="AH1104" s="663"/>
      <c r="AI1104" s="663"/>
      <c r="AJ1104" s="663"/>
      <c r="AK1104" s="663"/>
      <c r="AL1104" s="663"/>
      <c r="AM1104" s="663"/>
      <c r="AN1104" s="663"/>
    </row>
    <row r="1105" spans="2:40" ht="14.45" hidden="1" customHeight="1" x14ac:dyDescent="0.25">
      <c r="B1105" s="936">
        <f t="shared" ref="B1105:L1105" si="2699">B1089</f>
        <v>39478</v>
      </c>
      <c r="C1105" s="662">
        <f t="shared" si="2699"/>
        <v>-2000000</v>
      </c>
      <c r="D1105" s="662">
        <f t="shared" si="2699"/>
        <v>-2000000</v>
      </c>
      <c r="E1105" s="662">
        <f t="shared" si="2699"/>
        <v>-2000000</v>
      </c>
      <c r="F1105" s="662">
        <f t="shared" si="2699"/>
        <v>-2000000</v>
      </c>
      <c r="G1105" s="662">
        <f t="shared" si="2699"/>
        <v>-2000000</v>
      </c>
      <c r="H1105" s="662">
        <f t="shared" si="2699"/>
        <v>-2000000</v>
      </c>
      <c r="I1105" s="662">
        <f t="shared" si="2699"/>
        <v>-2000000</v>
      </c>
      <c r="J1105" s="662">
        <f t="shared" si="2699"/>
        <v>-2000000</v>
      </c>
      <c r="K1105" s="662">
        <f t="shared" si="2699"/>
        <v>-2000000</v>
      </c>
      <c r="L1105" s="662">
        <f t="shared" si="2699"/>
        <v>-2000000</v>
      </c>
      <c r="U1105" s="663"/>
      <c r="Z1105" s="663"/>
      <c r="AA1105" s="663"/>
      <c r="AB1105" s="663"/>
      <c r="AC1105" s="663"/>
      <c r="AD1105" s="663"/>
      <c r="AE1105" s="663"/>
      <c r="AF1105" s="663"/>
      <c r="AG1105" s="663"/>
      <c r="AH1105" s="663"/>
      <c r="AI1105" s="663"/>
      <c r="AJ1105" s="663"/>
      <c r="AK1105" s="663"/>
      <c r="AL1105" s="663"/>
      <c r="AM1105" s="663"/>
      <c r="AN1105" s="663"/>
    </row>
    <row r="1106" spans="2:40" ht="14.45" hidden="1" customHeight="1" x14ac:dyDescent="0.25">
      <c r="B1106" s="936">
        <f t="shared" ref="B1106:L1106" si="2700">B1090</f>
        <v>39843</v>
      </c>
      <c r="C1106" s="662">
        <f t="shared" si="2700"/>
        <v>-2500000</v>
      </c>
      <c r="D1106" s="662">
        <f t="shared" si="2700"/>
        <v>-2500000</v>
      </c>
      <c r="E1106" s="662">
        <f t="shared" si="2700"/>
        <v>-2500000</v>
      </c>
      <c r="F1106" s="662">
        <f t="shared" si="2700"/>
        <v>-2500000</v>
      </c>
      <c r="G1106" s="662">
        <f t="shared" si="2700"/>
        <v>-2500000</v>
      </c>
      <c r="H1106" s="662">
        <f t="shared" si="2700"/>
        <v>-2500000</v>
      </c>
      <c r="I1106" s="662">
        <f t="shared" si="2700"/>
        <v>-2500000</v>
      </c>
      <c r="J1106" s="662">
        <f t="shared" si="2700"/>
        <v>-2500000</v>
      </c>
      <c r="K1106" s="662">
        <f t="shared" si="2700"/>
        <v>-2500000</v>
      </c>
      <c r="L1106" s="662">
        <f t="shared" si="2700"/>
        <v>-2500000</v>
      </c>
      <c r="U1106" s="663"/>
      <c r="Z1106" s="663"/>
      <c r="AA1106" s="663"/>
      <c r="AB1106" s="663"/>
      <c r="AC1106" s="663"/>
      <c r="AD1106" s="663"/>
      <c r="AE1106" s="663"/>
      <c r="AF1106" s="663"/>
      <c r="AG1106" s="663"/>
      <c r="AH1106" s="663"/>
      <c r="AI1106" s="663"/>
      <c r="AJ1106" s="663"/>
      <c r="AK1106" s="663"/>
      <c r="AL1106" s="663"/>
      <c r="AM1106" s="663"/>
      <c r="AN1106" s="663"/>
    </row>
    <row r="1107" spans="2:40" ht="14.45" hidden="1" customHeight="1" x14ac:dyDescent="0.25">
      <c r="B1107" s="936">
        <f t="shared" ref="B1107:L1107" si="2701">B1091</f>
        <v>39843</v>
      </c>
      <c r="C1107" s="662">
        <f t="shared" si="2701"/>
        <v>0</v>
      </c>
      <c r="D1107" s="662">
        <f t="shared" si="2701"/>
        <v>0</v>
      </c>
      <c r="E1107" s="662">
        <f t="shared" si="2701"/>
        <v>0</v>
      </c>
      <c r="F1107" s="662">
        <f t="shared" si="2701"/>
        <v>0</v>
      </c>
      <c r="G1107" s="662">
        <f t="shared" si="2701"/>
        <v>0</v>
      </c>
      <c r="H1107" s="662">
        <f t="shared" si="2701"/>
        <v>0</v>
      </c>
      <c r="I1107" s="662">
        <f t="shared" si="2701"/>
        <v>0</v>
      </c>
      <c r="J1107" s="662">
        <f t="shared" si="2701"/>
        <v>0</v>
      </c>
      <c r="K1107" s="662">
        <f t="shared" si="2701"/>
        <v>0</v>
      </c>
      <c r="L1107" s="662">
        <f t="shared" si="2701"/>
        <v>0</v>
      </c>
      <c r="U1107" s="663"/>
      <c r="Z1107" s="663"/>
      <c r="AA1107" s="663"/>
      <c r="AB1107" s="663"/>
      <c r="AC1107" s="663"/>
      <c r="AD1107" s="663"/>
      <c r="AE1107" s="663"/>
      <c r="AF1107" s="663"/>
      <c r="AG1107" s="663"/>
      <c r="AH1107" s="663"/>
      <c r="AI1107" s="663"/>
      <c r="AJ1107" s="663"/>
      <c r="AK1107" s="663"/>
      <c r="AL1107" s="663"/>
      <c r="AM1107" s="663"/>
      <c r="AN1107" s="663"/>
    </row>
    <row r="1108" spans="2:40" ht="14.45" hidden="1" customHeight="1" x14ac:dyDescent="0.25">
      <c r="B1108" s="936">
        <f t="shared" ref="B1108:L1108" si="2702">B1092</f>
        <v>39843</v>
      </c>
      <c r="C1108" s="662">
        <f t="shared" si="2702"/>
        <v>0</v>
      </c>
      <c r="D1108" s="662">
        <f t="shared" si="2702"/>
        <v>0</v>
      </c>
      <c r="E1108" s="662">
        <f t="shared" si="2702"/>
        <v>0</v>
      </c>
      <c r="F1108" s="662">
        <f t="shared" si="2702"/>
        <v>0</v>
      </c>
      <c r="G1108" s="662">
        <f t="shared" si="2702"/>
        <v>0</v>
      </c>
      <c r="H1108" s="662">
        <f t="shared" si="2702"/>
        <v>0</v>
      </c>
      <c r="I1108" s="662">
        <f t="shared" si="2702"/>
        <v>0</v>
      </c>
      <c r="J1108" s="662">
        <f t="shared" si="2702"/>
        <v>0</v>
      </c>
      <c r="K1108" s="662">
        <f t="shared" si="2702"/>
        <v>0</v>
      </c>
      <c r="L1108" s="662">
        <f t="shared" si="2702"/>
        <v>0</v>
      </c>
      <c r="U1108" s="663"/>
      <c r="Z1108" s="663"/>
      <c r="AA1108" s="663"/>
      <c r="AB1108" s="663"/>
      <c r="AC1108" s="663"/>
      <c r="AD1108" s="663"/>
      <c r="AE1108" s="663"/>
      <c r="AF1108" s="663"/>
      <c r="AG1108" s="663"/>
      <c r="AH1108" s="663"/>
      <c r="AI1108" s="663"/>
      <c r="AJ1108" s="663"/>
      <c r="AK1108" s="663"/>
      <c r="AL1108" s="663"/>
      <c r="AM1108" s="663"/>
      <c r="AN1108" s="663"/>
    </row>
    <row r="1109" spans="2:40" ht="14.45" hidden="1" customHeight="1" x14ac:dyDescent="0.25">
      <c r="B1109" s="936">
        <f t="shared" ref="B1109:L1109" si="2703">B1093</f>
        <v>39843</v>
      </c>
      <c r="C1109" s="662">
        <f t="shared" si="2703"/>
        <v>0</v>
      </c>
      <c r="D1109" s="662">
        <f t="shared" si="2703"/>
        <v>0</v>
      </c>
      <c r="E1109" s="662">
        <f t="shared" si="2703"/>
        <v>0</v>
      </c>
      <c r="F1109" s="662">
        <f t="shared" si="2703"/>
        <v>0</v>
      </c>
      <c r="G1109" s="662">
        <f t="shared" si="2703"/>
        <v>0</v>
      </c>
      <c r="H1109" s="662">
        <f t="shared" si="2703"/>
        <v>0</v>
      </c>
      <c r="I1109" s="662">
        <f t="shared" si="2703"/>
        <v>0</v>
      </c>
      <c r="J1109" s="662">
        <f t="shared" si="2703"/>
        <v>0</v>
      </c>
      <c r="K1109" s="662">
        <f t="shared" si="2703"/>
        <v>0</v>
      </c>
      <c r="L1109" s="662">
        <f t="shared" si="2703"/>
        <v>0</v>
      </c>
      <c r="U1109" s="663"/>
      <c r="Z1109" s="663"/>
      <c r="AA1109" s="663"/>
      <c r="AB1109" s="663"/>
      <c r="AC1109" s="663"/>
      <c r="AD1109" s="663"/>
      <c r="AE1109" s="663"/>
      <c r="AF1109" s="663"/>
      <c r="AG1109" s="663"/>
      <c r="AH1109" s="663"/>
      <c r="AI1109" s="663"/>
      <c r="AJ1109" s="663"/>
      <c r="AK1109" s="663"/>
      <c r="AL1109" s="663"/>
      <c r="AM1109" s="663"/>
      <c r="AN1109" s="663"/>
    </row>
    <row r="1110" spans="2:40" ht="14.45" hidden="1" customHeight="1" x14ac:dyDescent="0.25">
      <c r="B1110" s="936">
        <f t="shared" ref="B1110:L1110" si="2704">B1094</f>
        <v>39843</v>
      </c>
      <c r="C1110" s="662">
        <f t="shared" si="2704"/>
        <v>0</v>
      </c>
      <c r="D1110" s="662">
        <f t="shared" si="2704"/>
        <v>0</v>
      </c>
      <c r="E1110" s="662">
        <f t="shared" si="2704"/>
        <v>0</v>
      </c>
      <c r="F1110" s="662">
        <f t="shared" si="2704"/>
        <v>0</v>
      </c>
      <c r="G1110" s="662">
        <f t="shared" si="2704"/>
        <v>0</v>
      </c>
      <c r="H1110" s="662">
        <f t="shared" si="2704"/>
        <v>0</v>
      </c>
      <c r="I1110" s="662">
        <f t="shared" si="2704"/>
        <v>0</v>
      </c>
      <c r="J1110" s="662">
        <f t="shared" si="2704"/>
        <v>0</v>
      </c>
      <c r="K1110" s="662">
        <f t="shared" si="2704"/>
        <v>0</v>
      </c>
      <c r="L1110" s="662">
        <f t="shared" si="2704"/>
        <v>0</v>
      </c>
      <c r="U1110" s="663"/>
      <c r="Z1110" s="663"/>
      <c r="AA1110" s="663"/>
      <c r="AB1110" s="663"/>
      <c r="AC1110" s="663"/>
      <c r="AD1110" s="663"/>
      <c r="AE1110" s="663"/>
      <c r="AF1110" s="663"/>
      <c r="AG1110" s="663"/>
      <c r="AH1110" s="663"/>
      <c r="AI1110" s="663"/>
      <c r="AJ1110" s="663"/>
      <c r="AK1110" s="663"/>
      <c r="AL1110" s="663"/>
      <c r="AM1110" s="663"/>
      <c r="AN1110" s="663"/>
    </row>
    <row r="1111" spans="2:40" ht="14.45" hidden="1" customHeight="1" x14ac:dyDescent="0.25">
      <c r="B1111" s="936">
        <f t="shared" ref="B1111:L1111" si="2705">B1095</f>
        <v>39843</v>
      </c>
      <c r="C1111" s="662">
        <f t="shared" si="2705"/>
        <v>0</v>
      </c>
      <c r="D1111" s="662">
        <f t="shared" si="2705"/>
        <v>0</v>
      </c>
      <c r="E1111" s="662">
        <f t="shared" si="2705"/>
        <v>0</v>
      </c>
      <c r="F1111" s="662">
        <f t="shared" si="2705"/>
        <v>0</v>
      </c>
      <c r="G1111" s="662">
        <f t="shared" si="2705"/>
        <v>0</v>
      </c>
      <c r="H1111" s="662">
        <f t="shared" si="2705"/>
        <v>0</v>
      </c>
      <c r="I1111" s="662">
        <f t="shared" si="2705"/>
        <v>0</v>
      </c>
      <c r="J1111" s="662">
        <f t="shared" si="2705"/>
        <v>0</v>
      </c>
      <c r="K1111" s="662">
        <f t="shared" si="2705"/>
        <v>0</v>
      </c>
      <c r="L1111" s="662">
        <f t="shared" si="2705"/>
        <v>0</v>
      </c>
      <c r="U1111" s="663"/>
      <c r="Z1111" s="663"/>
      <c r="AA1111" s="663"/>
      <c r="AB1111" s="663"/>
      <c r="AC1111" s="663"/>
      <c r="AD1111" s="663"/>
      <c r="AE1111" s="663"/>
      <c r="AF1111" s="663"/>
      <c r="AG1111" s="663"/>
      <c r="AH1111" s="663"/>
      <c r="AI1111" s="663"/>
      <c r="AJ1111" s="663"/>
      <c r="AK1111" s="663"/>
      <c r="AL1111" s="663"/>
      <c r="AM1111" s="663"/>
      <c r="AN1111" s="663"/>
    </row>
    <row r="1112" spans="2:40" ht="14.45" hidden="1" customHeight="1" x14ac:dyDescent="0.25">
      <c r="B1112" s="936">
        <f t="shared" ref="B1112:L1112" si="2706">B1096</f>
        <v>39843</v>
      </c>
      <c r="C1112" s="662">
        <f t="shared" si="2706"/>
        <v>0</v>
      </c>
      <c r="D1112" s="662">
        <f t="shared" si="2706"/>
        <v>0</v>
      </c>
      <c r="E1112" s="662">
        <f t="shared" si="2706"/>
        <v>0</v>
      </c>
      <c r="F1112" s="662">
        <f t="shared" si="2706"/>
        <v>0</v>
      </c>
      <c r="G1112" s="662">
        <f t="shared" si="2706"/>
        <v>0</v>
      </c>
      <c r="H1112" s="662">
        <f t="shared" si="2706"/>
        <v>0</v>
      </c>
      <c r="I1112" s="662">
        <f t="shared" si="2706"/>
        <v>0</v>
      </c>
      <c r="J1112" s="662">
        <f t="shared" si="2706"/>
        <v>0</v>
      </c>
      <c r="K1112" s="662">
        <f t="shared" si="2706"/>
        <v>0</v>
      </c>
      <c r="L1112" s="662">
        <f t="shared" si="2706"/>
        <v>0</v>
      </c>
      <c r="U1112" s="663"/>
      <c r="Z1112" s="663"/>
      <c r="AA1112" s="663"/>
      <c r="AB1112" s="663"/>
      <c r="AC1112" s="663"/>
      <c r="AD1112" s="663"/>
      <c r="AE1112" s="663"/>
      <c r="AF1112" s="663"/>
      <c r="AG1112" s="663"/>
      <c r="AH1112" s="663"/>
      <c r="AI1112" s="663"/>
      <c r="AJ1112" s="663"/>
      <c r="AK1112" s="663"/>
      <c r="AL1112" s="663"/>
      <c r="AM1112" s="663"/>
      <c r="AN1112" s="663"/>
    </row>
    <row r="1113" spans="2:40" ht="14.45" hidden="1" customHeight="1" x14ac:dyDescent="0.25">
      <c r="B1113" s="936">
        <f t="shared" ref="B1113:L1113" si="2707">B1097</f>
        <v>39843</v>
      </c>
      <c r="C1113" s="662">
        <f t="shared" si="2707"/>
        <v>0</v>
      </c>
      <c r="D1113" s="662">
        <f t="shared" si="2707"/>
        <v>0</v>
      </c>
      <c r="E1113" s="662">
        <f t="shared" si="2707"/>
        <v>0</v>
      </c>
      <c r="F1113" s="662">
        <f t="shared" si="2707"/>
        <v>0</v>
      </c>
      <c r="G1113" s="662">
        <f t="shared" si="2707"/>
        <v>0</v>
      </c>
      <c r="H1113" s="662">
        <f t="shared" si="2707"/>
        <v>0</v>
      </c>
      <c r="I1113" s="662">
        <f t="shared" si="2707"/>
        <v>0</v>
      </c>
      <c r="J1113" s="662">
        <f t="shared" si="2707"/>
        <v>0</v>
      </c>
      <c r="K1113" s="662">
        <f t="shared" si="2707"/>
        <v>0</v>
      </c>
      <c r="L1113" s="662">
        <f t="shared" si="2707"/>
        <v>0</v>
      </c>
      <c r="U1113" s="663"/>
      <c r="Z1113" s="663"/>
      <c r="AA1113" s="663"/>
      <c r="AB1113" s="663"/>
      <c r="AC1113" s="663"/>
      <c r="AD1113" s="663"/>
      <c r="AE1113" s="663"/>
      <c r="AF1113" s="663"/>
      <c r="AG1113" s="663"/>
      <c r="AH1113" s="663"/>
      <c r="AI1113" s="663"/>
      <c r="AJ1113" s="663"/>
      <c r="AK1113" s="663"/>
      <c r="AL1113" s="663"/>
      <c r="AM1113" s="663"/>
      <c r="AN1113" s="663"/>
    </row>
    <row r="1114" spans="2:40" ht="14.45" hidden="1" customHeight="1" x14ac:dyDescent="0.25">
      <c r="B1114" s="936">
        <f>B1048</f>
        <v>41359</v>
      </c>
      <c r="C1114" s="662">
        <f t="shared" ref="C1114:L1114" si="2708">C1098</f>
        <v>2823795.1807228918</v>
      </c>
      <c r="D1114" s="662">
        <f t="shared" si="2708"/>
        <v>4235692.7710843375</v>
      </c>
      <c r="E1114" s="662">
        <f t="shared" si="2708"/>
        <v>5647590.3614457836</v>
      </c>
      <c r="F1114" s="662">
        <f t="shared" si="2708"/>
        <v>7059487.9518072288</v>
      </c>
      <c r="G1114" s="662">
        <f t="shared" si="2708"/>
        <v>8471385.542168675</v>
      </c>
      <c r="H1114" s="662">
        <f t="shared" si="2708"/>
        <v>9883283.1325301211</v>
      </c>
      <c r="I1114" s="662">
        <f t="shared" si="2708"/>
        <v>11295180.722891567</v>
      </c>
      <c r="J1114" s="662">
        <f t="shared" si="2708"/>
        <v>12707078.313253012</v>
      </c>
      <c r="K1114" s="662">
        <f t="shared" si="2708"/>
        <v>14118975.903614458</v>
      </c>
      <c r="L1114" s="662">
        <f t="shared" si="2708"/>
        <v>15530873.493975904</v>
      </c>
      <c r="U1114" s="663"/>
      <c r="Z1114" s="663"/>
      <c r="AA1114" s="663"/>
      <c r="AB1114" s="663"/>
      <c r="AC1114" s="663"/>
      <c r="AD1114" s="663"/>
      <c r="AE1114" s="663"/>
      <c r="AF1114" s="663"/>
      <c r="AG1114" s="663"/>
      <c r="AH1114" s="663"/>
      <c r="AI1114" s="663"/>
      <c r="AJ1114" s="663"/>
      <c r="AK1114" s="663"/>
      <c r="AL1114" s="663"/>
      <c r="AM1114" s="663"/>
      <c r="AN1114" s="663"/>
    </row>
    <row r="1115" spans="2:40" ht="14.45" hidden="1" customHeight="1" x14ac:dyDescent="0.25">
      <c r="C1115" s="882" t="str">
        <f ca="1">IF(ISERROR(XIRR(INDIRECT(C1117):C1114,INDIRECT($B1117):$B1114,-20%)),XIRR(INDIRECT(C1117):C1114,INDIRECT($B1117):$B1114,20%),"N/A")</f>
        <v>N/A</v>
      </c>
      <c r="D1115" s="882" t="str">
        <f ca="1">IF(ISERROR(XIRR(INDIRECT(D1117):D1114,INDIRECT($B1117):$B1114,-20%)),XIRR(INDIRECT(D1117):D1114,INDIRECT($B1117):$B1114,20%),"N/A")</f>
        <v>N/A</v>
      </c>
      <c r="E1115" s="882">
        <f ca="1">IF(ISERROR(XIRR(INDIRECT(E1117):E1114,INDIRECT($B1117):$B1114,-20%)),XIRR(INDIRECT(E1117):E1114,INDIRECT($B1117):$B1114,20%),"N/A")</f>
        <v>5.4386764764785779E-3</v>
      </c>
      <c r="F1115" s="882">
        <f ca="1">IF(ISERROR(XIRR(INDIRECT(F1117):F1114,INDIRECT($B1117):$B1114,-20%)),XIRR(INDIRECT(F1117):F1114,INDIRECT($B1117):$B1114,20%),"N/A")</f>
        <v>5.2317216992378235E-2</v>
      </c>
      <c r="G1115" s="882">
        <f ca="1">IF(ISERROR(XIRR(INDIRECT(G1117):G1114,INDIRECT($B1117):$B1114,-20%)),XIRR(INDIRECT(G1117):G1114,INDIRECT($B1117):$B1114,20%),"N/A")</f>
        <v>9.204259216785432E-2</v>
      </c>
      <c r="H1115" s="882">
        <f ca="1">IF(ISERROR(XIRR(INDIRECT(H1117):H1114,INDIRECT($B1117):$B1114,-20%)),XIRR(INDIRECT(H1117):H1114,INDIRECT($B1117):$B1114,20%),"N/A")</f>
        <v>0.12665656208992004</v>
      </c>
      <c r="I1115" s="882">
        <f ca="1">IF(ISERROR(XIRR(INDIRECT(I1117):I1114,INDIRECT($B1117):$B1114,-20%)),XIRR(INDIRECT(I1117):I1114,INDIRECT($B1117):$B1114,20%),"N/A")</f>
        <v>0.15741900801658634</v>
      </c>
      <c r="J1115" s="882">
        <f ca="1">IF(ISERROR(XIRR(INDIRECT(J1117):J1114,INDIRECT($B1117):$B1114,-20%)),XIRR(INDIRECT(J1117):J1114,INDIRECT($B1117):$B1114,20%),"N/A")</f>
        <v>0.18516551852226257</v>
      </c>
      <c r="K1115" s="882">
        <f ca="1">IF(ISERROR(XIRR(INDIRECT(K1117):K1114,INDIRECT($B1117):$B1114,-20%)),XIRR(INDIRECT(K1117):K1114,INDIRECT($B1117):$B1114,20%),"N/A")</f>
        <v>0.21048055291175846</v>
      </c>
      <c r="L1115" s="882">
        <f ca="1">IF(ISERROR(XIRR(INDIRECT(L1117):L1114,INDIRECT($B1117):$B1114,-20%)),XIRR(INDIRECT(L1117):L1114,INDIRECT($B1117):$B1114,20%),"N/A")</f>
        <v>0.23378985524177548</v>
      </c>
      <c r="U1115" s="663"/>
      <c r="Z1115" s="663"/>
      <c r="AA1115" s="663"/>
      <c r="AB1115" s="663"/>
      <c r="AC1115" s="663"/>
      <c r="AD1115" s="663"/>
      <c r="AE1115" s="663"/>
      <c r="AF1115" s="663"/>
      <c r="AG1115" s="663"/>
      <c r="AH1115" s="663"/>
      <c r="AI1115" s="663"/>
      <c r="AJ1115" s="663"/>
      <c r="AK1115" s="663"/>
      <c r="AL1115" s="663"/>
      <c r="AM1115" s="663"/>
      <c r="AN1115" s="663"/>
    </row>
    <row r="1116" spans="2:40" ht="14.45" hidden="1" customHeight="1" x14ac:dyDescent="0.25">
      <c r="B1116" s="898">
        <f>IF(C1104&lt;&gt;0,ROW(C1104),IF(C1105&lt;&gt;0,ROW(C1105),IF(C1106&lt;&gt;0,ROW(C1106),IF(C1107&lt;&gt;0,ROW(C1107),IF(C1108&lt;&gt;0,ROW(C1108),IF(C1109&lt;&gt;0,ROW(C1109),IF(C1110&lt;&gt;0,ROW(C1110),IF(C1111&lt;&gt;0,ROW(C1111),IF(C1112&lt;&gt;0,ROW(C1112),IF(C1113&lt;&gt;0,ROW(C1113)))))))))))</f>
        <v>1104</v>
      </c>
      <c r="C1116" s="882"/>
      <c r="U1116" s="663"/>
      <c r="Z1116" s="663"/>
      <c r="AA1116" s="663"/>
      <c r="AB1116" s="663"/>
      <c r="AC1116" s="663"/>
      <c r="AD1116" s="663"/>
      <c r="AE1116" s="663"/>
      <c r="AF1116" s="663"/>
      <c r="AG1116" s="663"/>
      <c r="AH1116" s="663"/>
      <c r="AI1116" s="663"/>
      <c r="AJ1116" s="663"/>
      <c r="AK1116" s="663"/>
      <c r="AL1116" s="663"/>
      <c r="AM1116" s="663"/>
      <c r="AN1116" s="663"/>
    </row>
    <row r="1117" spans="2:40" ht="14.45" hidden="1" customHeight="1" x14ac:dyDescent="0.25">
      <c r="B1117" s="899" t="str">
        <f>CONCATENATE(IF(COLUMN(B1116)&lt;=26,CHAR(96+COLUMN(B1116)),(CHAR(96+(ROUNDDOWN((COLUMN(B1116)-1)/26,0)))&amp;CHAR(96+IF(MOD(COLUMN(B1116),26)=0,26,MOD(COLUMN(B1116),26))))),B1116)</f>
        <v>b1104</v>
      </c>
      <c r="C1117" s="899" t="str">
        <f>CONCATENATE(IF(COLUMN(C1115)&lt;=26,CHAR(96+COLUMN(C1115)),(CHAR(96+(ROUNDDOWN((COLUMN(C1115)-1)/26,0)))&amp;CHAR(96+IF(MOD(COLUMN(C1115),26)=0,26,MOD(COLUMN(C1115),26))))),$B1116)</f>
        <v>c1104</v>
      </c>
      <c r="D1117" s="899" t="str">
        <f t="shared" ref="D1117" si="2709">CONCATENATE(IF(COLUMN(D1115)&lt;=26,CHAR(96+COLUMN(D1115)),(CHAR(96+(ROUNDDOWN((COLUMN(D1115)-1)/26,0)))&amp;CHAR(96+IF(MOD(COLUMN(D1115),26)=0,26,MOD(COLUMN(D1115),26))))),$B1116)</f>
        <v>d1104</v>
      </c>
      <c r="E1117" s="899" t="str">
        <f t="shared" ref="E1117" si="2710">CONCATENATE(IF(COLUMN(E1115)&lt;=26,CHAR(96+COLUMN(E1115)),(CHAR(96+(ROUNDDOWN((COLUMN(E1115)-1)/26,0)))&amp;CHAR(96+IF(MOD(COLUMN(E1115),26)=0,26,MOD(COLUMN(E1115),26))))),$B1116)</f>
        <v>e1104</v>
      </c>
      <c r="F1117" s="899" t="str">
        <f t="shared" ref="F1117" si="2711">CONCATENATE(IF(COLUMN(F1115)&lt;=26,CHAR(96+COLUMN(F1115)),(CHAR(96+(ROUNDDOWN((COLUMN(F1115)-1)/26,0)))&amp;CHAR(96+IF(MOD(COLUMN(F1115),26)=0,26,MOD(COLUMN(F1115),26))))),$B1116)</f>
        <v>f1104</v>
      </c>
      <c r="G1117" s="899" t="str">
        <f t="shared" ref="G1117" si="2712">CONCATENATE(IF(COLUMN(G1115)&lt;=26,CHAR(96+COLUMN(G1115)),(CHAR(96+(ROUNDDOWN((COLUMN(G1115)-1)/26,0)))&amp;CHAR(96+IF(MOD(COLUMN(G1115),26)=0,26,MOD(COLUMN(G1115),26))))),$B1116)</f>
        <v>g1104</v>
      </c>
      <c r="H1117" s="899" t="str">
        <f t="shared" ref="H1117" si="2713">CONCATENATE(IF(COLUMN(H1115)&lt;=26,CHAR(96+COLUMN(H1115)),(CHAR(96+(ROUNDDOWN((COLUMN(H1115)-1)/26,0)))&amp;CHAR(96+IF(MOD(COLUMN(H1115),26)=0,26,MOD(COLUMN(H1115),26))))),$B1116)</f>
        <v>h1104</v>
      </c>
      <c r="I1117" s="899" t="str">
        <f t="shared" ref="I1117" si="2714">CONCATENATE(IF(COLUMN(I1115)&lt;=26,CHAR(96+COLUMN(I1115)),(CHAR(96+(ROUNDDOWN((COLUMN(I1115)-1)/26,0)))&amp;CHAR(96+IF(MOD(COLUMN(I1115),26)=0,26,MOD(COLUMN(I1115),26))))),$B1116)</f>
        <v>i1104</v>
      </c>
      <c r="J1117" s="899" t="str">
        <f t="shared" ref="J1117" si="2715">CONCATENATE(IF(COLUMN(J1115)&lt;=26,CHAR(96+COLUMN(J1115)),(CHAR(96+(ROUNDDOWN((COLUMN(J1115)-1)/26,0)))&amp;CHAR(96+IF(MOD(COLUMN(J1115),26)=0,26,MOD(COLUMN(J1115),26))))),$B1116)</f>
        <v>j1104</v>
      </c>
      <c r="K1117" s="899" t="str">
        <f t="shared" ref="K1117" si="2716">CONCATENATE(IF(COLUMN(K1115)&lt;=26,CHAR(96+COLUMN(K1115)),(CHAR(96+(ROUNDDOWN((COLUMN(K1115)-1)/26,0)))&amp;CHAR(96+IF(MOD(COLUMN(K1115),26)=0,26,MOD(COLUMN(K1115),26))))),$B1116)</f>
        <v>k1104</v>
      </c>
      <c r="L1117" s="899" t="str">
        <f t="shared" ref="L1117" si="2717">CONCATENATE(IF(COLUMN(L1115)&lt;=26,CHAR(96+COLUMN(L1115)),(CHAR(96+(ROUNDDOWN((COLUMN(L1115)-1)/26,0)))&amp;CHAR(96+IF(MOD(COLUMN(L1115),26)=0,26,MOD(COLUMN(L1115),26))))),$B1116)</f>
        <v>l1104</v>
      </c>
      <c r="U1117" s="663"/>
      <c r="Z1117" s="663"/>
      <c r="AA1117" s="663"/>
      <c r="AB1117" s="663"/>
      <c r="AC1117" s="663"/>
      <c r="AD1117" s="663"/>
      <c r="AE1117" s="663"/>
      <c r="AF1117" s="663"/>
      <c r="AG1117" s="663"/>
      <c r="AH1117" s="663"/>
      <c r="AI1117" s="663"/>
      <c r="AJ1117" s="663"/>
      <c r="AK1117" s="663"/>
      <c r="AL1117" s="663"/>
      <c r="AM1117" s="663"/>
      <c r="AN1117" s="663"/>
    </row>
    <row r="1118" spans="2:40" ht="14.45" hidden="1" customHeight="1" x14ac:dyDescent="0.25">
      <c r="C1118" s="662"/>
      <c r="U1118" s="663"/>
      <c r="Z1118" s="663"/>
      <c r="AA1118" s="663"/>
      <c r="AB1118" s="663"/>
      <c r="AC1118" s="663"/>
      <c r="AD1118" s="663"/>
      <c r="AE1118" s="663"/>
      <c r="AF1118" s="663"/>
      <c r="AG1118" s="663"/>
      <c r="AH1118" s="663"/>
      <c r="AI1118" s="663"/>
      <c r="AJ1118" s="663"/>
      <c r="AK1118" s="663"/>
      <c r="AL1118" s="663"/>
      <c r="AM1118" s="663"/>
      <c r="AN1118" s="663"/>
    </row>
    <row r="1119" spans="2:40" ht="14.45" hidden="1" customHeight="1" x14ac:dyDescent="0.25">
      <c r="C1119" s="662"/>
      <c r="U1119" s="663"/>
      <c r="Z1119" s="663"/>
      <c r="AA1119" s="663"/>
      <c r="AB1119" s="663"/>
      <c r="AC1119" s="663"/>
      <c r="AD1119" s="663"/>
      <c r="AE1119" s="663"/>
      <c r="AF1119" s="663"/>
      <c r="AG1119" s="663"/>
      <c r="AH1119" s="663"/>
      <c r="AI1119" s="663"/>
      <c r="AJ1119" s="663"/>
      <c r="AK1119" s="663"/>
      <c r="AL1119" s="663"/>
      <c r="AM1119" s="663"/>
      <c r="AN1119" s="663"/>
    </row>
    <row r="1120" spans="2:40" ht="14.45" hidden="1" customHeight="1" x14ac:dyDescent="0.25">
      <c r="B1120" s="936">
        <f>B1104</f>
        <v>39113</v>
      </c>
      <c r="C1120" s="662">
        <f>C1104</f>
        <v>-1000000</v>
      </c>
      <c r="D1120" s="662">
        <f t="shared" ref="D1120:L1120" si="2718">D1104</f>
        <v>-1000000</v>
      </c>
      <c r="E1120" s="662">
        <f t="shared" si="2718"/>
        <v>-1000000</v>
      </c>
      <c r="F1120" s="662">
        <f t="shared" si="2718"/>
        <v>-1000000</v>
      </c>
      <c r="G1120" s="662">
        <f t="shared" si="2718"/>
        <v>-1000000</v>
      </c>
      <c r="H1120" s="662">
        <f t="shared" si="2718"/>
        <v>-1000000</v>
      </c>
      <c r="I1120" s="662">
        <f t="shared" si="2718"/>
        <v>-1000000</v>
      </c>
      <c r="J1120" s="662">
        <f t="shared" si="2718"/>
        <v>-1000000</v>
      </c>
      <c r="K1120" s="662">
        <f t="shared" si="2718"/>
        <v>-1000000</v>
      </c>
      <c r="L1120" s="662">
        <f t="shared" si="2718"/>
        <v>-1000000</v>
      </c>
      <c r="U1120" s="663"/>
      <c r="Z1120" s="663"/>
      <c r="AA1120" s="663"/>
      <c r="AB1120" s="663"/>
      <c r="AC1120" s="663"/>
      <c r="AD1120" s="663"/>
      <c r="AE1120" s="663"/>
      <c r="AF1120" s="663"/>
      <c r="AG1120" s="663"/>
      <c r="AH1120" s="663"/>
      <c r="AI1120" s="663"/>
      <c r="AJ1120" s="663"/>
      <c r="AK1120" s="663"/>
      <c r="AL1120" s="663"/>
      <c r="AM1120" s="663"/>
      <c r="AN1120" s="663"/>
    </row>
    <row r="1121" spans="2:40" ht="14.45" hidden="1" customHeight="1" x14ac:dyDescent="0.25">
      <c r="B1121" s="936">
        <f t="shared" ref="B1121:L1121" si="2719">B1105</f>
        <v>39478</v>
      </c>
      <c r="C1121" s="662">
        <f t="shared" si="2719"/>
        <v>-2000000</v>
      </c>
      <c r="D1121" s="662">
        <f t="shared" si="2719"/>
        <v>-2000000</v>
      </c>
      <c r="E1121" s="662">
        <f t="shared" si="2719"/>
        <v>-2000000</v>
      </c>
      <c r="F1121" s="662">
        <f t="shared" si="2719"/>
        <v>-2000000</v>
      </c>
      <c r="G1121" s="662">
        <f t="shared" si="2719"/>
        <v>-2000000</v>
      </c>
      <c r="H1121" s="662">
        <f t="shared" si="2719"/>
        <v>-2000000</v>
      </c>
      <c r="I1121" s="662">
        <f t="shared" si="2719"/>
        <v>-2000000</v>
      </c>
      <c r="J1121" s="662">
        <f t="shared" si="2719"/>
        <v>-2000000</v>
      </c>
      <c r="K1121" s="662">
        <f t="shared" si="2719"/>
        <v>-2000000</v>
      </c>
      <c r="L1121" s="662">
        <f t="shared" si="2719"/>
        <v>-2000000</v>
      </c>
      <c r="U1121" s="663"/>
      <c r="Z1121" s="663"/>
      <c r="AA1121" s="663"/>
      <c r="AB1121" s="663"/>
      <c r="AC1121" s="663"/>
      <c r="AD1121" s="663"/>
      <c r="AE1121" s="663"/>
      <c r="AF1121" s="663"/>
      <c r="AG1121" s="663"/>
      <c r="AH1121" s="663"/>
      <c r="AI1121" s="663"/>
      <c r="AJ1121" s="663"/>
      <c r="AK1121" s="663"/>
      <c r="AL1121" s="663"/>
      <c r="AM1121" s="663"/>
      <c r="AN1121" s="663"/>
    </row>
    <row r="1122" spans="2:40" ht="14.45" hidden="1" customHeight="1" x14ac:dyDescent="0.25">
      <c r="B1122" s="936">
        <f t="shared" ref="B1122:L1122" si="2720">B1106</f>
        <v>39843</v>
      </c>
      <c r="C1122" s="662">
        <f t="shared" si="2720"/>
        <v>-2500000</v>
      </c>
      <c r="D1122" s="662">
        <f t="shared" si="2720"/>
        <v>-2500000</v>
      </c>
      <c r="E1122" s="662">
        <f t="shared" si="2720"/>
        <v>-2500000</v>
      </c>
      <c r="F1122" s="662">
        <f t="shared" si="2720"/>
        <v>-2500000</v>
      </c>
      <c r="G1122" s="662">
        <f t="shared" si="2720"/>
        <v>-2500000</v>
      </c>
      <c r="H1122" s="662">
        <f t="shared" si="2720"/>
        <v>-2500000</v>
      </c>
      <c r="I1122" s="662">
        <f t="shared" si="2720"/>
        <v>-2500000</v>
      </c>
      <c r="J1122" s="662">
        <f t="shared" si="2720"/>
        <v>-2500000</v>
      </c>
      <c r="K1122" s="662">
        <f t="shared" si="2720"/>
        <v>-2500000</v>
      </c>
      <c r="L1122" s="662">
        <f t="shared" si="2720"/>
        <v>-2500000</v>
      </c>
      <c r="U1122" s="663"/>
      <c r="Z1122" s="663"/>
      <c r="AA1122" s="663"/>
      <c r="AB1122" s="663"/>
      <c r="AC1122" s="663"/>
      <c r="AD1122" s="663"/>
      <c r="AE1122" s="663"/>
      <c r="AF1122" s="663"/>
      <c r="AG1122" s="663"/>
      <c r="AH1122" s="663"/>
      <c r="AI1122" s="663"/>
      <c r="AJ1122" s="663"/>
      <c r="AK1122" s="663"/>
      <c r="AL1122" s="663"/>
      <c r="AM1122" s="663"/>
      <c r="AN1122" s="663"/>
    </row>
    <row r="1123" spans="2:40" ht="14.45" hidden="1" customHeight="1" x14ac:dyDescent="0.25">
      <c r="B1123" s="936">
        <f t="shared" ref="B1123:L1123" si="2721">B1107</f>
        <v>39843</v>
      </c>
      <c r="C1123" s="662">
        <f t="shared" si="2721"/>
        <v>0</v>
      </c>
      <c r="D1123" s="662">
        <f t="shared" si="2721"/>
        <v>0</v>
      </c>
      <c r="E1123" s="662">
        <f t="shared" si="2721"/>
        <v>0</v>
      </c>
      <c r="F1123" s="662">
        <f t="shared" si="2721"/>
        <v>0</v>
      </c>
      <c r="G1123" s="662">
        <f t="shared" si="2721"/>
        <v>0</v>
      </c>
      <c r="H1123" s="662">
        <f t="shared" si="2721"/>
        <v>0</v>
      </c>
      <c r="I1123" s="662">
        <f t="shared" si="2721"/>
        <v>0</v>
      </c>
      <c r="J1123" s="662">
        <f t="shared" si="2721"/>
        <v>0</v>
      </c>
      <c r="K1123" s="662">
        <f t="shared" si="2721"/>
        <v>0</v>
      </c>
      <c r="L1123" s="662">
        <f t="shared" si="2721"/>
        <v>0</v>
      </c>
      <c r="U1123" s="663"/>
      <c r="Z1123" s="663"/>
      <c r="AA1123" s="663"/>
      <c r="AB1123" s="663"/>
      <c r="AC1123" s="663"/>
      <c r="AD1123" s="663"/>
      <c r="AE1123" s="663"/>
      <c r="AF1123" s="663"/>
      <c r="AG1123" s="663"/>
      <c r="AH1123" s="663"/>
      <c r="AI1123" s="663"/>
      <c r="AJ1123" s="663"/>
      <c r="AK1123" s="663"/>
      <c r="AL1123" s="663"/>
      <c r="AM1123" s="663"/>
      <c r="AN1123" s="663"/>
    </row>
    <row r="1124" spans="2:40" ht="14.45" hidden="1" customHeight="1" x14ac:dyDescent="0.25">
      <c r="B1124" s="936">
        <f t="shared" ref="B1124:L1124" si="2722">B1108</f>
        <v>39843</v>
      </c>
      <c r="C1124" s="662">
        <f t="shared" si="2722"/>
        <v>0</v>
      </c>
      <c r="D1124" s="662">
        <f t="shared" si="2722"/>
        <v>0</v>
      </c>
      <c r="E1124" s="662">
        <f t="shared" si="2722"/>
        <v>0</v>
      </c>
      <c r="F1124" s="662">
        <f t="shared" si="2722"/>
        <v>0</v>
      </c>
      <c r="G1124" s="662">
        <f t="shared" si="2722"/>
        <v>0</v>
      </c>
      <c r="H1124" s="662">
        <f t="shared" si="2722"/>
        <v>0</v>
      </c>
      <c r="I1124" s="662">
        <f t="shared" si="2722"/>
        <v>0</v>
      </c>
      <c r="J1124" s="662">
        <f t="shared" si="2722"/>
        <v>0</v>
      </c>
      <c r="K1124" s="662">
        <f t="shared" si="2722"/>
        <v>0</v>
      </c>
      <c r="L1124" s="662">
        <f t="shared" si="2722"/>
        <v>0</v>
      </c>
      <c r="U1124" s="663"/>
      <c r="Z1124" s="663"/>
      <c r="AA1124" s="663"/>
      <c r="AB1124" s="663"/>
      <c r="AC1124" s="663"/>
      <c r="AD1124" s="663"/>
      <c r="AE1124" s="663"/>
      <c r="AF1124" s="663"/>
      <c r="AG1124" s="663"/>
      <c r="AH1124" s="663"/>
      <c r="AI1124" s="663"/>
      <c r="AJ1124" s="663"/>
      <c r="AK1124" s="663"/>
      <c r="AL1124" s="663"/>
      <c r="AM1124" s="663"/>
      <c r="AN1124" s="663"/>
    </row>
    <row r="1125" spans="2:40" ht="14.45" hidden="1" customHeight="1" x14ac:dyDescent="0.25">
      <c r="B1125" s="936">
        <f t="shared" ref="B1125:L1125" si="2723">B1109</f>
        <v>39843</v>
      </c>
      <c r="C1125" s="662">
        <f t="shared" si="2723"/>
        <v>0</v>
      </c>
      <c r="D1125" s="662">
        <f t="shared" si="2723"/>
        <v>0</v>
      </c>
      <c r="E1125" s="662">
        <f t="shared" si="2723"/>
        <v>0</v>
      </c>
      <c r="F1125" s="662">
        <f t="shared" si="2723"/>
        <v>0</v>
      </c>
      <c r="G1125" s="662">
        <f t="shared" si="2723"/>
        <v>0</v>
      </c>
      <c r="H1125" s="662">
        <f t="shared" si="2723"/>
        <v>0</v>
      </c>
      <c r="I1125" s="662">
        <f t="shared" si="2723"/>
        <v>0</v>
      </c>
      <c r="J1125" s="662">
        <f t="shared" si="2723"/>
        <v>0</v>
      </c>
      <c r="K1125" s="662">
        <f t="shared" si="2723"/>
        <v>0</v>
      </c>
      <c r="L1125" s="662">
        <f t="shared" si="2723"/>
        <v>0</v>
      </c>
      <c r="U1125" s="663"/>
      <c r="Z1125" s="663"/>
      <c r="AA1125" s="663"/>
      <c r="AB1125" s="663"/>
      <c r="AC1125" s="663"/>
      <c r="AD1125" s="663"/>
      <c r="AE1125" s="663"/>
      <c r="AF1125" s="663"/>
      <c r="AG1125" s="663"/>
      <c r="AH1125" s="663"/>
      <c r="AI1125" s="663"/>
      <c r="AJ1125" s="663"/>
      <c r="AK1125" s="663"/>
      <c r="AL1125" s="663"/>
      <c r="AM1125" s="663"/>
      <c r="AN1125" s="663"/>
    </row>
    <row r="1126" spans="2:40" ht="14.45" hidden="1" customHeight="1" x14ac:dyDescent="0.25">
      <c r="B1126" s="936">
        <f t="shared" ref="B1126:L1126" si="2724">B1110</f>
        <v>39843</v>
      </c>
      <c r="C1126" s="662">
        <f t="shared" si="2724"/>
        <v>0</v>
      </c>
      <c r="D1126" s="662">
        <f t="shared" si="2724"/>
        <v>0</v>
      </c>
      <c r="E1126" s="662">
        <f t="shared" si="2724"/>
        <v>0</v>
      </c>
      <c r="F1126" s="662">
        <f t="shared" si="2724"/>
        <v>0</v>
      </c>
      <c r="G1126" s="662">
        <f t="shared" si="2724"/>
        <v>0</v>
      </c>
      <c r="H1126" s="662">
        <f t="shared" si="2724"/>
        <v>0</v>
      </c>
      <c r="I1126" s="662">
        <f t="shared" si="2724"/>
        <v>0</v>
      </c>
      <c r="J1126" s="662">
        <f t="shared" si="2724"/>
        <v>0</v>
      </c>
      <c r="K1126" s="662">
        <f t="shared" si="2724"/>
        <v>0</v>
      </c>
      <c r="L1126" s="662">
        <f t="shared" si="2724"/>
        <v>0</v>
      </c>
      <c r="U1126" s="663"/>
      <c r="Z1126" s="663"/>
      <c r="AA1126" s="663"/>
      <c r="AB1126" s="663"/>
      <c r="AC1126" s="663"/>
      <c r="AD1126" s="663"/>
      <c r="AE1126" s="663"/>
      <c r="AF1126" s="663"/>
      <c r="AG1126" s="663"/>
      <c r="AH1126" s="663"/>
      <c r="AI1126" s="663"/>
      <c r="AJ1126" s="663"/>
      <c r="AK1126" s="663"/>
      <c r="AL1126" s="663"/>
      <c r="AM1126" s="663"/>
      <c r="AN1126" s="663"/>
    </row>
    <row r="1127" spans="2:40" ht="14.45" hidden="1" customHeight="1" x14ac:dyDescent="0.25">
      <c r="B1127" s="936">
        <f t="shared" ref="B1127:L1127" si="2725">B1111</f>
        <v>39843</v>
      </c>
      <c r="C1127" s="662">
        <f t="shared" si="2725"/>
        <v>0</v>
      </c>
      <c r="D1127" s="662">
        <f t="shared" si="2725"/>
        <v>0</v>
      </c>
      <c r="E1127" s="662">
        <f t="shared" si="2725"/>
        <v>0</v>
      </c>
      <c r="F1127" s="662">
        <f t="shared" si="2725"/>
        <v>0</v>
      </c>
      <c r="G1127" s="662">
        <f t="shared" si="2725"/>
        <v>0</v>
      </c>
      <c r="H1127" s="662">
        <f t="shared" si="2725"/>
        <v>0</v>
      </c>
      <c r="I1127" s="662">
        <f t="shared" si="2725"/>
        <v>0</v>
      </c>
      <c r="J1127" s="662">
        <f t="shared" si="2725"/>
        <v>0</v>
      </c>
      <c r="K1127" s="662">
        <f t="shared" si="2725"/>
        <v>0</v>
      </c>
      <c r="L1127" s="662">
        <f t="shared" si="2725"/>
        <v>0</v>
      </c>
      <c r="U1127" s="663"/>
      <c r="Z1127" s="663"/>
      <c r="AA1127" s="663"/>
      <c r="AB1127" s="663"/>
      <c r="AC1127" s="663"/>
      <c r="AD1127" s="663"/>
      <c r="AE1127" s="663"/>
      <c r="AF1127" s="663"/>
      <c r="AG1127" s="663"/>
      <c r="AH1127" s="663"/>
      <c r="AI1127" s="663"/>
      <c r="AJ1127" s="663"/>
      <c r="AK1127" s="663"/>
      <c r="AL1127" s="663"/>
      <c r="AM1127" s="663"/>
      <c r="AN1127" s="663"/>
    </row>
    <row r="1128" spans="2:40" ht="14.45" hidden="1" customHeight="1" x14ac:dyDescent="0.25">
      <c r="B1128" s="936">
        <f t="shared" ref="B1128:L1128" si="2726">B1112</f>
        <v>39843</v>
      </c>
      <c r="C1128" s="662">
        <f t="shared" si="2726"/>
        <v>0</v>
      </c>
      <c r="D1128" s="662">
        <f t="shared" si="2726"/>
        <v>0</v>
      </c>
      <c r="E1128" s="662">
        <f t="shared" si="2726"/>
        <v>0</v>
      </c>
      <c r="F1128" s="662">
        <f t="shared" si="2726"/>
        <v>0</v>
      </c>
      <c r="G1128" s="662">
        <f t="shared" si="2726"/>
        <v>0</v>
      </c>
      <c r="H1128" s="662">
        <f t="shared" si="2726"/>
        <v>0</v>
      </c>
      <c r="I1128" s="662">
        <f t="shared" si="2726"/>
        <v>0</v>
      </c>
      <c r="J1128" s="662">
        <f t="shared" si="2726"/>
        <v>0</v>
      </c>
      <c r="K1128" s="662">
        <f t="shared" si="2726"/>
        <v>0</v>
      </c>
      <c r="L1128" s="662">
        <f t="shared" si="2726"/>
        <v>0</v>
      </c>
      <c r="U1128" s="663"/>
      <c r="Z1128" s="663"/>
      <c r="AA1128" s="663"/>
      <c r="AB1128" s="663"/>
      <c r="AC1128" s="663"/>
      <c r="AD1128" s="663"/>
      <c r="AE1128" s="663"/>
      <c r="AF1128" s="663"/>
      <c r="AG1128" s="663"/>
      <c r="AH1128" s="663"/>
      <c r="AI1128" s="663"/>
      <c r="AJ1128" s="663"/>
      <c r="AK1128" s="663"/>
      <c r="AL1128" s="663"/>
      <c r="AM1128" s="663"/>
      <c r="AN1128" s="663"/>
    </row>
    <row r="1129" spans="2:40" ht="14.45" hidden="1" customHeight="1" x14ac:dyDescent="0.25">
      <c r="B1129" s="936">
        <f t="shared" ref="B1129:L1129" si="2727">B1113</f>
        <v>39843</v>
      </c>
      <c r="C1129" s="662">
        <f t="shared" si="2727"/>
        <v>0</v>
      </c>
      <c r="D1129" s="662">
        <f t="shared" si="2727"/>
        <v>0</v>
      </c>
      <c r="E1129" s="662">
        <f t="shared" si="2727"/>
        <v>0</v>
      </c>
      <c r="F1129" s="662">
        <f t="shared" si="2727"/>
        <v>0</v>
      </c>
      <c r="G1129" s="662">
        <f t="shared" si="2727"/>
        <v>0</v>
      </c>
      <c r="H1129" s="662">
        <f t="shared" si="2727"/>
        <v>0</v>
      </c>
      <c r="I1129" s="662">
        <f t="shared" si="2727"/>
        <v>0</v>
      </c>
      <c r="J1129" s="662">
        <f t="shared" si="2727"/>
        <v>0</v>
      </c>
      <c r="K1129" s="662">
        <f t="shared" si="2727"/>
        <v>0</v>
      </c>
      <c r="L1129" s="662">
        <f t="shared" si="2727"/>
        <v>0</v>
      </c>
      <c r="U1129" s="663"/>
      <c r="Z1129" s="663"/>
      <c r="AA1129" s="663"/>
      <c r="AB1129" s="663"/>
      <c r="AC1129" s="663"/>
      <c r="AD1129" s="663"/>
      <c r="AE1129" s="663"/>
      <c r="AF1129" s="663"/>
      <c r="AG1129" s="663"/>
      <c r="AH1129" s="663"/>
      <c r="AI1129" s="663"/>
      <c r="AJ1129" s="663"/>
      <c r="AK1129" s="663"/>
      <c r="AL1129" s="663"/>
      <c r="AM1129" s="663"/>
      <c r="AN1129" s="663"/>
    </row>
    <row r="1130" spans="2:40" ht="14.45" hidden="1" customHeight="1" x14ac:dyDescent="0.25">
      <c r="B1130" s="936">
        <f>B1064</f>
        <v>41539</v>
      </c>
      <c r="C1130" s="662">
        <f t="shared" ref="C1130:L1130" si="2728">C1114</f>
        <v>2823795.1807228918</v>
      </c>
      <c r="D1130" s="662">
        <f t="shared" si="2728"/>
        <v>4235692.7710843375</v>
      </c>
      <c r="E1130" s="662">
        <f t="shared" si="2728"/>
        <v>5647590.3614457836</v>
      </c>
      <c r="F1130" s="662">
        <f t="shared" si="2728"/>
        <v>7059487.9518072288</v>
      </c>
      <c r="G1130" s="662">
        <f t="shared" si="2728"/>
        <v>8471385.542168675</v>
      </c>
      <c r="H1130" s="662">
        <f t="shared" si="2728"/>
        <v>9883283.1325301211</v>
      </c>
      <c r="I1130" s="662">
        <f t="shared" si="2728"/>
        <v>11295180.722891567</v>
      </c>
      <c r="J1130" s="662">
        <f t="shared" si="2728"/>
        <v>12707078.313253012</v>
      </c>
      <c r="K1130" s="662">
        <f t="shared" si="2728"/>
        <v>14118975.903614458</v>
      </c>
      <c r="L1130" s="662">
        <f t="shared" si="2728"/>
        <v>15530873.493975904</v>
      </c>
      <c r="U1130" s="663"/>
      <c r="Z1130" s="663"/>
      <c r="AA1130" s="663"/>
      <c r="AB1130" s="663"/>
      <c r="AC1130" s="663"/>
      <c r="AD1130" s="663"/>
      <c r="AE1130" s="663"/>
      <c r="AF1130" s="663"/>
      <c r="AG1130" s="663"/>
      <c r="AH1130" s="663"/>
      <c r="AI1130" s="663"/>
      <c r="AJ1130" s="663"/>
      <c r="AK1130" s="663"/>
      <c r="AL1130" s="663"/>
      <c r="AM1130" s="663"/>
      <c r="AN1130" s="663"/>
    </row>
    <row r="1131" spans="2:40" ht="14.45" hidden="1" customHeight="1" x14ac:dyDescent="0.25">
      <c r="C1131" s="882" t="str">
        <f ca="1">IF(ISERROR(XIRR(INDIRECT(C1133):C1130,INDIRECT($B1133):$B1130,-20%)),XIRR(INDIRECT(C1133):C1130,INDIRECT($B1133):$B1130,20%),"N/A")</f>
        <v>N/A</v>
      </c>
      <c r="D1131" s="882" t="str">
        <f ca="1">IF(ISERROR(XIRR(INDIRECT(D1133):D1130,INDIRECT($B1133):$B1130,-20%)),XIRR(INDIRECT(D1133):D1130,INDIRECT($B1133):$B1130,20%),"N/A")</f>
        <v>N/A</v>
      </c>
      <c r="E1131" s="882">
        <f ca="1">IF(ISERROR(XIRR(INDIRECT(E1133):E1130,INDIRECT($B1133):$B1130,-20%)),XIRR(INDIRECT(E1133):E1130,INDIRECT($B1133):$B1130,20%),"N/A")</f>
        <v>4.9386173486709595E-3</v>
      </c>
      <c r="F1131" s="882">
        <f ca="1">IF(ISERROR(XIRR(INDIRECT(F1133):F1130,INDIRECT($B1133):$B1130,-20%)),XIRR(INDIRECT(F1133):F1130,INDIRECT($B1133):$B1130,20%),"N/A")</f>
        <v>4.7429224848747245E-2</v>
      </c>
      <c r="G1131" s="882">
        <f ca="1">IF(ISERROR(XIRR(INDIRECT(G1133):G1130,INDIRECT($B1133):$B1130,-20%)),XIRR(INDIRECT(G1133):G1130,INDIRECT($B1133):$B1130,20%),"N/A")</f>
        <v>8.333158195018768E-2</v>
      </c>
      <c r="H1131" s="882">
        <f ca="1">IF(ISERROR(XIRR(INDIRECT(H1133):H1130,INDIRECT($B1133):$B1130,-20%)),XIRR(INDIRECT(H1133):H1130,INDIRECT($B1133):$B1130,20%),"N/A")</f>
        <v>0.1145401418209076</v>
      </c>
      <c r="I1131" s="882">
        <f ca="1">IF(ISERROR(XIRR(INDIRECT(I1133):I1130,INDIRECT($B1133):$B1130,-20%)),XIRR(INDIRECT(I1133):I1130,INDIRECT($B1133):$B1130,20%),"N/A")</f>
        <v>0.14222047924995429</v>
      </c>
      <c r="J1131" s="882">
        <f ca="1">IF(ISERROR(XIRR(INDIRECT(J1133):J1130,INDIRECT($B1133):$B1130,-20%)),XIRR(INDIRECT(J1133):J1130,INDIRECT($B1133):$B1130,20%),"N/A")</f>
        <v>0.16714377999305727</v>
      </c>
      <c r="K1131" s="882">
        <f ca="1">IF(ISERROR(XIRR(INDIRECT(K1133):K1130,INDIRECT($B1133):$B1130,-20%)),XIRR(INDIRECT(K1133):K1130,INDIRECT($B1133):$B1130,20%),"N/A")</f>
        <v>0.18984832167625423</v>
      </c>
      <c r="L1131" s="882">
        <f ca="1">IF(ISERROR(XIRR(INDIRECT(L1133):L1130,INDIRECT($B1133):$B1130,-20%)),XIRR(INDIRECT(L1133):L1130,INDIRECT($B1133):$B1130,20%),"N/A")</f>
        <v>0.21072551608085632</v>
      </c>
      <c r="U1131" s="663"/>
      <c r="Z1131" s="663"/>
      <c r="AA1131" s="663"/>
      <c r="AB1131" s="663"/>
      <c r="AC1131" s="663"/>
      <c r="AD1131" s="663"/>
      <c r="AE1131" s="663"/>
      <c r="AF1131" s="663"/>
      <c r="AG1131" s="663"/>
      <c r="AH1131" s="663"/>
      <c r="AI1131" s="663"/>
      <c r="AJ1131" s="663"/>
      <c r="AK1131" s="663"/>
      <c r="AL1131" s="663"/>
      <c r="AM1131" s="663"/>
      <c r="AN1131" s="663"/>
    </row>
    <row r="1132" spans="2:40" ht="14.45" hidden="1" customHeight="1" x14ac:dyDescent="0.25">
      <c r="B1132" s="898">
        <f>IF(C1120&lt;&gt;0,ROW(C1120),IF(C1121&lt;&gt;0,ROW(C1121),IF(C1122&lt;&gt;0,ROW(C1122),IF(C1123&lt;&gt;0,ROW(C1123),IF(C1124&lt;&gt;0,ROW(C1124),IF(C1125&lt;&gt;0,ROW(C1125),IF(C1126&lt;&gt;0,ROW(C1126),IF(C1127&lt;&gt;0,ROW(C1127),IF(C1128&lt;&gt;0,ROW(C1128),IF(C1129&lt;&gt;0,ROW(C1129)))))))))))</f>
        <v>1120</v>
      </c>
      <c r="C1132" s="882"/>
      <c r="U1132" s="663"/>
      <c r="Z1132" s="663"/>
      <c r="AA1132" s="663"/>
      <c r="AB1132" s="663"/>
      <c r="AC1132" s="663"/>
      <c r="AD1132" s="663"/>
      <c r="AE1132" s="663"/>
      <c r="AF1132" s="663"/>
      <c r="AG1132" s="663"/>
      <c r="AH1132" s="663"/>
      <c r="AI1132" s="663"/>
      <c r="AJ1132" s="663"/>
      <c r="AK1132" s="663"/>
      <c r="AL1132" s="663"/>
      <c r="AM1132" s="663"/>
      <c r="AN1132" s="663"/>
    </row>
    <row r="1133" spans="2:40" ht="14.45" hidden="1" customHeight="1" x14ac:dyDescent="0.25">
      <c r="B1133" s="899" t="str">
        <f>CONCATENATE(IF(COLUMN(B1132)&lt;=26,CHAR(96+COLUMN(B1132)),(CHAR(96+(ROUNDDOWN((COLUMN(B1132)-1)/26,0)))&amp;CHAR(96+IF(MOD(COLUMN(B1132),26)=0,26,MOD(COLUMN(B1132),26))))),B1132)</f>
        <v>b1120</v>
      </c>
      <c r="C1133" s="899" t="str">
        <f>CONCATENATE(IF(COLUMN(C1131)&lt;=26,CHAR(96+COLUMN(C1131)),(CHAR(96+(ROUNDDOWN((COLUMN(C1131)-1)/26,0)))&amp;CHAR(96+IF(MOD(COLUMN(C1131),26)=0,26,MOD(COLUMN(C1131),26))))),$B1132)</f>
        <v>c1120</v>
      </c>
      <c r="D1133" s="899" t="str">
        <f t="shared" ref="D1133" si="2729">CONCATENATE(IF(COLUMN(D1131)&lt;=26,CHAR(96+COLUMN(D1131)),(CHAR(96+(ROUNDDOWN((COLUMN(D1131)-1)/26,0)))&amp;CHAR(96+IF(MOD(COLUMN(D1131),26)=0,26,MOD(COLUMN(D1131),26))))),$B1132)</f>
        <v>d1120</v>
      </c>
      <c r="E1133" s="899" t="str">
        <f t="shared" ref="E1133" si="2730">CONCATENATE(IF(COLUMN(E1131)&lt;=26,CHAR(96+COLUMN(E1131)),(CHAR(96+(ROUNDDOWN((COLUMN(E1131)-1)/26,0)))&amp;CHAR(96+IF(MOD(COLUMN(E1131),26)=0,26,MOD(COLUMN(E1131),26))))),$B1132)</f>
        <v>e1120</v>
      </c>
      <c r="F1133" s="899" t="str">
        <f t="shared" ref="F1133" si="2731">CONCATENATE(IF(COLUMN(F1131)&lt;=26,CHAR(96+COLUMN(F1131)),(CHAR(96+(ROUNDDOWN((COLUMN(F1131)-1)/26,0)))&amp;CHAR(96+IF(MOD(COLUMN(F1131),26)=0,26,MOD(COLUMN(F1131),26))))),$B1132)</f>
        <v>f1120</v>
      </c>
      <c r="G1133" s="899" t="str">
        <f t="shared" ref="G1133" si="2732">CONCATENATE(IF(COLUMN(G1131)&lt;=26,CHAR(96+COLUMN(G1131)),(CHAR(96+(ROUNDDOWN((COLUMN(G1131)-1)/26,0)))&amp;CHAR(96+IF(MOD(COLUMN(G1131),26)=0,26,MOD(COLUMN(G1131),26))))),$B1132)</f>
        <v>g1120</v>
      </c>
      <c r="H1133" s="899" t="str">
        <f t="shared" ref="H1133" si="2733">CONCATENATE(IF(COLUMN(H1131)&lt;=26,CHAR(96+COLUMN(H1131)),(CHAR(96+(ROUNDDOWN((COLUMN(H1131)-1)/26,0)))&amp;CHAR(96+IF(MOD(COLUMN(H1131),26)=0,26,MOD(COLUMN(H1131),26))))),$B1132)</f>
        <v>h1120</v>
      </c>
      <c r="I1133" s="899" t="str">
        <f t="shared" ref="I1133" si="2734">CONCATENATE(IF(COLUMN(I1131)&lt;=26,CHAR(96+COLUMN(I1131)),(CHAR(96+(ROUNDDOWN((COLUMN(I1131)-1)/26,0)))&amp;CHAR(96+IF(MOD(COLUMN(I1131),26)=0,26,MOD(COLUMN(I1131),26))))),$B1132)</f>
        <v>i1120</v>
      </c>
      <c r="J1133" s="899" t="str">
        <f t="shared" ref="J1133" si="2735">CONCATENATE(IF(COLUMN(J1131)&lt;=26,CHAR(96+COLUMN(J1131)),(CHAR(96+(ROUNDDOWN((COLUMN(J1131)-1)/26,0)))&amp;CHAR(96+IF(MOD(COLUMN(J1131),26)=0,26,MOD(COLUMN(J1131),26))))),$B1132)</f>
        <v>j1120</v>
      </c>
      <c r="K1133" s="899" t="str">
        <f t="shared" ref="K1133" si="2736">CONCATENATE(IF(COLUMN(K1131)&lt;=26,CHAR(96+COLUMN(K1131)),(CHAR(96+(ROUNDDOWN((COLUMN(K1131)-1)/26,0)))&amp;CHAR(96+IF(MOD(COLUMN(K1131),26)=0,26,MOD(COLUMN(K1131),26))))),$B1132)</f>
        <v>k1120</v>
      </c>
      <c r="L1133" s="899" t="str">
        <f t="shared" ref="L1133" si="2737">CONCATENATE(IF(COLUMN(L1131)&lt;=26,CHAR(96+COLUMN(L1131)),(CHAR(96+(ROUNDDOWN((COLUMN(L1131)-1)/26,0)))&amp;CHAR(96+IF(MOD(COLUMN(L1131),26)=0,26,MOD(COLUMN(L1131),26))))),$B1132)</f>
        <v>l1120</v>
      </c>
      <c r="U1133" s="663"/>
      <c r="Z1133" s="663"/>
      <c r="AA1133" s="663"/>
      <c r="AB1133" s="663"/>
      <c r="AC1133" s="663"/>
      <c r="AD1133" s="663"/>
      <c r="AE1133" s="663"/>
      <c r="AF1133" s="663"/>
      <c r="AG1133" s="663"/>
      <c r="AH1133" s="663"/>
      <c r="AI1133" s="663"/>
      <c r="AJ1133" s="663"/>
      <c r="AK1133" s="663"/>
      <c r="AL1133" s="663"/>
      <c r="AM1133" s="663"/>
      <c r="AN1133" s="663"/>
    </row>
    <row r="1134" spans="2:40" ht="14.45" hidden="1" customHeight="1" x14ac:dyDescent="0.25">
      <c r="C1134" s="662"/>
      <c r="U1134" s="663"/>
      <c r="Z1134" s="663"/>
      <c r="AA1134" s="663"/>
      <c r="AB1134" s="663"/>
      <c r="AC1134" s="663"/>
      <c r="AD1134" s="663"/>
      <c r="AE1134" s="663"/>
      <c r="AF1134" s="663"/>
      <c r="AG1134" s="663"/>
      <c r="AH1134" s="663"/>
      <c r="AI1134" s="663"/>
      <c r="AJ1134" s="663"/>
      <c r="AK1134" s="663"/>
      <c r="AL1134" s="663"/>
      <c r="AM1134" s="663"/>
      <c r="AN1134" s="663"/>
    </row>
    <row r="1135" spans="2:40" ht="14.45" hidden="1" customHeight="1" x14ac:dyDescent="0.25">
      <c r="C1135" s="662"/>
      <c r="U1135" s="663"/>
      <c r="Z1135" s="663"/>
      <c r="AA1135" s="663"/>
      <c r="AB1135" s="663"/>
      <c r="AC1135" s="663"/>
      <c r="AD1135" s="663"/>
      <c r="AE1135" s="663"/>
      <c r="AF1135" s="663"/>
      <c r="AG1135" s="663"/>
      <c r="AH1135" s="663"/>
      <c r="AI1135" s="663"/>
      <c r="AJ1135" s="663"/>
      <c r="AK1135" s="663"/>
      <c r="AL1135" s="663"/>
      <c r="AM1135" s="663"/>
      <c r="AN1135" s="663"/>
    </row>
    <row r="1136" spans="2:40" ht="14.45" hidden="1" customHeight="1" x14ac:dyDescent="0.25">
      <c r="B1136" s="936">
        <f>B1120</f>
        <v>39113</v>
      </c>
      <c r="C1136" s="662">
        <f>C1120</f>
        <v>-1000000</v>
      </c>
      <c r="D1136" s="662">
        <f t="shared" ref="D1136:L1136" si="2738">D1120</f>
        <v>-1000000</v>
      </c>
      <c r="E1136" s="662">
        <f t="shared" si="2738"/>
        <v>-1000000</v>
      </c>
      <c r="F1136" s="662">
        <f t="shared" si="2738"/>
        <v>-1000000</v>
      </c>
      <c r="G1136" s="662">
        <f t="shared" si="2738"/>
        <v>-1000000</v>
      </c>
      <c r="H1136" s="662">
        <f t="shared" si="2738"/>
        <v>-1000000</v>
      </c>
      <c r="I1136" s="662">
        <f t="shared" si="2738"/>
        <v>-1000000</v>
      </c>
      <c r="J1136" s="662">
        <f t="shared" si="2738"/>
        <v>-1000000</v>
      </c>
      <c r="K1136" s="662">
        <f t="shared" si="2738"/>
        <v>-1000000</v>
      </c>
      <c r="L1136" s="662">
        <f t="shared" si="2738"/>
        <v>-1000000</v>
      </c>
      <c r="U1136" s="663"/>
      <c r="Z1136" s="663"/>
      <c r="AA1136" s="663"/>
      <c r="AB1136" s="663"/>
      <c r="AC1136" s="663"/>
      <c r="AD1136" s="663"/>
      <c r="AE1136" s="663"/>
      <c r="AF1136" s="663"/>
      <c r="AG1136" s="663"/>
      <c r="AH1136" s="663"/>
      <c r="AI1136" s="663"/>
      <c r="AJ1136" s="663"/>
      <c r="AK1136" s="663"/>
      <c r="AL1136" s="663"/>
      <c r="AM1136" s="663"/>
      <c r="AN1136" s="663"/>
    </row>
    <row r="1137" spans="2:40" ht="14.45" hidden="1" customHeight="1" x14ac:dyDescent="0.25">
      <c r="B1137" s="936">
        <f t="shared" ref="B1137:L1137" si="2739">B1121</f>
        <v>39478</v>
      </c>
      <c r="C1137" s="662">
        <f t="shared" si="2739"/>
        <v>-2000000</v>
      </c>
      <c r="D1137" s="662">
        <f t="shared" si="2739"/>
        <v>-2000000</v>
      </c>
      <c r="E1137" s="662">
        <f t="shared" si="2739"/>
        <v>-2000000</v>
      </c>
      <c r="F1137" s="662">
        <f t="shared" si="2739"/>
        <v>-2000000</v>
      </c>
      <c r="G1137" s="662">
        <f t="shared" si="2739"/>
        <v>-2000000</v>
      </c>
      <c r="H1137" s="662">
        <f t="shared" si="2739"/>
        <v>-2000000</v>
      </c>
      <c r="I1137" s="662">
        <f t="shared" si="2739"/>
        <v>-2000000</v>
      </c>
      <c r="J1137" s="662">
        <f t="shared" si="2739"/>
        <v>-2000000</v>
      </c>
      <c r="K1137" s="662">
        <f t="shared" si="2739"/>
        <v>-2000000</v>
      </c>
      <c r="L1137" s="662">
        <f t="shared" si="2739"/>
        <v>-2000000</v>
      </c>
      <c r="U1137" s="663"/>
      <c r="Z1137" s="663"/>
      <c r="AA1137" s="663"/>
      <c r="AB1137" s="663"/>
      <c r="AC1137" s="663"/>
      <c r="AD1137" s="663"/>
      <c r="AE1137" s="663"/>
      <c r="AF1137" s="663"/>
      <c r="AG1137" s="663"/>
      <c r="AH1137" s="663"/>
      <c r="AI1137" s="663"/>
      <c r="AJ1137" s="663"/>
      <c r="AK1137" s="663"/>
      <c r="AL1137" s="663"/>
      <c r="AM1137" s="663"/>
      <c r="AN1137" s="663"/>
    </row>
    <row r="1138" spans="2:40" ht="14.45" hidden="1" customHeight="1" x14ac:dyDescent="0.25">
      <c r="B1138" s="936">
        <f t="shared" ref="B1138:L1138" si="2740">B1122</f>
        <v>39843</v>
      </c>
      <c r="C1138" s="662">
        <f t="shared" si="2740"/>
        <v>-2500000</v>
      </c>
      <c r="D1138" s="662">
        <f t="shared" si="2740"/>
        <v>-2500000</v>
      </c>
      <c r="E1138" s="662">
        <f t="shared" si="2740"/>
        <v>-2500000</v>
      </c>
      <c r="F1138" s="662">
        <f t="shared" si="2740"/>
        <v>-2500000</v>
      </c>
      <c r="G1138" s="662">
        <f t="shared" si="2740"/>
        <v>-2500000</v>
      </c>
      <c r="H1138" s="662">
        <f t="shared" si="2740"/>
        <v>-2500000</v>
      </c>
      <c r="I1138" s="662">
        <f t="shared" si="2740"/>
        <v>-2500000</v>
      </c>
      <c r="J1138" s="662">
        <f t="shared" si="2740"/>
        <v>-2500000</v>
      </c>
      <c r="K1138" s="662">
        <f t="shared" si="2740"/>
        <v>-2500000</v>
      </c>
      <c r="L1138" s="662">
        <f t="shared" si="2740"/>
        <v>-2500000</v>
      </c>
      <c r="U1138" s="663"/>
      <c r="Z1138" s="663"/>
      <c r="AA1138" s="663"/>
      <c r="AB1138" s="663"/>
      <c r="AC1138" s="663"/>
      <c r="AD1138" s="663"/>
      <c r="AE1138" s="663"/>
      <c r="AF1138" s="663"/>
      <c r="AG1138" s="663"/>
      <c r="AH1138" s="663"/>
      <c r="AI1138" s="663"/>
      <c r="AJ1138" s="663"/>
      <c r="AK1138" s="663"/>
      <c r="AL1138" s="663"/>
      <c r="AM1138" s="663"/>
      <c r="AN1138" s="663"/>
    </row>
    <row r="1139" spans="2:40" ht="14.45" hidden="1" customHeight="1" x14ac:dyDescent="0.25">
      <c r="B1139" s="936">
        <f t="shared" ref="B1139:L1139" si="2741">B1123</f>
        <v>39843</v>
      </c>
      <c r="C1139" s="662">
        <f t="shared" si="2741"/>
        <v>0</v>
      </c>
      <c r="D1139" s="662">
        <f t="shared" si="2741"/>
        <v>0</v>
      </c>
      <c r="E1139" s="662">
        <f t="shared" si="2741"/>
        <v>0</v>
      </c>
      <c r="F1139" s="662">
        <f t="shared" si="2741"/>
        <v>0</v>
      </c>
      <c r="G1139" s="662">
        <f t="shared" si="2741"/>
        <v>0</v>
      </c>
      <c r="H1139" s="662">
        <f t="shared" si="2741"/>
        <v>0</v>
      </c>
      <c r="I1139" s="662">
        <f t="shared" si="2741"/>
        <v>0</v>
      </c>
      <c r="J1139" s="662">
        <f t="shared" si="2741"/>
        <v>0</v>
      </c>
      <c r="K1139" s="662">
        <f t="shared" si="2741"/>
        <v>0</v>
      </c>
      <c r="L1139" s="662">
        <f t="shared" si="2741"/>
        <v>0</v>
      </c>
      <c r="U1139" s="663"/>
      <c r="Z1139" s="663"/>
      <c r="AA1139" s="663"/>
      <c r="AB1139" s="663"/>
      <c r="AC1139" s="663"/>
      <c r="AD1139" s="663"/>
      <c r="AE1139" s="663"/>
      <c r="AF1139" s="663"/>
      <c r="AG1139" s="663"/>
      <c r="AH1139" s="663"/>
      <c r="AI1139" s="663"/>
      <c r="AJ1139" s="663"/>
      <c r="AK1139" s="663"/>
      <c r="AL1139" s="663"/>
      <c r="AM1139" s="663"/>
      <c r="AN1139" s="663"/>
    </row>
    <row r="1140" spans="2:40" ht="14.45" hidden="1" customHeight="1" x14ac:dyDescent="0.25">
      <c r="B1140" s="936">
        <f t="shared" ref="B1140:L1140" si="2742">B1124</f>
        <v>39843</v>
      </c>
      <c r="C1140" s="662">
        <f t="shared" si="2742"/>
        <v>0</v>
      </c>
      <c r="D1140" s="662">
        <f t="shared" si="2742"/>
        <v>0</v>
      </c>
      <c r="E1140" s="662">
        <f t="shared" si="2742"/>
        <v>0</v>
      </c>
      <c r="F1140" s="662">
        <f t="shared" si="2742"/>
        <v>0</v>
      </c>
      <c r="G1140" s="662">
        <f t="shared" si="2742"/>
        <v>0</v>
      </c>
      <c r="H1140" s="662">
        <f t="shared" si="2742"/>
        <v>0</v>
      </c>
      <c r="I1140" s="662">
        <f t="shared" si="2742"/>
        <v>0</v>
      </c>
      <c r="J1140" s="662">
        <f t="shared" si="2742"/>
        <v>0</v>
      </c>
      <c r="K1140" s="662">
        <f t="shared" si="2742"/>
        <v>0</v>
      </c>
      <c r="L1140" s="662">
        <f t="shared" si="2742"/>
        <v>0</v>
      </c>
      <c r="U1140" s="663"/>
      <c r="Z1140" s="663"/>
      <c r="AA1140" s="663"/>
      <c r="AB1140" s="663"/>
      <c r="AC1140" s="663"/>
      <c r="AD1140" s="663"/>
      <c r="AE1140" s="663"/>
      <c r="AF1140" s="663"/>
      <c r="AG1140" s="663"/>
      <c r="AH1140" s="663"/>
      <c r="AI1140" s="663"/>
      <c r="AJ1140" s="663"/>
      <c r="AK1140" s="663"/>
      <c r="AL1140" s="663"/>
      <c r="AM1140" s="663"/>
      <c r="AN1140" s="663"/>
    </row>
    <row r="1141" spans="2:40" ht="14.45" hidden="1" customHeight="1" x14ac:dyDescent="0.25">
      <c r="B1141" s="936">
        <f t="shared" ref="B1141:L1141" si="2743">B1125</f>
        <v>39843</v>
      </c>
      <c r="C1141" s="662">
        <f t="shared" si="2743"/>
        <v>0</v>
      </c>
      <c r="D1141" s="662">
        <f t="shared" si="2743"/>
        <v>0</v>
      </c>
      <c r="E1141" s="662">
        <f t="shared" si="2743"/>
        <v>0</v>
      </c>
      <c r="F1141" s="662">
        <f t="shared" si="2743"/>
        <v>0</v>
      </c>
      <c r="G1141" s="662">
        <f t="shared" si="2743"/>
        <v>0</v>
      </c>
      <c r="H1141" s="662">
        <f t="shared" si="2743"/>
        <v>0</v>
      </c>
      <c r="I1141" s="662">
        <f t="shared" si="2743"/>
        <v>0</v>
      </c>
      <c r="J1141" s="662">
        <f t="shared" si="2743"/>
        <v>0</v>
      </c>
      <c r="K1141" s="662">
        <f t="shared" si="2743"/>
        <v>0</v>
      </c>
      <c r="L1141" s="662">
        <f t="shared" si="2743"/>
        <v>0</v>
      </c>
      <c r="U1141" s="663"/>
      <c r="Z1141" s="663"/>
      <c r="AA1141" s="663"/>
      <c r="AB1141" s="663"/>
      <c r="AC1141" s="663"/>
      <c r="AD1141" s="663"/>
      <c r="AE1141" s="663"/>
      <c r="AF1141" s="663"/>
      <c r="AG1141" s="663"/>
      <c r="AH1141" s="663"/>
      <c r="AI1141" s="663"/>
      <c r="AJ1141" s="663"/>
      <c r="AK1141" s="663"/>
      <c r="AL1141" s="663"/>
      <c r="AM1141" s="663"/>
      <c r="AN1141" s="663"/>
    </row>
    <row r="1142" spans="2:40" ht="14.45" hidden="1" customHeight="1" x14ac:dyDescent="0.25">
      <c r="B1142" s="936">
        <f t="shared" ref="B1142:L1142" si="2744">B1126</f>
        <v>39843</v>
      </c>
      <c r="C1142" s="662">
        <f t="shared" si="2744"/>
        <v>0</v>
      </c>
      <c r="D1142" s="662">
        <f t="shared" si="2744"/>
        <v>0</v>
      </c>
      <c r="E1142" s="662">
        <f t="shared" si="2744"/>
        <v>0</v>
      </c>
      <c r="F1142" s="662">
        <f t="shared" si="2744"/>
        <v>0</v>
      </c>
      <c r="G1142" s="662">
        <f t="shared" si="2744"/>
        <v>0</v>
      </c>
      <c r="H1142" s="662">
        <f t="shared" si="2744"/>
        <v>0</v>
      </c>
      <c r="I1142" s="662">
        <f t="shared" si="2744"/>
        <v>0</v>
      </c>
      <c r="J1142" s="662">
        <f t="shared" si="2744"/>
        <v>0</v>
      </c>
      <c r="K1142" s="662">
        <f t="shared" si="2744"/>
        <v>0</v>
      </c>
      <c r="L1142" s="662">
        <f t="shared" si="2744"/>
        <v>0</v>
      </c>
      <c r="U1142" s="663"/>
      <c r="Z1142" s="663"/>
      <c r="AA1142" s="663"/>
      <c r="AB1142" s="663"/>
      <c r="AC1142" s="663"/>
      <c r="AD1142" s="663"/>
      <c r="AE1142" s="663"/>
      <c r="AF1142" s="663"/>
      <c r="AG1142" s="663"/>
      <c r="AH1142" s="663"/>
      <c r="AI1142" s="663"/>
      <c r="AJ1142" s="663"/>
      <c r="AK1142" s="663"/>
      <c r="AL1142" s="663"/>
      <c r="AM1142" s="663"/>
      <c r="AN1142" s="663"/>
    </row>
    <row r="1143" spans="2:40" ht="14.45" hidden="1" customHeight="1" x14ac:dyDescent="0.25">
      <c r="B1143" s="936">
        <f t="shared" ref="B1143:L1143" si="2745">B1127</f>
        <v>39843</v>
      </c>
      <c r="C1143" s="662">
        <f t="shared" si="2745"/>
        <v>0</v>
      </c>
      <c r="D1143" s="662">
        <f t="shared" si="2745"/>
        <v>0</v>
      </c>
      <c r="E1143" s="662">
        <f t="shared" si="2745"/>
        <v>0</v>
      </c>
      <c r="F1143" s="662">
        <f t="shared" si="2745"/>
        <v>0</v>
      </c>
      <c r="G1143" s="662">
        <f t="shared" si="2745"/>
        <v>0</v>
      </c>
      <c r="H1143" s="662">
        <f t="shared" si="2745"/>
        <v>0</v>
      </c>
      <c r="I1143" s="662">
        <f t="shared" si="2745"/>
        <v>0</v>
      </c>
      <c r="J1143" s="662">
        <f t="shared" si="2745"/>
        <v>0</v>
      </c>
      <c r="K1143" s="662">
        <f t="shared" si="2745"/>
        <v>0</v>
      </c>
      <c r="L1143" s="662">
        <f t="shared" si="2745"/>
        <v>0</v>
      </c>
      <c r="U1143" s="663"/>
      <c r="Z1143" s="663"/>
      <c r="AA1143" s="663"/>
      <c r="AB1143" s="663"/>
      <c r="AC1143" s="663"/>
      <c r="AD1143" s="663"/>
      <c r="AE1143" s="663"/>
      <c r="AF1143" s="663"/>
      <c r="AG1143" s="663"/>
      <c r="AH1143" s="663"/>
      <c r="AI1143" s="663"/>
      <c r="AJ1143" s="663"/>
      <c r="AK1143" s="663"/>
      <c r="AL1143" s="663"/>
      <c r="AM1143" s="663"/>
      <c r="AN1143" s="663"/>
    </row>
    <row r="1144" spans="2:40" ht="14.45" hidden="1" customHeight="1" x14ac:dyDescent="0.25">
      <c r="B1144" s="936">
        <f t="shared" ref="B1144:L1144" si="2746">B1128</f>
        <v>39843</v>
      </c>
      <c r="C1144" s="662">
        <f t="shared" si="2746"/>
        <v>0</v>
      </c>
      <c r="D1144" s="662">
        <f t="shared" si="2746"/>
        <v>0</v>
      </c>
      <c r="E1144" s="662">
        <f t="shared" si="2746"/>
        <v>0</v>
      </c>
      <c r="F1144" s="662">
        <f t="shared" si="2746"/>
        <v>0</v>
      </c>
      <c r="G1144" s="662">
        <f t="shared" si="2746"/>
        <v>0</v>
      </c>
      <c r="H1144" s="662">
        <f t="shared" si="2746"/>
        <v>0</v>
      </c>
      <c r="I1144" s="662">
        <f t="shared" si="2746"/>
        <v>0</v>
      </c>
      <c r="J1144" s="662">
        <f t="shared" si="2746"/>
        <v>0</v>
      </c>
      <c r="K1144" s="662">
        <f t="shared" si="2746"/>
        <v>0</v>
      </c>
      <c r="L1144" s="662">
        <f t="shared" si="2746"/>
        <v>0</v>
      </c>
      <c r="U1144" s="663"/>
      <c r="Z1144" s="663"/>
      <c r="AA1144" s="663"/>
      <c r="AB1144" s="663"/>
      <c r="AC1144" s="663"/>
      <c r="AD1144" s="663"/>
      <c r="AE1144" s="663"/>
      <c r="AF1144" s="663"/>
      <c r="AG1144" s="663"/>
      <c r="AH1144" s="663"/>
      <c r="AI1144" s="663"/>
      <c r="AJ1144" s="663"/>
      <c r="AK1144" s="663"/>
      <c r="AL1144" s="663"/>
      <c r="AM1144" s="663"/>
      <c r="AN1144" s="663"/>
    </row>
    <row r="1145" spans="2:40" ht="14.45" hidden="1" customHeight="1" x14ac:dyDescent="0.25">
      <c r="B1145" s="936">
        <f t="shared" ref="B1145:L1145" si="2747">B1129</f>
        <v>39843</v>
      </c>
      <c r="C1145" s="662">
        <f t="shared" si="2747"/>
        <v>0</v>
      </c>
      <c r="D1145" s="662">
        <f t="shared" si="2747"/>
        <v>0</v>
      </c>
      <c r="E1145" s="662">
        <f t="shared" si="2747"/>
        <v>0</v>
      </c>
      <c r="F1145" s="662">
        <f t="shared" si="2747"/>
        <v>0</v>
      </c>
      <c r="G1145" s="662">
        <f t="shared" si="2747"/>
        <v>0</v>
      </c>
      <c r="H1145" s="662">
        <f t="shared" si="2747"/>
        <v>0</v>
      </c>
      <c r="I1145" s="662">
        <f t="shared" si="2747"/>
        <v>0</v>
      </c>
      <c r="J1145" s="662">
        <f t="shared" si="2747"/>
        <v>0</v>
      </c>
      <c r="K1145" s="662">
        <f t="shared" si="2747"/>
        <v>0</v>
      </c>
      <c r="L1145" s="662">
        <f t="shared" si="2747"/>
        <v>0</v>
      </c>
      <c r="U1145" s="663"/>
      <c r="Z1145" s="663"/>
      <c r="AA1145" s="663"/>
      <c r="AB1145" s="663"/>
      <c r="AC1145" s="663"/>
      <c r="AD1145" s="663"/>
      <c r="AE1145" s="663"/>
      <c r="AF1145" s="663"/>
      <c r="AG1145" s="663"/>
      <c r="AH1145" s="663"/>
      <c r="AI1145" s="663"/>
      <c r="AJ1145" s="663"/>
      <c r="AK1145" s="663"/>
      <c r="AL1145" s="663"/>
      <c r="AM1145" s="663"/>
      <c r="AN1145" s="663"/>
    </row>
    <row r="1146" spans="2:40" ht="14.45" hidden="1" customHeight="1" x14ac:dyDescent="0.25">
      <c r="B1146" s="936">
        <f>B1080</f>
        <v>41719</v>
      </c>
      <c r="C1146" s="662">
        <f t="shared" ref="C1146:L1146" si="2748">C1130</f>
        <v>2823795.1807228918</v>
      </c>
      <c r="D1146" s="662">
        <f t="shared" si="2748"/>
        <v>4235692.7710843375</v>
      </c>
      <c r="E1146" s="662">
        <f t="shared" si="2748"/>
        <v>5647590.3614457836</v>
      </c>
      <c r="F1146" s="662">
        <f t="shared" si="2748"/>
        <v>7059487.9518072288</v>
      </c>
      <c r="G1146" s="662">
        <f t="shared" si="2748"/>
        <v>8471385.542168675</v>
      </c>
      <c r="H1146" s="662">
        <f t="shared" si="2748"/>
        <v>9883283.1325301211</v>
      </c>
      <c r="I1146" s="662">
        <f t="shared" si="2748"/>
        <v>11295180.722891567</v>
      </c>
      <c r="J1146" s="662">
        <f t="shared" si="2748"/>
        <v>12707078.313253012</v>
      </c>
      <c r="K1146" s="662">
        <f t="shared" si="2748"/>
        <v>14118975.903614458</v>
      </c>
      <c r="L1146" s="662">
        <f t="shared" si="2748"/>
        <v>15530873.493975904</v>
      </c>
      <c r="U1146" s="663"/>
      <c r="Z1146" s="663"/>
      <c r="AA1146" s="663"/>
      <c r="AB1146" s="663"/>
      <c r="AC1146" s="663"/>
      <c r="AD1146" s="663"/>
      <c r="AE1146" s="663"/>
      <c r="AF1146" s="663"/>
      <c r="AG1146" s="663"/>
      <c r="AH1146" s="663"/>
      <c r="AI1146" s="663"/>
      <c r="AJ1146" s="663"/>
      <c r="AK1146" s="663"/>
      <c r="AL1146" s="663"/>
      <c r="AM1146" s="663"/>
      <c r="AN1146" s="663"/>
    </row>
    <row r="1147" spans="2:40" ht="14.45" hidden="1" customHeight="1" x14ac:dyDescent="0.25">
      <c r="C1147" s="882" t="str">
        <f ca="1">IF(ISERROR(XIRR(INDIRECT(C1149):C1146,INDIRECT($B1149):$B1146,-20%)),XIRR(INDIRECT(C1149):C1146,INDIRECT($B1149):$B1146,20%),"N/A")</f>
        <v>N/A</v>
      </c>
      <c r="D1147" s="882" t="str">
        <f ca="1">IF(ISERROR(XIRR(INDIRECT(D1149):D1146,INDIRECT($B1149):$B1146,-20%)),XIRR(INDIRECT(D1149):D1146,INDIRECT($B1149):$B1146,20%),"N/A")</f>
        <v>N/A</v>
      </c>
      <c r="E1147" s="882">
        <f ca="1">IF(ISERROR(XIRR(INDIRECT(E1149):E1146,INDIRECT($B1149):$B1146,-20%)),XIRR(INDIRECT(E1149):E1146,INDIRECT($B1149):$B1146,20%),"N/A")</f>
        <v>4.5227497816085812E-3</v>
      </c>
      <c r="F1147" s="882">
        <f ca="1">IF(ISERROR(XIRR(INDIRECT(F1149):F1146,INDIRECT($B1149):$B1146,-20%)),XIRR(INDIRECT(F1149):F1146,INDIRECT($B1149):$B1146,20%),"N/A")</f>
        <v>4.3374761939048767E-2</v>
      </c>
      <c r="G1147" s="882">
        <f ca="1">IF(ISERROR(XIRR(INDIRECT(G1149):G1146,INDIRECT($B1149):$B1146,-20%)),XIRR(INDIRECT(G1149):G1146,INDIRECT($B1149):$B1146,20%),"N/A")</f>
        <v>7.6121059060096752E-2</v>
      </c>
      <c r="H1147" s="882">
        <f ca="1">IF(ISERROR(XIRR(INDIRECT(H1149):H1146,INDIRECT($B1149):$B1146,-20%)),XIRR(INDIRECT(H1149):H1146,INDIRECT($B1149):$B1146,20%),"N/A")</f>
        <v>0.10452818274497985</v>
      </c>
      <c r="I1147" s="882">
        <f ca="1">IF(ISERROR(XIRR(INDIRECT(I1149):I1146,INDIRECT($B1149):$B1146,-20%)),XIRR(INDIRECT(I1149):I1146,INDIRECT($B1149):$B1146,20%),"N/A")</f>
        <v>0.12968036532402039</v>
      </c>
      <c r="J1147" s="882">
        <f ca="1">IF(ISERROR(XIRR(INDIRECT(J1149):J1146,INDIRECT($B1149):$B1146,-20%)),XIRR(INDIRECT(J1149):J1146,INDIRECT($B1149):$B1146,20%),"N/A")</f>
        <v>0.1522935092449188</v>
      </c>
      <c r="K1147" s="882">
        <f ca="1">IF(ISERROR(XIRR(INDIRECT(K1149):K1146,INDIRECT($B1149):$B1146,-20%)),XIRR(INDIRECT(K1149):K1146,INDIRECT($B1149):$B1146,20%),"N/A")</f>
        <v>0.17286645770072936</v>
      </c>
      <c r="L1147" s="882">
        <f ca="1">IF(ISERROR(XIRR(INDIRECT(L1149):L1146,INDIRECT($B1149):$B1146,-20%)),XIRR(INDIRECT(L1149):L1146,INDIRECT($B1149):$B1146,20%),"N/A")</f>
        <v>0.19176140427589419</v>
      </c>
      <c r="U1147" s="663"/>
      <c r="Z1147" s="663"/>
      <c r="AA1147" s="663"/>
      <c r="AB1147" s="663"/>
      <c r="AC1147" s="663"/>
      <c r="AD1147" s="663"/>
      <c r="AE1147" s="663"/>
      <c r="AF1147" s="663"/>
      <c r="AG1147" s="663"/>
      <c r="AH1147" s="663"/>
      <c r="AI1147" s="663"/>
      <c r="AJ1147" s="663"/>
      <c r="AK1147" s="663"/>
      <c r="AL1147" s="663"/>
      <c r="AM1147" s="663"/>
      <c r="AN1147" s="663"/>
    </row>
    <row r="1148" spans="2:40" ht="14.45" hidden="1" customHeight="1" x14ac:dyDescent="0.25">
      <c r="B1148" s="898">
        <f>IF(C1136&lt;&gt;0,ROW(C1136),IF(C1137&lt;&gt;0,ROW(C1137),IF(C1138&lt;&gt;0,ROW(C1138),IF(C1139&lt;&gt;0,ROW(C1139),IF(C1140&lt;&gt;0,ROW(C1140),IF(C1141&lt;&gt;0,ROW(C1141),IF(C1142&lt;&gt;0,ROW(C1142),IF(C1143&lt;&gt;0,ROW(C1143),IF(C1144&lt;&gt;0,ROW(C1144),IF(C1145&lt;&gt;0,ROW(C1145)))))))))))</f>
        <v>1136</v>
      </c>
      <c r="C1148" s="882"/>
      <c r="U1148" s="663"/>
      <c r="Z1148" s="663"/>
      <c r="AA1148" s="663"/>
      <c r="AB1148" s="663"/>
      <c r="AC1148" s="663"/>
      <c r="AD1148" s="663"/>
      <c r="AE1148" s="663"/>
      <c r="AF1148" s="663"/>
      <c r="AG1148" s="663"/>
      <c r="AH1148" s="663"/>
      <c r="AI1148" s="663"/>
      <c r="AJ1148" s="663"/>
      <c r="AK1148" s="663"/>
      <c r="AL1148" s="663"/>
      <c r="AM1148" s="663"/>
      <c r="AN1148" s="663"/>
    </row>
    <row r="1149" spans="2:40" ht="14.45" hidden="1" customHeight="1" x14ac:dyDescent="0.25">
      <c r="B1149" s="899" t="str">
        <f>CONCATENATE(IF(COLUMN(B1148)&lt;=26,CHAR(96+COLUMN(B1148)),(CHAR(96+(ROUNDDOWN((COLUMN(B1148)-1)/26,0)))&amp;CHAR(96+IF(MOD(COLUMN(B1148),26)=0,26,MOD(COLUMN(B1148),26))))),B1148)</f>
        <v>b1136</v>
      </c>
      <c r="C1149" s="899" t="str">
        <f>CONCATENATE(IF(COLUMN(C1147)&lt;=26,CHAR(96+COLUMN(C1147)),(CHAR(96+(ROUNDDOWN((COLUMN(C1147)-1)/26,0)))&amp;CHAR(96+IF(MOD(COLUMN(C1147),26)=0,26,MOD(COLUMN(C1147),26))))),$B1148)</f>
        <v>c1136</v>
      </c>
      <c r="D1149" s="899" t="str">
        <f t="shared" ref="D1149" si="2749">CONCATENATE(IF(COLUMN(D1147)&lt;=26,CHAR(96+COLUMN(D1147)),(CHAR(96+(ROUNDDOWN((COLUMN(D1147)-1)/26,0)))&amp;CHAR(96+IF(MOD(COLUMN(D1147),26)=0,26,MOD(COLUMN(D1147),26))))),$B1148)</f>
        <v>d1136</v>
      </c>
      <c r="E1149" s="899" t="str">
        <f t="shared" ref="E1149" si="2750">CONCATENATE(IF(COLUMN(E1147)&lt;=26,CHAR(96+COLUMN(E1147)),(CHAR(96+(ROUNDDOWN((COLUMN(E1147)-1)/26,0)))&amp;CHAR(96+IF(MOD(COLUMN(E1147),26)=0,26,MOD(COLUMN(E1147),26))))),$B1148)</f>
        <v>e1136</v>
      </c>
      <c r="F1149" s="899" t="str">
        <f t="shared" ref="F1149" si="2751">CONCATENATE(IF(COLUMN(F1147)&lt;=26,CHAR(96+COLUMN(F1147)),(CHAR(96+(ROUNDDOWN((COLUMN(F1147)-1)/26,0)))&amp;CHAR(96+IF(MOD(COLUMN(F1147),26)=0,26,MOD(COLUMN(F1147),26))))),$B1148)</f>
        <v>f1136</v>
      </c>
      <c r="G1149" s="899" t="str">
        <f t="shared" ref="G1149" si="2752">CONCATENATE(IF(COLUMN(G1147)&lt;=26,CHAR(96+COLUMN(G1147)),(CHAR(96+(ROUNDDOWN((COLUMN(G1147)-1)/26,0)))&amp;CHAR(96+IF(MOD(COLUMN(G1147),26)=0,26,MOD(COLUMN(G1147),26))))),$B1148)</f>
        <v>g1136</v>
      </c>
      <c r="H1149" s="899" t="str">
        <f t="shared" ref="H1149" si="2753">CONCATENATE(IF(COLUMN(H1147)&lt;=26,CHAR(96+COLUMN(H1147)),(CHAR(96+(ROUNDDOWN((COLUMN(H1147)-1)/26,0)))&amp;CHAR(96+IF(MOD(COLUMN(H1147),26)=0,26,MOD(COLUMN(H1147),26))))),$B1148)</f>
        <v>h1136</v>
      </c>
      <c r="I1149" s="899" t="str">
        <f t="shared" ref="I1149" si="2754">CONCATENATE(IF(COLUMN(I1147)&lt;=26,CHAR(96+COLUMN(I1147)),(CHAR(96+(ROUNDDOWN((COLUMN(I1147)-1)/26,0)))&amp;CHAR(96+IF(MOD(COLUMN(I1147),26)=0,26,MOD(COLUMN(I1147),26))))),$B1148)</f>
        <v>i1136</v>
      </c>
      <c r="J1149" s="899" t="str">
        <f t="shared" ref="J1149" si="2755">CONCATENATE(IF(COLUMN(J1147)&lt;=26,CHAR(96+COLUMN(J1147)),(CHAR(96+(ROUNDDOWN((COLUMN(J1147)-1)/26,0)))&amp;CHAR(96+IF(MOD(COLUMN(J1147),26)=0,26,MOD(COLUMN(J1147),26))))),$B1148)</f>
        <v>j1136</v>
      </c>
      <c r="K1149" s="899" t="str">
        <f t="shared" ref="K1149" si="2756">CONCATENATE(IF(COLUMN(K1147)&lt;=26,CHAR(96+COLUMN(K1147)),(CHAR(96+(ROUNDDOWN((COLUMN(K1147)-1)/26,0)))&amp;CHAR(96+IF(MOD(COLUMN(K1147),26)=0,26,MOD(COLUMN(K1147),26))))),$B1148)</f>
        <v>k1136</v>
      </c>
      <c r="L1149" s="899" t="str">
        <f t="shared" ref="L1149" si="2757">CONCATENATE(IF(COLUMN(L1147)&lt;=26,CHAR(96+COLUMN(L1147)),(CHAR(96+(ROUNDDOWN((COLUMN(L1147)-1)/26,0)))&amp;CHAR(96+IF(MOD(COLUMN(L1147),26)=0,26,MOD(COLUMN(L1147),26))))),$B1148)</f>
        <v>l1136</v>
      </c>
      <c r="U1149" s="663"/>
      <c r="Z1149" s="663"/>
      <c r="AA1149" s="663"/>
      <c r="AB1149" s="663"/>
      <c r="AC1149" s="663"/>
      <c r="AD1149" s="663"/>
      <c r="AE1149" s="663"/>
      <c r="AF1149" s="663"/>
      <c r="AG1149" s="663"/>
      <c r="AH1149" s="663"/>
      <c r="AI1149" s="663"/>
      <c r="AJ1149" s="663"/>
      <c r="AK1149" s="663"/>
      <c r="AL1149" s="663"/>
      <c r="AM1149" s="663"/>
      <c r="AN1149" s="663"/>
    </row>
    <row r="1150" spans="2:40" ht="14.45" hidden="1" customHeight="1" x14ac:dyDescent="0.25">
      <c r="B1150" s="661"/>
      <c r="C1150" s="662"/>
      <c r="U1150" s="663"/>
      <c r="Z1150" s="663"/>
      <c r="AA1150" s="663"/>
      <c r="AB1150" s="663"/>
      <c r="AC1150" s="663"/>
      <c r="AD1150" s="663"/>
      <c r="AE1150" s="663"/>
      <c r="AF1150" s="663"/>
      <c r="AG1150" s="663"/>
      <c r="AH1150" s="663"/>
      <c r="AI1150" s="663"/>
      <c r="AJ1150" s="663"/>
      <c r="AK1150" s="663"/>
      <c r="AL1150" s="663"/>
      <c r="AM1150" s="663"/>
      <c r="AN1150" s="663"/>
    </row>
    <row r="1151" spans="2:40" ht="14.45" hidden="1" customHeight="1" x14ac:dyDescent="0.25">
      <c r="B1151" s="661"/>
      <c r="C1151" s="662"/>
      <c r="U1151" s="663"/>
      <c r="Z1151" s="663"/>
      <c r="AA1151" s="663"/>
      <c r="AB1151" s="663"/>
      <c r="AC1151" s="663"/>
      <c r="AD1151" s="663"/>
      <c r="AE1151" s="663"/>
      <c r="AF1151" s="663"/>
      <c r="AG1151" s="663"/>
      <c r="AH1151" s="663"/>
      <c r="AI1151" s="663"/>
      <c r="AJ1151" s="663"/>
      <c r="AK1151" s="663"/>
      <c r="AL1151" s="663"/>
      <c r="AM1151" s="663"/>
      <c r="AN1151" s="663"/>
    </row>
    <row r="1152" spans="2:40" ht="14.45" hidden="1" customHeight="1" x14ac:dyDescent="0.25">
      <c r="B1152" s="661"/>
      <c r="C1152" s="662"/>
      <c r="U1152" s="663"/>
      <c r="Z1152" s="663"/>
      <c r="AA1152" s="663"/>
      <c r="AB1152" s="663"/>
      <c r="AC1152" s="663"/>
      <c r="AD1152" s="663"/>
      <c r="AE1152" s="663"/>
      <c r="AF1152" s="663"/>
      <c r="AG1152" s="663"/>
      <c r="AH1152" s="663"/>
      <c r="AI1152" s="663"/>
      <c r="AJ1152" s="663"/>
      <c r="AK1152" s="663"/>
      <c r="AL1152" s="663"/>
      <c r="AM1152" s="663"/>
      <c r="AN1152" s="663"/>
    </row>
    <row r="1153" spans="2:40" ht="14.45" hidden="1" customHeight="1" x14ac:dyDescent="0.25">
      <c r="B1153" s="661" t="str">
        <f>B1691</f>
        <v>Inv D Gross Return Analysis</v>
      </c>
      <c r="C1153" s="662"/>
      <c r="U1153" s="663"/>
      <c r="Z1153" s="663"/>
      <c r="AA1153" s="663"/>
      <c r="AB1153" s="663"/>
      <c r="AC1153" s="663"/>
      <c r="AD1153" s="663"/>
      <c r="AE1153" s="663"/>
      <c r="AF1153" s="663"/>
      <c r="AG1153" s="663"/>
      <c r="AH1153" s="663"/>
      <c r="AI1153" s="663"/>
      <c r="AJ1153" s="663"/>
      <c r="AK1153" s="663"/>
      <c r="AL1153" s="663"/>
      <c r="AM1153" s="663"/>
      <c r="AN1153" s="663"/>
    </row>
    <row r="1154" spans="2:40" ht="14.45" hidden="1" customHeight="1" x14ac:dyDescent="0.25">
      <c r="B1154" s="936">
        <f>B1022</f>
        <v>39113</v>
      </c>
      <c r="C1154" s="662">
        <f>C421</f>
        <v>-1000000</v>
      </c>
      <c r="D1154" s="662">
        <f>C1154</f>
        <v>-1000000</v>
      </c>
      <c r="E1154" s="662">
        <f t="shared" ref="E1154:L1154" si="2758">D1154</f>
        <v>-1000000</v>
      </c>
      <c r="F1154" s="662">
        <f t="shared" si="2758"/>
        <v>-1000000</v>
      </c>
      <c r="G1154" s="662">
        <f t="shared" si="2758"/>
        <v>-1000000</v>
      </c>
      <c r="H1154" s="662">
        <f t="shared" si="2758"/>
        <v>-1000000</v>
      </c>
      <c r="I1154" s="662">
        <f t="shared" si="2758"/>
        <v>-1000000</v>
      </c>
      <c r="J1154" s="662">
        <f t="shared" si="2758"/>
        <v>-1000000</v>
      </c>
      <c r="K1154" s="662">
        <f t="shared" si="2758"/>
        <v>-1000000</v>
      </c>
      <c r="L1154" s="662">
        <f t="shared" si="2758"/>
        <v>-1000000</v>
      </c>
      <c r="U1154" s="663"/>
      <c r="Z1154" s="663"/>
      <c r="AA1154" s="663"/>
      <c r="AB1154" s="663"/>
      <c r="AC1154" s="663"/>
      <c r="AD1154" s="663"/>
      <c r="AE1154" s="663"/>
      <c r="AF1154" s="663"/>
      <c r="AG1154" s="663"/>
      <c r="AH1154" s="663"/>
      <c r="AI1154" s="663"/>
      <c r="AJ1154" s="663"/>
      <c r="AK1154" s="663"/>
      <c r="AL1154" s="663"/>
      <c r="AM1154" s="663"/>
      <c r="AN1154" s="663"/>
    </row>
    <row r="1155" spans="2:40" ht="14.45" hidden="1" customHeight="1" x14ac:dyDescent="0.25">
      <c r="B1155" s="936">
        <f t="shared" ref="B1155:B1164" si="2759">B1023</f>
        <v>39478</v>
      </c>
      <c r="C1155" s="662">
        <f t="shared" ref="C1155:C1163" si="2760">C422</f>
        <v>-2000000</v>
      </c>
      <c r="D1155" s="662">
        <f t="shared" ref="D1155:L1163" si="2761">C1155</f>
        <v>-2000000</v>
      </c>
      <c r="E1155" s="662">
        <f t="shared" si="2761"/>
        <v>-2000000</v>
      </c>
      <c r="F1155" s="662">
        <f t="shared" si="2761"/>
        <v>-2000000</v>
      </c>
      <c r="G1155" s="662">
        <f t="shared" si="2761"/>
        <v>-2000000</v>
      </c>
      <c r="H1155" s="662">
        <f t="shared" si="2761"/>
        <v>-2000000</v>
      </c>
      <c r="I1155" s="662">
        <f t="shared" si="2761"/>
        <v>-2000000</v>
      </c>
      <c r="J1155" s="662">
        <f t="shared" si="2761"/>
        <v>-2000000</v>
      </c>
      <c r="K1155" s="662">
        <f t="shared" si="2761"/>
        <v>-2000000</v>
      </c>
      <c r="L1155" s="662">
        <f t="shared" si="2761"/>
        <v>-2000000</v>
      </c>
      <c r="U1155" s="663"/>
      <c r="Z1155" s="663"/>
      <c r="AA1155" s="663"/>
      <c r="AB1155" s="663"/>
      <c r="AC1155" s="663"/>
      <c r="AD1155" s="663"/>
      <c r="AE1155" s="663"/>
      <c r="AF1155" s="663"/>
      <c r="AG1155" s="663"/>
      <c r="AH1155" s="663"/>
      <c r="AI1155" s="663"/>
      <c r="AJ1155" s="663"/>
      <c r="AK1155" s="663"/>
      <c r="AL1155" s="663"/>
      <c r="AM1155" s="663"/>
      <c r="AN1155" s="663"/>
    </row>
    <row r="1156" spans="2:40" ht="14.45" hidden="1" customHeight="1" x14ac:dyDescent="0.25">
      <c r="B1156" s="936">
        <f t="shared" si="2759"/>
        <v>39843</v>
      </c>
      <c r="C1156" s="662">
        <f t="shared" si="2760"/>
        <v>-2500000</v>
      </c>
      <c r="D1156" s="662">
        <f t="shared" si="2761"/>
        <v>-2500000</v>
      </c>
      <c r="E1156" s="662">
        <f t="shared" si="2761"/>
        <v>-2500000</v>
      </c>
      <c r="F1156" s="662">
        <f t="shared" si="2761"/>
        <v>-2500000</v>
      </c>
      <c r="G1156" s="662">
        <f t="shared" si="2761"/>
        <v>-2500000</v>
      </c>
      <c r="H1156" s="662">
        <f t="shared" si="2761"/>
        <v>-2500000</v>
      </c>
      <c r="I1156" s="662">
        <f t="shared" si="2761"/>
        <v>-2500000</v>
      </c>
      <c r="J1156" s="662">
        <f t="shared" si="2761"/>
        <v>-2500000</v>
      </c>
      <c r="K1156" s="662">
        <f t="shared" si="2761"/>
        <v>-2500000</v>
      </c>
      <c r="L1156" s="662">
        <f t="shared" si="2761"/>
        <v>-2500000</v>
      </c>
      <c r="U1156" s="663"/>
      <c r="Z1156" s="663"/>
      <c r="AA1156" s="663"/>
      <c r="AB1156" s="663"/>
      <c r="AC1156" s="663"/>
      <c r="AD1156" s="663"/>
      <c r="AE1156" s="663"/>
      <c r="AF1156" s="663"/>
      <c r="AG1156" s="663"/>
      <c r="AH1156" s="663"/>
      <c r="AI1156" s="663"/>
      <c r="AJ1156" s="663"/>
      <c r="AK1156" s="663"/>
      <c r="AL1156" s="663"/>
      <c r="AM1156" s="663"/>
      <c r="AN1156" s="663"/>
    </row>
    <row r="1157" spans="2:40" ht="14.45" hidden="1" customHeight="1" x14ac:dyDescent="0.25">
      <c r="B1157" s="936">
        <f t="shared" si="2759"/>
        <v>39843</v>
      </c>
      <c r="C1157" s="662">
        <f t="shared" si="2760"/>
        <v>0</v>
      </c>
      <c r="D1157" s="662">
        <f t="shared" si="2761"/>
        <v>0</v>
      </c>
      <c r="E1157" s="662">
        <f t="shared" si="2761"/>
        <v>0</v>
      </c>
      <c r="F1157" s="662">
        <f t="shared" si="2761"/>
        <v>0</v>
      </c>
      <c r="G1157" s="662">
        <f t="shared" si="2761"/>
        <v>0</v>
      </c>
      <c r="H1157" s="662">
        <f t="shared" si="2761"/>
        <v>0</v>
      </c>
      <c r="I1157" s="662">
        <f t="shared" si="2761"/>
        <v>0</v>
      </c>
      <c r="J1157" s="662">
        <f t="shared" si="2761"/>
        <v>0</v>
      </c>
      <c r="K1157" s="662">
        <f t="shared" si="2761"/>
        <v>0</v>
      </c>
      <c r="L1157" s="662">
        <f t="shared" si="2761"/>
        <v>0</v>
      </c>
      <c r="U1157" s="663"/>
      <c r="Z1157" s="663"/>
      <c r="AA1157" s="663"/>
      <c r="AB1157" s="663"/>
      <c r="AC1157" s="663"/>
      <c r="AD1157" s="663"/>
      <c r="AE1157" s="663"/>
      <c r="AF1157" s="663"/>
      <c r="AG1157" s="663"/>
      <c r="AH1157" s="663"/>
      <c r="AI1157" s="663"/>
      <c r="AJ1157" s="663"/>
      <c r="AK1157" s="663"/>
      <c r="AL1157" s="663"/>
      <c r="AM1157" s="663"/>
      <c r="AN1157" s="663"/>
    </row>
    <row r="1158" spans="2:40" ht="14.45" hidden="1" customHeight="1" x14ac:dyDescent="0.25">
      <c r="B1158" s="936">
        <f t="shared" si="2759"/>
        <v>39843</v>
      </c>
      <c r="C1158" s="662">
        <f t="shared" si="2760"/>
        <v>0</v>
      </c>
      <c r="D1158" s="662">
        <f t="shared" si="2761"/>
        <v>0</v>
      </c>
      <c r="E1158" s="662">
        <f t="shared" si="2761"/>
        <v>0</v>
      </c>
      <c r="F1158" s="662">
        <f t="shared" si="2761"/>
        <v>0</v>
      </c>
      <c r="G1158" s="662">
        <f t="shared" si="2761"/>
        <v>0</v>
      </c>
      <c r="H1158" s="662">
        <f t="shared" si="2761"/>
        <v>0</v>
      </c>
      <c r="I1158" s="662">
        <f t="shared" si="2761"/>
        <v>0</v>
      </c>
      <c r="J1158" s="662">
        <f t="shared" si="2761"/>
        <v>0</v>
      </c>
      <c r="K1158" s="662">
        <f t="shared" si="2761"/>
        <v>0</v>
      </c>
      <c r="L1158" s="662">
        <f t="shared" si="2761"/>
        <v>0</v>
      </c>
      <c r="U1158" s="663"/>
      <c r="Z1158" s="663"/>
      <c r="AA1158" s="663"/>
      <c r="AB1158" s="663"/>
      <c r="AC1158" s="663"/>
      <c r="AD1158" s="663"/>
      <c r="AE1158" s="663"/>
      <c r="AF1158" s="663"/>
      <c r="AG1158" s="663"/>
      <c r="AH1158" s="663"/>
      <c r="AI1158" s="663"/>
      <c r="AJ1158" s="663"/>
      <c r="AK1158" s="663"/>
      <c r="AL1158" s="663"/>
      <c r="AM1158" s="663"/>
      <c r="AN1158" s="663"/>
    </row>
    <row r="1159" spans="2:40" ht="14.45" hidden="1" customHeight="1" x14ac:dyDescent="0.25">
      <c r="B1159" s="936">
        <f t="shared" si="2759"/>
        <v>39843</v>
      </c>
      <c r="C1159" s="662">
        <f t="shared" si="2760"/>
        <v>0</v>
      </c>
      <c r="D1159" s="662">
        <f t="shared" si="2761"/>
        <v>0</v>
      </c>
      <c r="E1159" s="662">
        <f t="shared" si="2761"/>
        <v>0</v>
      </c>
      <c r="F1159" s="662">
        <f t="shared" si="2761"/>
        <v>0</v>
      </c>
      <c r="G1159" s="662">
        <f t="shared" si="2761"/>
        <v>0</v>
      </c>
      <c r="H1159" s="662">
        <f t="shared" si="2761"/>
        <v>0</v>
      </c>
      <c r="I1159" s="662">
        <f t="shared" si="2761"/>
        <v>0</v>
      </c>
      <c r="J1159" s="662">
        <f t="shared" si="2761"/>
        <v>0</v>
      </c>
      <c r="K1159" s="662">
        <f t="shared" si="2761"/>
        <v>0</v>
      </c>
      <c r="L1159" s="662">
        <f t="shared" si="2761"/>
        <v>0</v>
      </c>
      <c r="U1159" s="663"/>
      <c r="Z1159" s="663"/>
      <c r="AA1159" s="663"/>
      <c r="AB1159" s="663"/>
      <c r="AC1159" s="663"/>
      <c r="AD1159" s="663"/>
      <c r="AE1159" s="663"/>
      <c r="AF1159" s="663"/>
      <c r="AG1159" s="663"/>
      <c r="AH1159" s="663"/>
      <c r="AI1159" s="663"/>
      <c r="AJ1159" s="663"/>
      <c r="AK1159" s="663"/>
      <c r="AL1159" s="663"/>
      <c r="AM1159" s="663"/>
      <c r="AN1159" s="663"/>
    </row>
    <row r="1160" spans="2:40" ht="14.45" hidden="1" customHeight="1" x14ac:dyDescent="0.25">
      <c r="B1160" s="936">
        <f t="shared" si="2759"/>
        <v>39843</v>
      </c>
      <c r="C1160" s="662">
        <f t="shared" si="2760"/>
        <v>0</v>
      </c>
      <c r="D1160" s="662">
        <f t="shared" si="2761"/>
        <v>0</v>
      </c>
      <c r="E1160" s="662">
        <f t="shared" si="2761"/>
        <v>0</v>
      </c>
      <c r="F1160" s="662">
        <f t="shared" si="2761"/>
        <v>0</v>
      </c>
      <c r="G1160" s="662">
        <f t="shared" si="2761"/>
        <v>0</v>
      </c>
      <c r="H1160" s="662">
        <f t="shared" si="2761"/>
        <v>0</v>
      </c>
      <c r="I1160" s="662">
        <f t="shared" si="2761"/>
        <v>0</v>
      </c>
      <c r="J1160" s="662">
        <f t="shared" si="2761"/>
        <v>0</v>
      </c>
      <c r="K1160" s="662">
        <f t="shared" si="2761"/>
        <v>0</v>
      </c>
      <c r="L1160" s="662">
        <f t="shared" si="2761"/>
        <v>0</v>
      </c>
      <c r="U1160" s="663"/>
      <c r="Z1160" s="663"/>
      <c r="AA1160" s="663"/>
      <c r="AB1160" s="663"/>
      <c r="AC1160" s="663"/>
      <c r="AD1160" s="663"/>
      <c r="AE1160" s="663"/>
      <c r="AF1160" s="663"/>
      <c r="AG1160" s="663"/>
      <c r="AH1160" s="663"/>
      <c r="AI1160" s="663"/>
      <c r="AJ1160" s="663"/>
      <c r="AK1160" s="663"/>
      <c r="AL1160" s="663"/>
      <c r="AM1160" s="663"/>
      <c r="AN1160" s="663"/>
    </row>
    <row r="1161" spans="2:40" ht="14.45" hidden="1" customHeight="1" x14ac:dyDescent="0.25">
      <c r="B1161" s="936">
        <f t="shared" si="2759"/>
        <v>39843</v>
      </c>
      <c r="C1161" s="662">
        <f t="shared" si="2760"/>
        <v>0</v>
      </c>
      <c r="D1161" s="662">
        <f t="shared" si="2761"/>
        <v>0</v>
      </c>
      <c r="E1161" s="662">
        <f t="shared" si="2761"/>
        <v>0</v>
      </c>
      <c r="F1161" s="662">
        <f t="shared" si="2761"/>
        <v>0</v>
      </c>
      <c r="G1161" s="662">
        <f t="shared" si="2761"/>
        <v>0</v>
      </c>
      <c r="H1161" s="662">
        <f t="shared" si="2761"/>
        <v>0</v>
      </c>
      <c r="I1161" s="662">
        <f t="shared" si="2761"/>
        <v>0</v>
      </c>
      <c r="J1161" s="662">
        <f t="shared" si="2761"/>
        <v>0</v>
      </c>
      <c r="K1161" s="662">
        <f t="shared" si="2761"/>
        <v>0</v>
      </c>
      <c r="L1161" s="662">
        <f t="shared" si="2761"/>
        <v>0</v>
      </c>
      <c r="U1161" s="663"/>
      <c r="Z1161" s="663"/>
      <c r="AA1161" s="663"/>
      <c r="AB1161" s="663"/>
      <c r="AC1161" s="663"/>
      <c r="AD1161" s="663"/>
      <c r="AE1161" s="663"/>
      <c r="AF1161" s="663"/>
      <c r="AG1161" s="663"/>
      <c r="AH1161" s="663"/>
      <c r="AI1161" s="663"/>
      <c r="AJ1161" s="663"/>
      <c r="AK1161" s="663"/>
      <c r="AL1161" s="663"/>
      <c r="AM1161" s="663"/>
      <c r="AN1161" s="663"/>
    </row>
    <row r="1162" spans="2:40" ht="14.45" hidden="1" customHeight="1" x14ac:dyDescent="0.25">
      <c r="B1162" s="936">
        <f t="shared" si="2759"/>
        <v>39843</v>
      </c>
      <c r="C1162" s="662">
        <f t="shared" si="2760"/>
        <v>0</v>
      </c>
      <c r="D1162" s="662">
        <f t="shared" si="2761"/>
        <v>0</v>
      </c>
      <c r="E1162" s="662">
        <f t="shared" si="2761"/>
        <v>0</v>
      </c>
      <c r="F1162" s="662">
        <f t="shared" si="2761"/>
        <v>0</v>
      </c>
      <c r="G1162" s="662">
        <f t="shared" si="2761"/>
        <v>0</v>
      </c>
      <c r="H1162" s="662">
        <f t="shared" si="2761"/>
        <v>0</v>
      </c>
      <c r="I1162" s="662">
        <f t="shared" si="2761"/>
        <v>0</v>
      </c>
      <c r="J1162" s="662">
        <f t="shared" si="2761"/>
        <v>0</v>
      </c>
      <c r="K1162" s="662">
        <f t="shared" si="2761"/>
        <v>0</v>
      </c>
      <c r="L1162" s="662">
        <f t="shared" si="2761"/>
        <v>0</v>
      </c>
      <c r="U1162" s="663"/>
      <c r="Z1162" s="663"/>
      <c r="AA1162" s="663"/>
      <c r="AB1162" s="663"/>
      <c r="AC1162" s="663"/>
      <c r="AD1162" s="663"/>
      <c r="AE1162" s="663"/>
      <c r="AF1162" s="663"/>
      <c r="AG1162" s="663"/>
      <c r="AH1162" s="663"/>
      <c r="AI1162" s="663"/>
      <c r="AJ1162" s="663"/>
      <c r="AK1162" s="663"/>
      <c r="AL1162" s="663"/>
      <c r="AM1162" s="663"/>
      <c r="AN1162" s="663"/>
    </row>
    <row r="1163" spans="2:40" ht="14.45" hidden="1" customHeight="1" x14ac:dyDescent="0.25">
      <c r="B1163" s="936">
        <f t="shared" si="2759"/>
        <v>39843</v>
      </c>
      <c r="C1163" s="662">
        <f t="shared" si="2760"/>
        <v>0</v>
      </c>
      <c r="D1163" s="662">
        <f t="shared" si="2761"/>
        <v>0</v>
      </c>
      <c r="E1163" s="662">
        <f t="shared" si="2761"/>
        <v>0</v>
      </c>
      <c r="F1163" s="662">
        <f t="shared" si="2761"/>
        <v>0</v>
      </c>
      <c r="G1163" s="662">
        <f t="shared" si="2761"/>
        <v>0</v>
      </c>
      <c r="H1163" s="662">
        <f t="shared" si="2761"/>
        <v>0</v>
      </c>
      <c r="I1163" s="662">
        <f t="shared" si="2761"/>
        <v>0</v>
      </c>
      <c r="J1163" s="662">
        <f t="shared" si="2761"/>
        <v>0</v>
      </c>
      <c r="K1163" s="662">
        <f t="shared" si="2761"/>
        <v>0</v>
      </c>
      <c r="L1163" s="662">
        <f t="shared" si="2761"/>
        <v>0</v>
      </c>
      <c r="U1163" s="663"/>
      <c r="Z1163" s="663"/>
      <c r="AA1163" s="663"/>
      <c r="AB1163" s="663"/>
      <c r="AC1163" s="663"/>
      <c r="AD1163" s="663"/>
      <c r="AE1163" s="663"/>
      <c r="AF1163" s="663"/>
      <c r="AG1163" s="663"/>
      <c r="AH1163" s="663"/>
      <c r="AI1163" s="663"/>
      <c r="AJ1163" s="663"/>
      <c r="AK1163" s="663"/>
      <c r="AL1163" s="663"/>
      <c r="AM1163" s="663"/>
      <c r="AN1163" s="663"/>
    </row>
    <row r="1164" spans="2:40" ht="14.45" hidden="1" customHeight="1" x14ac:dyDescent="0.25">
      <c r="B1164" s="936">
        <f t="shared" si="2759"/>
        <v>41179</v>
      </c>
      <c r="C1164" s="662">
        <f>C1692</f>
        <v>2823795.1807228918</v>
      </c>
      <c r="D1164" s="662">
        <f t="shared" ref="D1164:L1164" si="2762">D1692</f>
        <v>4235692.7710843375</v>
      </c>
      <c r="E1164" s="662">
        <f t="shared" si="2762"/>
        <v>5647590.3614457836</v>
      </c>
      <c r="F1164" s="662">
        <f t="shared" si="2762"/>
        <v>7059487.9518072288</v>
      </c>
      <c r="G1164" s="662">
        <f t="shared" si="2762"/>
        <v>8471385.542168675</v>
      </c>
      <c r="H1164" s="662">
        <f t="shared" si="2762"/>
        <v>9883283.1325301211</v>
      </c>
      <c r="I1164" s="662">
        <f t="shared" si="2762"/>
        <v>11295180.722891567</v>
      </c>
      <c r="J1164" s="662">
        <f t="shared" si="2762"/>
        <v>12707078.313253012</v>
      </c>
      <c r="K1164" s="662">
        <f t="shared" si="2762"/>
        <v>14118975.903614458</v>
      </c>
      <c r="L1164" s="662">
        <f t="shared" si="2762"/>
        <v>15530873.493975904</v>
      </c>
      <c r="U1164" s="663"/>
      <c r="Z1164" s="663"/>
      <c r="AA1164" s="663"/>
      <c r="AB1164" s="663"/>
      <c r="AC1164" s="663"/>
      <c r="AD1164" s="663"/>
      <c r="AE1164" s="663"/>
      <c r="AF1164" s="663"/>
      <c r="AG1164" s="663"/>
      <c r="AH1164" s="663"/>
      <c r="AI1164" s="663"/>
      <c r="AJ1164" s="663"/>
      <c r="AK1164" s="663"/>
      <c r="AL1164" s="663"/>
      <c r="AM1164" s="663"/>
      <c r="AN1164" s="663"/>
    </row>
    <row r="1165" spans="2:40" ht="14.45" hidden="1" customHeight="1" x14ac:dyDescent="0.25">
      <c r="C1165" s="882" t="str">
        <f ca="1">IF(ISERROR(XIRR(INDIRECT(C1167):C1164,INDIRECT($B1167):$B1164,-20%)),XIRR(INDIRECT(C1167):C1164,INDIRECT($B1167):$B1164,20%),"N/A")</f>
        <v>N/A</v>
      </c>
      <c r="D1165" s="882" t="str">
        <f ca="1">IF(ISERROR(XIRR(INDIRECT(D1167):D1164,INDIRECT($B1167):$B1164,-20%)),XIRR(INDIRECT(D1167):D1164,INDIRECT($B1167):$B1164,20%),"N/A")</f>
        <v>N/A</v>
      </c>
      <c r="E1165" s="882">
        <f ca="1">IF(ISERROR(XIRR(INDIRECT(E1167):E1164,INDIRECT($B1167):$B1164,-20%)),XIRR(INDIRECT(E1167):E1164,INDIRECT($B1167):$B1164,20%),"N/A")</f>
        <v>6.051364541053773E-3</v>
      </c>
      <c r="F1165" s="882">
        <f ca="1">IF(ISERROR(XIRR(INDIRECT(F1167):F1164,INDIRECT($B1167):$B1164,-20%)),XIRR(INDIRECT(F1167):F1164,INDIRECT($B1167):$B1164,20%),"N/A")</f>
        <v>5.8324137330055245E-2</v>
      </c>
      <c r="G1165" s="882">
        <f ca="1">IF(ISERROR(XIRR(INDIRECT(G1167):G1164,INDIRECT($B1167):$B1164,-20%)),XIRR(INDIRECT(G1167):G1164,INDIRECT($B1167):$B1164,20%),"N/A")</f>
        <v>0.10277331471443177</v>
      </c>
      <c r="H1165" s="882">
        <f ca="1">IF(ISERROR(XIRR(INDIRECT(H1167):H1164,INDIRECT($B1167):$B1164,-20%)),XIRR(INDIRECT(H1167):H1164,INDIRECT($B1167):$B1164,20%),"N/A")</f>
        <v>0.14161195158958434</v>
      </c>
      <c r="I1165" s="882">
        <f ca="1">IF(ISERROR(XIRR(INDIRECT(I1167):I1164,INDIRECT($B1167):$B1164,-20%)),XIRR(INDIRECT(I1167):I1164,INDIRECT($B1167):$B1164,20%),"N/A")</f>
        <v>0.17621049284934998</v>
      </c>
      <c r="J1165" s="882">
        <f ca="1">IF(ISERROR(XIRR(INDIRECT(J1167):J1164,INDIRECT($B1167):$B1164,-20%)),XIRR(INDIRECT(J1167):J1164,INDIRECT($B1167):$B1164,20%),"N/A")</f>
        <v>0.20748057961463925</v>
      </c>
      <c r="K1165" s="882">
        <f ca="1">IF(ISERROR(XIRR(INDIRECT(K1167):K1164,INDIRECT($B1167):$B1164,-20%)),XIRR(INDIRECT(K1167):K1164,INDIRECT($B1167):$B1164,20%),"N/A")</f>
        <v>0.23606141209602355</v>
      </c>
      <c r="L1165" s="882">
        <f ca="1">IF(ISERROR(XIRR(INDIRECT(L1167):L1164,INDIRECT($B1167):$B1164,-20%)),XIRR(INDIRECT(L1167):L1164,INDIRECT($B1167):$B1164,20%),"N/A")</f>
        <v>0.26241969466209414</v>
      </c>
      <c r="U1165" s="663"/>
      <c r="Z1165" s="663"/>
      <c r="AA1165" s="663"/>
      <c r="AB1165" s="663"/>
      <c r="AC1165" s="663"/>
      <c r="AD1165" s="663"/>
      <c r="AE1165" s="663"/>
      <c r="AF1165" s="663"/>
      <c r="AG1165" s="663"/>
      <c r="AH1165" s="663"/>
      <c r="AI1165" s="663"/>
      <c r="AJ1165" s="663"/>
      <c r="AK1165" s="663"/>
      <c r="AL1165" s="663"/>
      <c r="AM1165" s="663"/>
      <c r="AN1165" s="663"/>
    </row>
    <row r="1166" spans="2:40" ht="14.45" hidden="1" customHeight="1" x14ac:dyDescent="0.25">
      <c r="B1166" s="898">
        <f>IF(C1154&lt;&gt;0,ROW(C1154),IF(C1155&lt;&gt;0,ROW(C1155),IF(C1156&lt;&gt;0,ROW(C1156),IF(C1157&lt;&gt;0,ROW(C1157),IF(C1158&lt;&gt;0,ROW(C1158),IF(C1159&lt;&gt;0,ROW(C1159),IF(C1160&lt;&gt;0,ROW(C1160),IF(C1161&lt;&gt;0,ROW(C1161),IF(C1162&lt;&gt;0,ROW(C1162),IF(C1163&lt;&gt;0,ROW(C1163)))))))))))</f>
        <v>1154</v>
      </c>
      <c r="C1166" s="882"/>
      <c r="U1166" s="663"/>
      <c r="Z1166" s="663"/>
      <c r="AA1166" s="663"/>
      <c r="AB1166" s="663"/>
      <c r="AC1166" s="663"/>
      <c r="AD1166" s="663"/>
      <c r="AE1166" s="663"/>
      <c r="AF1166" s="663"/>
      <c r="AG1166" s="663"/>
      <c r="AH1166" s="663"/>
      <c r="AI1166" s="663"/>
      <c r="AJ1166" s="663"/>
      <c r="AK1166" s="663"/>
      <c r="AL1166" s="663"/>
      <c r="AM1166" s="663"/>
      <c r="AN1166" s="663"/>
    </row>
    <row r="1167" spans="2:40" ht="14.45" hidden="1" customHeight="1" x14ac:dyDescent="0.25">
      <c r="B1167" s="899" t="str">
        <f>CONCATENATE(IF(COLUMN(B1166)&lt;=26,CHAR(96+COLUMN(B1166)),(CHAR(96+(ROUNDDOWN((COLUMN(B1166)-1)/26,0)))&amp;CHAR(96+IF(MOD(COLUMN(B1166),26)=0,26,MOD(COLUMN(B1166),26))))),B1166)</f>
        <v>b1154</v>
      </c>
      <c r="C1167" s="899" t="str">
        <f>CONCATENATE(IF(COLUMN(C1165)&lt;=26,CHAR(96+COLUMN(C1165)),(CHAR(96+(ROUNDDOWN((COLUMN(C1165)-1)/26,0)))&amp;CHAR(96+IF(MOD(COLUMN(C1165),26)=0,26,MOD(COLUMN(C1165),26))))),$B1166)</f>
        <v>c1154</v>
      </c>
      <c r="D1167" s="899" t="str">
        <f t="shared" ref="D1167" si="2763">CONCATENATE(IF(COLUMN(D1165)&lt;=26,CHAR(96+COLUMN(D1165)),(CHAR(96+(ROUNDDOWN((COLUMN(D1165)-1)/26,0)))&amp;CHAR(96+IF(MOD(COLUMN(D1165),26)=0,26,MOD(COLUMN(D1165),26))))),$B1166)</f>
        <v>d1154</v>
      </c>
      <c r="E1167" s="899" t="str">
        <f t="shared" ref="E1167" si="2764">CONCATENATE(IF(COLUMN(E1165)&lt;=26,CHAR(96+COLUMN(E1165)),(CHAR(96+(ROUNDDOWN((COLUMN(E1165)-1)/26,0)))&amp;CHAR(96+IF(MOD(COLUMN(E1165),26)=0,26,MOD(COLUMN(E1165),26))))),$B1166)</f>
        <v>e1154</v>
      </c>
      <c r="F1167" s="899" t="str">
        <f t="shared" ref="F1167" si="2765">CONCATENATE(IF(COLUMN(F1165)&lt;=26,CHAR(96+COLUMN(F1165)),(CHAR(96+(ROUNDDOWN((COLUMN(F1165)-1)/26,0)))&amp;CHAR(96+IF(MOD(COLUMN(F1165),26)=0,26,MOD(COLUMN(F1165),26))))),$B1166)</f>
        <v>f1154</v>
      </c>
      <c r="G1167" s="899" t="str">
        <f t="shared" ref="G1167" si="2766">CONCATENATE(IF(COLUMN(G1165)&lt;=26,CHAR(96+COLUMN(G1165)),(CHAR(96+(ROUNDDOWN((COLUMN(G1165)-1)/26,0)))&amp;CHAR(96+IF(MOD(COLUMN(G1165),26)=0,26,MOD(COLUMN(G1165),26))))),$B1166)</f>
        <v>g1154</v>
      </c>
      <c r="H1167" s="899" t="str">
        <f t="shared" ref="H1167" si="2767">CONCATENATE(IF(COLUMN(H1165)&lt;=26,CHAR(96+COLUMN(H1165)),(CHAR(96+(ROUNDDOWN((COLUMN(H1165)-1)/26,0)))&amp;CHAR(96+IF(MOD(COLUMN(H1165),26)=0,26,MOD(COLUMN(H1165),26))))),$B1166)</f>
        <v>h1154</v>
      </c>
      <c r="I1167" s="899" t="str">
        <f t="shared" ref="I1167" si="2768">CONCATENATE(IF(COLUMN(I1165)&lt;=26,CHAR(96+COLUMN(I1165)),(CHAR(96+(ROUNDDOWN((COLUMN(I1165)-1)/26,0)))&amp;CHAR(96+IF(MOD(COLUMN(I1165),26)=0,26,MOD(COLUMN(I1165),26))))),$B1166)</f>
        <v>i1154</v>
      </c>
      <c r="J1167" s="899" t="str">
        <f t="shared" ref="J1167" si="2769">CONCATENATE(IF(COLUMN(J1165)&lt;=26,CHAR(96+COLUMN(J1165)),(CHAR(96+(ROUNDDOWN((COLUMN(J1165)-1)/26,0)))&amp;CHAR(96+IF(MOD(COLUMN(J1165),26)=0,26,MOD(COLUMN(J1165),26))))),$B1166)</f>
        <v>j1154</v>
      </c>
      <c r="K1167" s="899" t="str">
        <f t="shared" ref="K1167" si="2770">CONCATENATE(IF(COLUMN(K1165)&lt;=26,CHAR(96+COLUMN(K1165)),(CHAR(96+(ROUNDDOWN((COLUMN(K1165)-1)/26,0)))&amp;CHAR(96+IF(MOD(COLUMN(K1165),26)=0,26,MOD(COLUMN(K1165),26))))),$B1166)</f>
        <v>k1154</v>
      </c>
      <c r="L1167" s="899" t="str">
        <f t="shared" ref="L1167" si="2771">CONCATENATE(IF(COLUMN(L1165)&lt;=26,CHAR(96+COLUMN(L1165)),(CHAR(96+(ROUNDDOWN((COLUMN(L1165)-1)/26,0)))&amp;CHAR(96+IF(MOD(COLUMN(L1165),26)=0,26,MOD(COLUMN(L1165),26))))),$B1166)</f>
        <v>l1154</v>
      </c>
      <c r="U1167" s="663"/>
      <c r="Z1167" s="663"/>
      <c r="AA1167" s="663"/>
      <c r="AB1167" s="663"/>
      <c r="AC1167" s="663"/>
      <c r="AD1167" s="663"/>
      <c r="AE1167" s="663"/>
      <c r="AF1167" s="663"/>
      <c r="AG1167" s="663"/>
      <c r="AH1167" s="663"/>
      <c r="AI1167" s="663"/>
      <c r="AJ1167" s="663"/>
      <c r="AK1167" s="663"/>
      <c r="AL1167" s="663"/>
      <c r="AM1167" s="663"/>
      <c r="AN1167" s="663"/>
    </row>
    <row r="1168" spans="2:40" ht="14.45" hidden="1" customHeight="1" x14ac:dyDescent="0.25">
      <c r="B1168" s="661"/>
      <c r="C1168" s="662"/>
      <c r="U1168" s="663"/>
      <c r="Z1168" s="663"/>
      <c r="AA1168" s="663"/>
      <c r="AB1168" s="663"/>
      <c r="AC1168" s="663"/>
      <c r="AD1168" s="663"/>
      <c r="AE1168" s="663"/>
      <c r="AF1168" s="663"/>
      <c r="AG1168" s="663"/>
      <c r="AH1168" s="663"/>
      <c r="AI1168" s="663"/>
      <c r="AJ1168" s="663"/>
      <c r="AK1168" s="663"/>
      <c r="AL1168" s="663"/>
      <c r="AM1168" s="663"/>
      <c r="AN1168" s="663"/>
    </row>
    <row r="1169" spans="2:40" ht="14.45" hidden="1" customHeight="1" x14ac:dyDescent="0.25">
      <c r="B1169" s="661"/>
      <c r="C1169" s="662"/>
      <c r="U1169" s="663"/>
      <c r="Z1169" s="663"/>
      <c r="AA1169" s="663"/>
      <c r="AB1169" s="663"/>
      <c r="AC1169" s="663"/>
      <c r="AD1169" s="663"/>
      <c r="AE1169" s="663"/>
      <c r="AF1169" s="663"/>
      <c r="AG1169" s="663"/>
      <c r="AH1169" s="663"/>
      <c r="AI1169" s="663"/>
      <c r="AJ1169" s="663"/>
      <c r="AK1169" s="663"/>
      <c r="AL1169" s="663"/>
      <c r="AM1169" s="663"/>
      <c r="AN1169" s="663"/>
    </row>
    <row r="1170" spans="2:40" ht="14.45" hidden="1" customHeight="1" x14ac:dyDescent="0.25">
      <c r="B1170" s="936">
        <f>B1154</f>
        <v>39113</v>
      </c>
      <c r="C1170" s="662">
        <f>C1154</f>
        <v>-1000000</v>
      </c>
      <c r="D1170" s="662">
        <f t="shared" ref="D1170:L1170" si="2772">D1154</f>
        <v>-1000000</v>
      </c>
      <c r="E1170" s="662">
        <f t="shared" si="2772"/>
        <v>-1000000</v>
      </c>
      <c r="F1170" s="662">
        <f t="shared" si="2772"/>
        <v>-1000000</v>
      </c>
      <c r="G1170" s="662">
        <f t="shared" si="2772"/>
        <v>-1000000</v>
      </c>
      <c r="H1170" s="662">
        <f t="shared" si="2772"/>
        <v>-1000000</v>
      </c>
      <c r="I1170" s="662">
        <f t="shared" si="2772"/>
        <v>-1000000</v>
      </c>
      <c r="J1170" s="662">
        <f t="shared" si="2772"/>
        <v>-1000000</v>
      </c>
      <c r="K1170" s="662">
        <f t="shared" si="2772"/>
        <v>-1000000</v>
      </c>
      <c r="L1170" s="662">
        <f t="shared" si="2772"/>
        <v>-1000000</v>
      </c>
      <c r="U1170" s="663"/>
      <c r="Z1170" s="663"/>
      <c r="AA1170" s="663"/>
      <c r="AB1170" s="663"/>
      <c r="AC1170" s="663"/>
      <c r="AD1170" s="663"/>
      <c r="AE1170" s="663"/>
      <c r="AF1170" s="663"/>
      <c r="AG1170" s="663"/>
      <c r="AH1170" s="663"/>
      <c r="AI1170" s="663"/>
      <c r="AJ1170" s="663"/>
      <c r="AK1170" s="663"/>
      <c r="AL1170" s="663"/>
      <c r="AM1170" s="663"/>
      <c r="AN1170" s="663"/>
    </row>
    <row r="1171" spans="2:40" ht="14.45" hidden="1" customHeight="1" x14ac:dyDescent="0.25">
      <c r="B1171" s="936">
        <f t="shared" ref="B1171:L1171" si="2773">B1155</f>
        <v>39478</v>
      </c>
      <c r="C1171" s="662">
        <f t="shared" si="2773"/>
        <v>-2000000</v>
      </c>
      <c r="D1171" s="662">
        <f t="shared" si="2773"/>
        <v>-2000000</v>
      </c>
      <c r="E1171" s="662">
        <f t="shared" si="2773"/>
        <v>-2000000</v>
      </c>
      <c r="F1171" s="662">
        <f t="shared" si="2773"/>
        <v>-2000000</v>
      </c>
      <c r="G1171" s="662">
        <f t="shared" si="2773"/>
        <v>-2000000</v>
      </c>
      <c r="H1171" s="662">
        <f t="shared" si="2773"/>
        <v>-2000000</v>
      </c>
      <c r="I1171" s="662">
        <f t="shared" si="2773"/>
        <v>-2000000</v>
      </c>
      <c r="J1171" s="662">
        <f t="shared" si="2773"/>
        <v>-2000000</v>
      </c>
      <c r="K1171" s="662">
        <f t="shared" si="2773"/>
        <v>-2000000</v>
      </c>
      <c r="L1171" s="662">
        <f t="shared" si="2773"/>
        <v>-2000000</v>
      </c>
      <c r="U1171" s="663"/>
      <c r="Z1171" s="663"/>
      <c r="AA1171" s="663"/>
      <c r="AB1171" s="663"/>
      <c r="AC1171" s="663"/>
      <c r="AD1171" s="663"/>
      <c r="AE1171" s="663"/>
      <c r="AF1171" s="663"/>
      <c r="AG1171" s="663"/>
      <c r="AH1171" s="663"/>
      <c r="AI1171" s="663"/>
      <c r="AJ1171" s="663"/>
      <c r="AK1171" s="663"/>
      <c r="AL1171" s="663"/>
      <c r="AM1171" s="663"/>
      <c r="AN1171" s="663"/>
    </row>
    <row r="1172" spans="2:40" ht="14.45" hidden="1" customHeight="1" x14ac:dyDescent="0.25">
      <c r="B1172" s="936">
        <f t="shared" ref="B1172:L1172" si="2774">B1156</f>
        <v>39843</v>
      </c>
      <c r="C1172" s="662">
        <f t="shared" si="2774"/>
        <v>-2500000</v>
      </c>
      <c r="D1172" s="662">
        <f t="shared" si="2774"/>
        <v>-2500000</v>
      </c>
      <c r="E1172" s="662">
        <f t="shared" si="2774"/>
        <v>-2500000</v>
      </c>
      <c r="F1172" s="662">
        <f t="shared" si="2774"/>
        <v>-2500000</v>
      </c>
      <c r="G1172" s="662">
        <f t="shared" si="2774"/>
        <v>-2500000</v>
      </c>
      <c r="H1172" s="662">
        <f t="shared" si="2774"/>
        <v>-2500000</v>
      </c>
      <c r="I1172" s="662">
        <f t="shared" si="2774"/>
        <v>-2500000</v>
      </c>
      <c r="J1172" s="662">
        <f t="shared" si="2774"/>
        <v>-2500000</v>
      </c>
      <c r="K1172" s="662">
        <f t="shared" si="2774"/>
        <v>-2500000</v>
      </c>
      <c r="L1172" s="662">
        <f t="shared" si="2774"/>
        <v>-2500000</v>
      </c>
      <c r="U1172" s="663"/>
      <c r="Z1172" s="663"/>
      <c r="AA1172" s="663"/>
      <c r="AB1172" s="663"/>
      <c r="AC1172" s="663"/>
      <c r="AD1172" s="663"/>
      <c r="AE1172" s="663"/>
      <c r="AF1172" s="663"/>
      <c r="AG1172" s="663"/>
      <c r="AH1172" s="663"/>
      <c r="AI1172" s="663"/>
      <c r="AJ1172" s="663"/>
      <c r="AK1172" s="663"/>
      <c r="AL1172" s="663"/>
      <c r="AM1172" s="663"/>
      <c r="AN1172" s="663"/>
    </row>
    <row r="1173" spans="2:40" ht="14.45" hidden="1" customHeight="1" x14ac:dyDescent="0.25">
      <c r="B1173" s="936">
        <f t="shared" ref="B1173:L1173" si="2775">B1157</f>
        <v>39843</v>
      </c>
      <c r="C1173" s="662">
        <f t="shared" si="2775"/>
        <v>0</v>
      </c>
      <c r="D1173" s="662">
        <f t="shared" si="2775"/>
        <v>0</v>
      </c>
      <c r="E1173" s="662">
        <f t="shared" si="2775"/>
        <v>0</v>
      </c>
      <c r="F1173" s="662">
        <f t="shared" si="2775"/>
        <v>0</v>
      </c>
      <c r="G1173" s="662">
        <f t="shared" si="2775"/>
        <v>0</v>
      </c>
      <c r="H1173" s="662">
        <f t="shared" si="2775"/>
        <v>0</v>
      </c>
      <c r="I1173" s="662">
        <f t="shared" si="2775"/>
        <v>0</v>
      </c>
      <c r="J1173" s="662">
        <f t="shared" si="2775"/>
        <v>0</v>
      </c>
      <c r="K1173" s="662">
        <f t="shared" si="2775"/>
        <v>0</v>
      </c>
      <c r="L1173" s="662">
        <f t="shared" si="2775"/>
        <v>0</v>
      </c>
      <c r="U1173" s="663"/>
      <c r="Z1173" s="663"/>
      <c r="AA1173" s="663"/>
      <c r="AB1173" s="663"/>
      <c r="AC1173" s="663"/>
      <c r="AD1173" s="663"/>
      <c r="AE1173" s="663"/>
      <c r="AF1173" s="663"/>
      <c r="AG1173" s="663"/>
      <c r="AH1173" s="663"/>
      <c r="AI1173" s="663"/>
      <c r="AJ1173" s="663"/>
      <c r="AK1173" s="663"/>
      <c r="AL1173" s="663"/>
      <c r="AM1173" s="663"/>
      <c r="AN1173" s="663"/>
    </row>
    <row r="1174" spans="2:40" ht="14.45" hidden="1" customHeight="1" x14ac:dyDescent="0.25">
      <c r="B1174" s="936">
        <f t="shared" ref="B1174:L1174" si="2776">B1158</f>
        <v>39843</v>
      </c>
      <c r="C1174" s="662">
        <f t="shared" si="2776"/>
        <v>0</v>
      </c>
      <c r="D1174" s="662">
        <f t="shared" si="2776"/>
        <v>0</v>
      </c>
      <c r="E1174" s="662">
        <f t="shared" si="2776"/>
        <v>0</v>
      </c>
      <c r="F1174" s="662">
        <f t="shared" si="2776"/>
        <v>0</v>
      </c>
      <c r="G1174" s="662">
        <f t="shared" si="2776"/>
        <v>0</v>
      </c>
      <c r="H1174" s="662">
        <f t="shared" si="2776"/>
        <v>0</v>
      </c>
      <c r="I1174" s="662">
        <f t="shared" si="2776"/>
        <v>0</v>
      </c>
      <c r="J1174" s="662">
        <f t="shared" si="2776"/>
        <v>0</v>
      </c>
      <c r="K1174" s="662">
        <f t="shared" si="2776"/>
        <v>0</v>
      </c>
      <c r="L1174" s="662">
        <f t="shared" si="2776"/>
        <v>0</v>
      </c>
      <c r="U1174" s="663"/>
      <c r="Z1174" s="663"/>
      <c r="AA1174" s="663"/>
      <c r="AB1174" s="663"/>
      <c r="AC1174" s="663"/>
      <c r="AD1174" s="663"/>
      <c r="AE1174" s="663"/>
      <c r="AF1174" s="663"/>
      <c r="AG1174" s="663"/>
      <c r="AH1174" s="663"/>
      <c r="AI1174" s="663"/>
      <c r="AJ1174" s="663"/>
      <c r="AK1174" s="663"/>
      <c r="AL1174" s="663"/>
      <c r="AM1174" s="663"/>
      <c r="AN1174" s="663"/>
    </row>
    <row r="1175" spans="2:40" ht="14.45" hidden="1" customHeight="1" x14ac:dyDescent="0.25">
      <c r="B1175" s="936">
        <f t="shared" ref="B1175:L1175" si="2777">B1159</f>
        <v>39843</v>
      </c>
      <c r="C1175" s="662">
        <f t="shared" si="2777"/>
        <v>0</v>
      </c>
      <c r="D1175" s="662">
        <f t="shared" si="2777"/>
        <v>0</v>
      </c>
      <c r="E1175" s="662">
        <f t="shared" si="2777"/>
        <v>0</v>
      </c>
      <c r="F1175" s="662">
        <f t="shared" si="2777"/>
        <v>0</v>
      </c>
      <c r="G1175" s="662">
        <f t="shared" si="2777"/>
        <v>0</v>
      </c>
      <c r="H1175" s="662">
        <f t="shared" si="2777"/>
        <v>0</v>
      </c>
      <c r="I1175" s="662">
        <f t="shared" si="2777"/>
        <v>0</v>
      </c>
      <c r="J1175" s="662">
        <f t="shared" si="2777"/>
        <v>0</v>
      </c>
      <c r="K1175" s="662">
        <f t="shared" si="2777"/>
        <v>0</v>
      </c>
      <c r="L1175" s="662">
        <f t="shared" si="2777"/>
        <v>0</v>
      </c>
      <c r="U1175" s="663"/>
      <c r="Z1175" s="663"/>
      <c r="AA1175" s="663"/>
      <c r="AB1175" s="663"/>
      <c r="AC1175" s="663"/>
      <c r="AD1175" s="663"/>
      <c r="AE1175" s="663"/>
      <c r="AF1175" s="663"/>
      <c r="AG1175" s="663"/>
      <c r="AH1175" s="663"/>
      <c r="AI1175" s="663"/>
      <c r="AJ1175" s="663"/>
      <c r="AK1175" s="663"/>
      <c r="AL1175" s="663"/>
      <c r="AM1175" s="663"/>
      <c r="AN1175" s="663"/>
    </row>
    <row r="1176" spans="2:40" ht="14.45" hidden="1" customHeight="1" x14ac:dyDescent="0.25">
      <c r="B1176" s="936">
        <f t="shared" ref="B1176:L1176" si="2778">B1160</f>
        <v>39843</v>
      </c>
      <c r="C1176" s="662">
        <f t="shared" si="2778"/>
        <v>0</v>
      </c>
      <c r="D1176" s="662">
        <f t="shared" si="2778"/>
        <v>0</v>
      </c>
      <c r="E1176" s="662">
        <f t="shared" si="2778"/>
        <v>0</v>
      </c>
      <c r="F1176" s="662">
        <f t="shared" si="2778"/>
        <v>0</v>
      </c>
      <c r="G1176" s="662">
        <f t="shared" si="2778"/>
        <v>0</v>
      </c>
      <c r="H1176" s="662">
        <f t="shared" si="2778"/>
        <v>0</v>
      </c>
      <c r="I1176" s="662">
        <f t="shared" si="2778"/>
        <v>0</v>
      </c>
      <c r="J1176" s="662">
        <f t="shared" si="2778"/>
        <v>0</v>
      </c>
      <c r="K1176" s="662">
        <f t="shared" si="2778"/>
        <v>0</v>
      </c>
      <c r="L1176" s="662">
        <f t="shared" si="2778"/>
        <v>0</v>
      </c>
      <c r="U1176" s="663"/>
      <c r="Z1176" s="663"/>
      <c r="AA1176" s="663"/>
      <c r="AB1176" s="663"/>
      <c r="AC1176" s="663"/>
      <c r="AD1176" s="663"/>
      <c r="AE1176" s="663"/>
      <c r="AF1176" s="663"/>
      <c r="AG1176" s="663"/>
      <c r="AH1176" s="663"/>
      <c r="AI1176" s="663"/>
      <c r="AJ1176" s="663"/>
      <c r="AK1176" s="663"/>
      <c r="AL1176" s="663"/>
      <c r="AM1176" s="663"/>
      <c r="AN1176" s="663"/>
    </row>
    <row r="1177" spans="2:40" ht="14.45" hidden="1" customHeight="1" x14ac:dyDescent="0.25">
      <c r="B1177" s="936">
        <f t="shared" ref="B1177:L1177" si="2779">B1161</f>
        <v>39843</v>
      </c>
      <c r="C1177" s="662">
        <f t="shared" si="2779"/>
        <v>0</v>
      </c>
      <c r="D1177" s="662">
        <f t="shared" si="2779"/>
        <v>0</v>
      </c>
      <c r="E1177" s="662">
        <f t="shared" si="2779"/>
        <v>0</v>
      </c>
      <c r="F1177" s="662">
        <f t="shared" si="2779"/>
        <v>0</v>
      </c>
      <c r="G1177" s="662">
        <f t="shared" si="2779"/>
        <v>0</v>
      </c>
      <c r="H1177" s="662">
        <f t="shared" si="2779"/>
        <v>0</v>
      </c>
      <c r="I1177" s="662">
        <f t="shared" si="2779"/>
        <v>0</v>
      </c>
      <c r="J1177" s="662">
        <f t="shared" si="2779"/>
        <v>0</v>
      </c>
      <c r="K1177" s="662">
        <f t="shared" si="2779"/>
        <v>0</v>
      </c>
      <c r="L1177" s="662">
        <f t="shared" si="2779"/>
        <v>0</v>
      </c>
      <c r="U1177" s="663"/>
      <c r="Z1177" s="663"/>
      <c r="AA1177" s="663"/>
      <c r="AB1177" s="663"/>
      <c r="AC1177" s="663"/>
      <c r="AD1177" s="663"/>
      <c r="AE1177" s="663"/>
      <c r="AF1177" s="663"/>
      <c r="AG1177" s="663"/>
      <c r="AH1177" s="663"/>
      <c r="AI1177" s="663"/>
      <c r="AJ1177" s="663"/>
      <c r="AK1177" s="663"/>
      <c r="AL1177" s="663"/>
      <c r="AM1177" s="663"/>
      <c r="AN1177" s="663"/>
    </row>
    <row r="1178" spans="2:40" ht="14.45" hidden="1" customHeight="1" x14ac:dyDescent="0.25">
      <c r="B1178" s="936">
        <f t="shared" ref="B1178:L1178" si="2780">B1162</f>
        <v>39843</v>
      </c>
      <c r="C1178" s="662">
        <f t="shared" si="2780"/>
        <v>0</v>
      </c>
      <c r="D1178" s="662">
        <f t="shared" si="2780"/>
        <v>0</v>
      </c>
      <c r="E1178" s="662">
        <f t="shared" si="2780"/>
        <v>0</v>
      </c>
      <c r="F1178" s="662">
        <f t="shared" si="2780"/>
        <v>0</v>
      </c>
      <c r="G1178" s="662">
        <f t="shared" si="2780"/>
        <v>0</v>
      </c>
      <c r="H1178" s="662">
        <f t="shared" si="2780"/>
        <v>0</v>
      </c>
      <c r="I1178" s="662">
        <f t="shared" si="2780"/>
        <v>0</v>
      </c>
      <c r="J1178" s="662">
        <f t="shared" si="2780"/>
        <v>0</v>
      </c>
      <c r="K1178" s="662">
        <f t="shared" si="2780"/>
        <v>0</v>
      </c>
      <c r="L1178" s="662">
        <f t="shared" si="2780"/>
        <v>0</v>
      </c>
      <c r="U1178" s="663"/>
      <c r="Z1178" s="663"/>
      <c r="AA1178" s="663"/>
      <c r="AB1178" s="663"/>
      <c r="AC1178" s="663"/>
      <c r="AD1178" s="663"/>
      <c r="AE1178" s="663"/>
      <c r="AF1178" s="663"/>
      <c r="AG1178" s="663"/>
      <c r="AH1178" s="663"/>
      <c r="AI1178" s="663"/>
      <c r="AJ1178" s="663"/>
      <c r="AK1178" s="663"/>
      <c r="AL1178" s="663"/>
      <c r="AM1178" s="663"/>
      <c r="AN1178" s="663"/>
    </row>
    <row r="1179" spans="2:40" ht="14.45" hidden="1" customHeight="1" x14ac:dyDescent="0.25">
      <c r="B1179" s="936">
        <f t="shared" ref="B1179:L1179" si="2781">B1163</f>
        <v>39843</v>
      </c>
      <c r="C1179" s="662">
        <f t="shared" si="2781"/>
        <v>0</v>
      </c>
      <c r="D1179" s="662">
        <f t="shared" si="2781"/>
        <v>0</v>
      </c>
      <c r="E1179" s="662">
        <f t="shared" si="2781"/>
        <v>0</v>
      </c>
      <c r="F1179" s="662">
        <f t="shared" si="2781"/>
        <v>0</v>
      </c>
      <c r="G1179" s="662">
        <f t="shared" si="2781"/>
        <v>0</v>
      </c>
      <c r="H1179" s="662">
        <f t="shared" si="2781"/>
        <v>0</v>
      </c>
      <c r="I1179" s="662">
        <f t="shared" si="2781"/>
        <v>0</v>
      </c>
      <c r="J1179" s="662">
        <f t="shared" si="2781"/>
        <v>0</v>
      </c>
      <c r="K1179" s="662">
        <f t="shared" si="2781"/>
        <v>0</v>
      </c>
      <c r="L1179" s="662">
        <f t="shared" si="2781"/>
        <v>0</v>
      </c>
      <c r="U1179" s="663"/>
      <c r="Z1179" s="663"/>
      <c r="AA1179" s="663"/>
      <c r="AB1179" s="663"/>
      <c r="AC1179" s="663"/>
      <c r="AD1179" s="663"/>
      <c r="AE1179" s="663"/>
      <c r="AF1179" s="663"/>
      <c r="AG1179" s="663"/>
      <c r="AH1179" s="663"/>
      <c r="AI1179" s="663"/>
      <c r="AJ1179" s="663"/>
      <c r="AK1179" s="663"/>
      <c r="AL1179" s="663"/>
      <c r="AM1179" s="663"/>
      <c r="AN1179" s="663"/>
    </row>
    <row r="1180" spans="2:40" ht="14.45" hidden="1" customHeight="1" x14ac:dyDescent="0.25">
      <c r="B1180" s="936">
        <f>B1114</f>
        <v>41359</v>
      </c>
      <c r="C1180" s="662">
        <f t="shared" ref="C1180:L1180" si="2782">C1164</f>
        <v>2823795.1807228918</v>
      </c>
      <c r="D1180" s="662">
        <f t="shared" si="2782"/>
        <v>4235692.7710843375</v>
      </c>
      <c r="E1180" s="662">
        <f t="shared" si="2782"/>
        <v>5647590.3614457836</v>
      </c>
      <c r="F1180" s="662">
        <f t="shared" si="2782"/>
        <v>7059487.9518072288</v>
      </c>
      <c r="G1180" s="662">
        <f t="shared" si="2782"/>
        <v>8471385.542168675</v>
      </c>
      <c r="H1180" s="662">
        <f t="shared" si="2782"/>
        <v>9883283.1325301211</v>
      </c>
      <c r="I1180" s="662">
        <f t="shared" si="2782"/>
        <v>11295180.722891567</v>
      </c>
      <c r="J1180" s="662">
        <f t="shared" si="2782"/>
        <v>12707078.313253012</v>
      </c>
      <c r="K1180" s="662">
        <f t="shared" si="2782"/>
        <v>14118975.903614458</v>
      </c>
      <c r="L1180" s="662">
        <f t="shared" si="2782"/>
        <v>15530873.493975904</v>
      </c>
      <c r="U1180" s="663"/>
      <c r="Z1180" s="663"/>
      <c r="AA1180" s="663"/>
      <c r="AB1180" s="663"/>
      <c r="AC1180" s="663"/>
      <c r="AD1180" s="663"/>
      <c r="AE1180" s="663"/>
      <c r="AF1180" s="663"/>
      <c r="AG1180" s="663"/>
      <c r="AH1180" s="663"/>
      <c r="AI1180" s="663"/>
      <c r="AJ1180" s="663"/>
      <c r="AK1180" s="663"/>
      <c r="AL1180" s="663"/>
      <c r="AM1180" s="663"/>
      <c r="AN1180" s="663"/>
    </row>
    <row r="1181" spans="2:40" ht="14.45" hidden="1" customHeight="1" x14ac:dyDescent="0.25">
      <c r="C1181" s="882" t="str">
        <f ca="1">IF(ISERROR(XIRR(INDIRECT(C1183):C1180,INDIRECT($B1183):$B1180,-20%)),XIRR(INDIRECT(C1183):C1180,INDIRECT($B1183):$B1180,20%),"N/A")</f>
        <v>N/A</v>
      </c>
      <c r="D1181" s="882" t="str">
        <f ca="1">IF(ISERROR(XIRR(INDIRECT(D1183):D1180,INDIRECT($B1183):$B1180,-20%)),XIRR(INDIRECT(D1183):D1180,INDIRECT($B1183):$B1180,20%),"N/A")</f>
        <v>N/A</v>
      </c>
      <c r="E1181" s="882">
        <f ca="1">IF(ISERROR(XIRR(INDIRECT(E1183):E1180,INDIRECT($B1183):$B1180,-20%)),XIRR(INDIRECT(E1183):E1180,INDIRECT($B1183):$B1180,20%),"N/A")</f>
        <v>5.4386764764785779E-3</v>
      </c>
      <c r="F1181" s="882">
        <f ca="1">IF(ISERROR(XIRR(INDIRECT(F1183):F1180,INDIRECT($B1183):$B1180,-20%)),XIRR(INDIRECT(F1183):F1180,INDIRECT($B1183):$B1180,20%),"N/A")</f>
        <v>5.2317216992378235E-2</v>
      </c>
      <c r="G1181" s="882">
        <f ca="1">IF(ISERROR(XIRR(INDIRECT(G1183):G1180,INDIRECT($B1183):$B1180,-20%)),XIRR(INDIRECT(G1183):G1180,INDIRECT($B1183):$B1180,20%),"N/A")</f>
        <v>9.204259216785432E-2</v>
      </c>
      <c r="H1181" s="882">
        <f ca="1">IF(ISERROR(XIRR(INDIRECT(H1183):H1180,INDIRECT($B1183):$B1180,-20%)),XIRR(INDIRECT(H1183):H1180,INDIRECT($B1183):$B1180,20%),"N/A")</f>
        <v>0.12665656208992004</v>
      </c>
      <c r="I1181" s="882">
        <f ca="1">IF(ISERROR(XIRR(INDIRECT(I1183):I1180,INDIRECT($B1183):$B1180,-20%)),XIRR(INDIRECT(I1183):I1180,INDIRECT($B1183):$B1180,20%),"N/A")</f>
        <v>0.15741900801658634</v>
      </c>
      <c r="J1181" s="882">
        <f ca="1">IF(ISERROR(XIRR(INDIRECT(J1183):J1180,INDIRECT($B1183):$B1180,-20%)),XIRR(INDIRECT(J1183):J1180,INDIRECT($B1183):$B1180,20%),"N/A")</f>
        <v>0.18516551852226257</v>
      </c>
      <c r="K1181" s="882">
        <f ca="1">IF(ISERROR(XIRR(INDIRECT(K1183):K1180,INDIRECT($B1183):$B1180,-20%)),XIRR(INDIRECT(K1183):K1180,INDIRECT($B1183):$B1180,20%),"N/A")</f>
        <v>0.21048055291175846</v>
      </c>
      <c r="L1181" s="882">
        <f ca="1">IF(ISERROR(XIRR(INDIRECT(L1183):L1180,INDIRECT($B1183):$B1180,-20%)),XIRR(INDIRECT(L1183):L1180,INDIRECT($B1183):$B1180,20%),"N/A")</f>
        <v>0.23378985524177548</v>
      </c>
      <c r="U1181" s="663"/>
      <c r="Z1181" s="663"/>
      <c r="AA1181" s="663"/>
      <c r="AB1181" s="663"/>
      <c r="AC1181" s="663"/>
      <c r="AD1181" s="663"/>
      <c r="AE1181" s="663"/>
      <c r="AF1181" s="663"/>
      <c r="AG1181" s="663"/>
      <c r="AH1181" s="663"/>
      <c r="AI1181" s="663"/>
      <c r="AJ1181" s="663"/>
      <c r="AK1181" s="663"/>
      <c r="AL1181" s="663"/>
      <c r="AM1181" s="663"/>
      <c r="AN1181" s="663"/>
    </row>
    <row r="1182" spans="2:40" ht="14.45" hidden="1" customHeight="1" x14ac:dyDescent="0.25">
      <c r="B1182" s="898">
        <f>IF(C1170&lt;&gt;0,ROW(C1170),IF(C1171&lt;&gt;0,ROW(C1171),IF(C1172&lt;&gt;0,ROW(C1172),IF(C1173&lt;&gt;0,ROW(C1173),IF(C1174&lt;&gt;0,ROW(C1174),IF(C1175&lt;&gt;0,ROW(C1175),IF(C1176&lt;&gt;0,ROW(C1176),IF(C1177&lt;&gt;0,ROW(C1177),IF(C1178&lt;&gt;0,ROW(C1178),IF(C1179&lt;&gt;0,ROW(C1179)))))))))))</f>
        <v>1170</v>
      </c>
      <c r="C1182" s="882"/>
      <c r="U1182" s="663"/>
      <c r="Z1182" s="663"/>
      <c r="AA1182" s="663"/>
      <c r="AB1182" s="663"/>
      <c r="AC1182" s="663"/>
      <c r="AD1182" s="663"/>
      <c r="AE1182" s="663"/>
      <c r="AF1182" s="663"/>
      <c r="AG1182" s="663"/>
      <c r="AH1182" s="663"/>
      <c r="AI1182" s="663"/>
      <c r="AJ1182" s="663"/>
      <c r="AK1182" s="663"/>
      <c r="AL1182" s="663"/>
      <c r="AM1182" s="663"/>
      <c r="AN1182" s="663"/>
    </row>
    <row r="1183" spans="2:40" ht="14.45" hidden="1" customHeight="1" x14ac:dyDescent="0.25">
      <c r="B1183" s="899" t="str">
        <f>CONCATENATE(IF(COLUMN(B1182)&lt;=26,CHAR(96+COLUMN(B1182)),(CHAR(96+(ROUNDDOWN((COLUMN(B1182)-1)/26,0)))&amp;CHAR(96+IF(MOD(COLUMN(B1182),26)=0,26,MOD(COLUMN(B1182),26))))),B1182)</f>
        <v>b1170</v>
      </c>
      <c r="C1183" s="899" t="str">
        <f>CONCATENATE(IF(COLUMN(C1181)&lt;=26,CHAR(96+COLUMN(C1181)),(CHAR(96+(ROUNDDOWN((COLUMN(C1181)-1)/26,0)))&amp;CHAR(96+IF(MOD(COLUMN(C1181),26)=0,26,MOD(COLUMN(C1181),26))))),$B1182)</f>
        <v>c1170</v>
      </c>
      <c r="D1183" s="899" t="str">
        <f t="shared" ref="D1183" si="2783">CONCATENATE(IF(COLUMN(D1181)&lt;=26,CHAR(96+COLUMN(D1181)),(CHAR(96+(ROUNDDOWN((COLUMN(D1181)-1)/26,0)))&amp;CHAR(96+IF(MOD(COLUMN(D1181),26)=0,26,MOD(COLUMN(D1181),26))))),$B1182)</f>
        <v>d1170</v>
      </c>
      <c r="E1183" s="899" t="str">
        <f t="shared" ref="E1183" si="2784">CONCATENATE(IF(COLUMN(E1181)&lt;=26,CHAR(96+COLUMN(E1181)),(CHAR(96+(ROUNDDOWN((COLUMN(E1181)-1)/26,0)))&amp;CHAR(96+IF(MOD(COLUMN(E1181),26)=0,26,MOD(COLUMN(E1181),26))))),$B1182)</f>
        <v>e1170</v>
      </c>
      <c r="F1183" s="899" t="str">
        <f t="shared" ref="F1183" si="2785">CONCATENATE(IF(COLUMN(F1181)&lt;=26,CHAR(96+COLUMN(F1181)),(CHAR(96+(ROUNDDOWN((COLUMN(F1181)-1)/26,0)))&amp;CHAR(96+IF(MOD(COLUMN(F1181),26)=0,26,MOD(COLUMN(F1181),26))))),$B1182)</f>
        <v>f1170</v>
      </c>
      <c r="G1183" s="899" t="str">
        <f t="shared" ref="G1183" si="2786">CONCATENATE(IF(COLUMN(G1181)&lt;=26,CHAR(96+COLUMN(G1181)),(CHAR(96+(ROUNDDOWN((COLUMN(G1181)-1)/26,0)))&amp;CHAR(96+IF(MOD(COLUMN(G1181),26)=0,26,MOD(COLUMN(G1181),26))))),$B1182)</f>
        <v>g1170</v>
      </c>
      <c r="H1183" s="899" t="str">
        <f t="shared" ref="H1183" si="2787">CONCATENATE(IF(COLUMN(H1181)&lt;=26,CHAR(96+COLUMN(H1181)),(CHAR(96+(ROUNDDOWN((COLUMN(H1181)-1)/26,0)))&amp;CHAR(96+IF(MOD(COLUMN(H1181),26)=0,26,MOD(COLUMN(H1181),26))))),$B1182)</f>
        <v>h1170</v>
      </c>
      <c r="I1183" s="899" t="str">
        <f t="shared" ref="I1183" si="2788">CONCATENATE(IF(COLUMN(I1181)&lt;=26,CHAR(96+COLUMN(I1181)),(CHAR(96+(ROUNDDOWN((COLUMN(I1181)-1)/26,0)))&amp;CHAR(96+IF(MOD(COLUMN(I1181),26)=0,26,MOD(COLUMN(I1181),26))))),$B1182)</f>
        <v>i1170</v>
      </c>
      <c r="J1183" s="899" t="str">
        <f t="shared" ref="J1183" si="2789">CONCATENATE(IF(COLUMN(J1181)&lt;=26,CHAR(96+COLUMN(J1181)),(CHAR(96+(ROUNDDOWN((COLUMN(J1181)-1)/26,0)))&amp;CHAR(96+IF(MOD(COLUMN(J1181),26)=0,26,MOD(COLUMN(J1181),26))))),$B1182)</f>
        <v>j1170</v>
      </c>
      <c r="K1183" s="899" t="str">
        <f t="shared" ref="K1183" si="2790">CONCATENATE(IF(COLUMN(K1181)&lt;=26,CHAR(96+COLUMN(K1181)),(CHAR(96+(ROUNDDOWN((COLUMN(K1181)-1)/26,0)))&amp;CHAR(96+IF(MOD(COLUMN(K1181),26)=0,26,MOD(COLUMN(K1181),26))))),$B1182)</f>
        <v>k1170</v>
      </c>
      <c r="L1183" s="899" t="str">
        <f t="shared" ref="L1183" si="2791">CONCATENATE(IF(COLUMN(L1181)&lt;=26,CHAR(96+COLUMN(L1181)),(CHAR(96+(ROUNDDOWN((COLUMN(L1181)-1)/26,0)))&amp;CHAR(96+IF(MOD(COLUMN(L1181),26)=0,26,MOD(COLUMN(L1181),26))))),$B1182)</f>
        <v>l1170</v>
      </c>
      <c r="U1183" s="663"/>
      <c r="Z1183" s="663"/>
      <c r="AA1183" s="663"/>
      <c r="AB1183" s="663"/>
      <c r="AC1183" s="663"/>
      <c r="AD1183" s="663"/>
      <c r="AE1183" s="663"/>
      <c r="AF1183" s="663"/>
      <c r="AG1183" s="663"/>
      <c r="AH1183" s="663"/>
      <c r="AI1183" s="663"/>
      <c r="AJ1183" s="663"/>
      <c r="AK1183" s="663"/>
      <c r="AL1183" s="663"/>
      <c r="AM1183" s="663"/>
      <c r="AN1183" s="663"/>
    </row>
    <row r="1184" spans="2:40" ht="14.45" hidden="1" customHeight="1" x14ac:dyDescent="0.25">
      <c r="C1184" s="662"/>
      <c r="U1184" s="663"/>
      <c r="Z1184" s="663"/>
      <c r="AA1184" s="663"/>
      <c r="AB1184" s="663"/>
      <c r="AC1184" s="663"/>
      <c r="AD1184" s="663"/>
      <c r="AE1184" s="663"/>
      <c r="AF1184" s="663"/>
      <c r="AG1184" s="663"/>
      <c r="AH1184" s="663"/>
      <c r="AI1184" s="663"/>
      <c r="AJ1184" s="663"/>
      <c r="AK1184" s="663"/>
      <c r="AL1184" s="663"/>
      <c r="AM1184" s="663"/>
      <c r="AN1184" s="663"/>
    </row>
    <row r="1185" spans="2:40" ht="14.45" hidden="1" customHeight="1" x14ac:dyDescent="0.25">
      <c r="C1185" s="662"/>
      <c r="U1185" s="663"/>
      <c r="Z1185" s="663"/>
      <c r="AA1185" s="663"/>
      <c r="AB1185" s="663"/>
      <c r="AC1185" s="663"/>
      <c r="AD1185" s="663"/>
      <c r="AE1185" s="663"/>
      <c r="AF1185" s="663"/>
      <c r="AG1185" s="663"/>
      <c r="AH1185" s="663"/>
      <c r="AI1185" s="663"/>
      <c r="AJ1185" s="663"/>
      <c r="AK1185" s="663"/>
      <c r="AL1185" s="663"/>
      <c r="AM1185" s="663"/>
      <c r="AN1185" s="663"/>
    </row>
    <row r="1186" spans="2:40" ht="14.45" hidden="1" customHeight="1" x14ac:dyDescent="0.25">
      <c r="B1186" s="936">
        <f>B1170</f>
        <v>39113</v>
      </c>
      <c r="C1186" s="662">
        <f>C1170</f>
        <v>-1000000</v>
      </c>
      <c r="D1186" s="662">
        <f t="shared" ref="D1186:L1186" si="2792">D1170</f>
        <v>-1000000</v>
      </c>
      <c r="E1186" s="662">
        <f t="shared" si="2792"/>
        <v>-1000000</v>
      </c>
      <c r="F1186" s="662">
        <f t="shared" si="2792"/>
        <v>-1000000</v>
      </c>
      <c r="G1186" s="662">
        <f t="shared" si="2792"/>
        <v>-1000000</v>
      </c>
      <c r="H1186" s="662">
        <f t="shared" si="2792"/>
        <v>-1000000</v>
      </c>
      <c r="I1186" s="662">
        <f t="shared" si="2792"/>
        <v>-1000000</v>
      </c>
      <c r="J1186" s="662">
        <f t="shared" si="2792"/>
        <v>-1000000</v>
      </c>
      <c r="K1186" s="662">
        <f t="shared" si="2792"/>
        <v>-1000000</v>
      </c>
      <c r="L1186" s="662">
        <f t="shared" si="2792"/>
        <v>-1000000</v>
      </c>
      <c r="U1186" s="663"/>
      <c r="Z1186" s="663"/>
      <c r="AA1186" s="663"/>
      <c r="AB1186" s="663"/>
      <c r="AC1186" s="663"/>
      <c r="AD1186" s="663"/>
      <c r="AE1186" s="663"/>
      <c r="AF1186" s="663"/>
      <c r="AG1186" s="663"/>
      <c r="AH1186" s="663"/>
      <c r="AI1186" s="663"/>
      <c r="AJ1186" s="663"/>
      <c r="AK1186" s="663"/>
      <c r="AL1186" s="663"/>
      <c r="AM1186" s="663"/>
      <c r="AN1186" s="663"/>
    </row>
    <row r="1187" spans="2:40" ht="14.45" hidden="1" customHeight="1" x14ac:dyDescent="0.25">
      <c r="B1187" s="936">
        <f t="shared" ref="B1187:L1187" si="2793">B1171</f>
        <v>39478</v>
      </c>
      <c r="C1187" s="662">
        <f t="shared" si="2793"/>
        <v>-2000000</v>
      </c>
      <c r="D1187" s="662">
        <f t="shared" si="2793"/>
        <v>-2000000</v>
      </c>
      <c r="E1187" s="662">
        <f t="shared" si="2793"/>
        <v>-2000000</v>
      </c>
      <c r="F1187" s="662">
        <f t="shared" si="2793"/>
        <v>-2000000</v>
      </c>
      <c r="G1187" s="662">
        <f t="shared" si="2793"/>
        <v>-2000000</v>
      </c>
      <c r="H1187" s="662">
        <f t="shared" si="2793"/>
        <v>-2000000</v>
      </c>
      <c r="I1187" s="662">
        <f t="shared" si="2793"/>
        <v>-2000000</v>
      </c>
      <c r="J1187" s="662">
        <f t="shared" si="2793"/>
        <v>-2000000</v>
      </c>
      <c r="K1187" s="662">
        <f t="shared" si="2793"/>
        <v>-2000000</v>
      </c>
      <c r="L1187" s="662">
        <f t="shared" si="2793"/>
        <v>-2000000</v>
      </c>
      <c r="U1187" s="663"/>
      <c r="Z1187" s="663"/>
      <c r="AA1187" s="663"/>
      <c r="AB1187" s="663"/>
      <c r="AC1187" s="663"/>
      <c r="AD1187" s="663"/>
      <c r="AE1187" s="663"/>
      <c r="AF1187" s="663"/>
      <c r="AG1187" s="663"/>
      <c r="AH1187" s="663"/>
      <c r="AI1187" s="663"/>
      <c r="AJ1187" s="663"/>
      <c r="AK1187" s="663"/>
      <c r="AL1187" s="663"/>
      <c r="AM1187" s="663"/>
      <c r="AN1187" s="663"/>
    </row>
    <row r="1188" spans="2:40" ht="14.45" hidden="1" customHeight="1" x14ac:dyDescent="0.25">
      <c r="B1188" s="936">
        <f t="shared" ref="B1188:L1188" si="2794">B1172</f>
        <v>39843</v>
      </c>
      <c r="C1188" s="662">
        <f t="shared" si="2794"/>
        <v>-2500000</v>
      </c>
      <c r="D1188" s="662">
        <f t="shared" si="2794"/>
        <v>-2500000</v>
      </c>
      <c r="E1188" s="662">
        <f t="shared" si="2794"/>
        <v>-2500000</v>
      </c>
      <c r="F1188" s="662">
        <f t="shared" si="2794"/>
        <v>-2500000</v>
      </c>
      <c r="G1188" s="662">
        <f t="shared" si="2794"/>
        <v>-2500000</v>
      </c>
      <c r="H1188" s="662">
        <f t="shared" si="2794"/>
        <v>-2500000</v>
      </c>
      <c r="I1188" s="662">
        <f t="shared" si="2794"/>
        <v>-2500000</v>
      </c>
      <c r="J1188" s="662">
        <f t="shared" si="2794"/>
        <v>-2500000</v>
      </c>
      <c r="K1188" s="662">
        <f t="shared" si="2794"/>
        <v>-2500000</v>
      </c>
      <c r="L1188" s="662">
        <f t="shared" si="2794"/>
        <v>-2500000</v>
      </c>
      <c r="U1188" s="663"/>
      <c r="Z1188" s="663"/>
      <c r="AA1188" s="663"/>
      <c r="AB1188" s="663"/>
      <c r="AC1188" s="663"/>
      <c r="AD1188" s="663"/>
      <c r="AE1188" s="663"/>
      <c r="AF1188" s="663"/>
      <c r="AG1188" s="663"/>
      <c r="AH1188" s="663"/>
      <c r="AI1188" s="663"/>
      <c r="AJ1188" s="663"/>
      <c r="AK1188" s="663"/>
      <c r="AL1188" s="663"/>
      <c r="AM1188" s="663"/>
      <c r="AN1188" s="663"/>
    </row>
    <row r="1189" spans="2:40" ht="14.45" hidden="1" customHeight="1" x14ac:dyDescent="0.25">
      <c r="B1189" s="936">
        <f t="shared" ref="B1189:L1189" si="2795">B1173</f>
        <v>39843</v>
      </c>
      <c r="C1189" s="662">
        <f t="shared" si="2795"/>
        <v>0</v>
      </c>
      <c r="D1189" s="662">
        <f t="shared" si="2795"/>
        <v>0</v>
      </c>
      <c r="E1189" s="662">
        <f t="shared" si="2795"/>
        <v>0</v>
      </c>
      <c r="F1189" s="662">
        <f t="shared" si="2795"/>
        <v>0</v>
      </c>
      <c r="G1189" s="662">
        <f t="shared" si="2795"/>
        <v>0</v>
      </c>
      <c r="H1189" s="662">
        <f t="shared" si="2795"/>
        <v>0</v>
      </c>
      <c r="I1189" s="662">
        <f t="shared" si="2795"/>
        <v>0</v>
      </c>
      <c r="J1189" s="662">
        <f t="shared" si="2795"/>
        <v>0</v>
      </c>
      <c r="K1189" s="662">
        <f t="shared" si="2795"/>
        <v>0</v>
      </c>
      <c r="L1189" s="662">
        <f t="shared" si="2795"/>
        <v>0</v>
      </c>
      <c r="U1189" s="663"/>
      <c r="Z1189" s="663"/>
      <c r="AA1189" s="663"/>
      <c r="AB1189" s="663"/>
      <c r="AC1189" s="663"/>
      <c r="AD1189" s="663"/>
      <c r="AE1189" s="663"/>
      <c r="AF1189" s="663"/>
      <c r="AG1189" s="663"/>
      <c r="AH1189" s="663"/>
      <c r="AI1189" s="663"/>
      <c r="AJ1189" s="663"/>
      <c r="AK1189" s="663"/>
      <c r="AL1189" s="663"/>
      <c r="AM1189" s="663"/>
      <c r="AN1189" s="663"/>
    </row>
    <row r="1190" spans="2:40" ht="14.45" hidden="1" customHeight="1" x14ac:dyDescent="0.25">
      <c r="B1190" s="936">
        <f t="shared" ref="B1190:L1190" si="2796">B1174</f>
        <v>39843</v>
      </c>
      <c r="C1190" s="662">
        <f t="shared" si="2796"/>
        <v>0</v>
      </c>
      <c r="D1190" s="662">
        <f t="shared" si="2796"/>
        <v>0</v>
      </c>
      <c r="E1190" s="662">
        <f t="shared" si="2796"/>
        <v>0</v>
      </c>
      <c r="F1190" s="662">
        <f t="shared" si="2796"/>
        <v>0</v>
      </c>
      <c r="G1190" s="662">
        <f t="shared" si="2796"/>
        <v>0</v>
      </c>
      <c r="H1190" s="662">
        <f t="shared" si="2796"/>
        <v>0</v>
      </c>
      <c r="I1190" s="662">
        <f t="shared" si="2796"/>
        <v>0</v>
      </c>
      <c r="J1190" s="662">
        <f t="shared" si="2796"/>
        <v>0</v>
      </c>
      <c r="K1190" s="662">
        <f t="shared" si="2796"/>
        <v>0</v>
      </c>
      <c r="L1190" s="662">
        <f t="shared" si="2796"/>
        <v>0</v>
      </c>
      <c r="U1190" s="663"/>
      <c r="Z1190" s="663"/>
      <c r="AA1190" s="663"/>
      <c r="AB1190" s="663"/>
      <c r="AC1190" s="663"/>
      <c r="AD1190" s="663"/>
      <c r="AE1190" s="663"/>
      <c r="AF1190" s="663"/>
      <c r="AG1190" s="663"/>
      <c r="AH1190" s="663"/>
      <c r="AI1190" s="663"/>
      <c r="AJ1190" s="663"/>
      <c r="AK1190" s="663"/>
      <c r="AL1190" s="663"/>
      <c r="AM1190" s="663"/>
      <c r="AN1190" s="663"/>
    </row>
    <row r="1191" spans="2:40" ht="14.45" hidden="1" customHeight="1" x14ac:dyDescent="0.25">
      <c r="B1191" s="936">
        <f t="shared" ref="B1191:L1191" si="2797">B1175</f>
        <v>39843</v>
      </c>
      <c r="C1191" s="662">
        <f t="shared" si="2797"/>
        <v>0</v>
      </c>
      <c r="D1191" s="662">
        <f t="shared" si="2797"/>
        <v>0</v>
      </c>
      <c r="E1191" s="662">
        <f t="shared" si="2797"/>
        <v>0</v>
      </c>
      <c r="F1191" s="662">
        <f t="shared" si="2797"/>
        <v>0</v>
      </c>
      <c r="G1191" s="662">
        <f t="shared" si="2797"/>
        <v>0</v>
      </c>
      <c r="H1191" s="662">
        <f t="shared" si="2797"/>
        <v>0</v>
      </c>
      <c r="I1191" s="662">
        <f t="shared" si="2797"/>
        <v>0</v>
      </c>
      <c r="J1191" s="662">
        <f t="shared" si="2797"/>
        <v>0</v>
      </c>
      <c r="K1191" s="662">
        <f t="shared" si="2797"/>
        <v>0</v>
      </c>
      <c r="L1191" s="662">
        <f t="shared" si="2797"/>
        <v>0</v>
      </c>
      <c r="U1191" s="663"/>
      <c r="Z1191" s="663"/>
      <c r="AA1191" s="663"/>
      <c r="AB1191" s="663"/>
      <c r="AC1191" s="663"/>
      <c r="AD1191" s="663"/>
      <c r="AE1191" s="663"/>
      <c r="AF1191" s="663"/>
      <c r="AG1191" s="663"/>
      <c r="AH1191" s="663"/>
      <c r="AI1191" s="663"/>
      <c r="AJ1191" s="663"/>
      <c r="AK1191" s="663"/>
      <c r="AL1191" s="663"/>
      <c r="AM1191" s="663"/>
      <c r="AN1191" s="663"/>
    </row>
    <row r="1192" spans="2:40" ht="14.45" hidden="1" customHeight="1" x14ac:dyDescent="0.25">
      <c r="B1192" s="936">
        <f t="shared" ref="B1192:L1192" si="2798">B1176</f>
        <v>39843</v>
      </c>
      <c r="C1192" s="662">
        <f t="shared" si="2798"/>
        <v>0</v>
      </c>
      <c r="D1192" s="662">
        <f t="shared" si="2798"/>
        <v>0</v>
      </c>
      <c r="E1192" s="662">
        <f t="shared" si="2798"/>
        <v>0</v>
      </c>
      <c r="F1192" s="662">
        <f t="shared" si="2798"/>
        <v>0</v>
      </c>
      <c r="G1192" s="662">
        <f t="shared" si="2798"/>
        <v>0</v>
      </c>
      <c r="H1192" s="662">
        <f t="shared" si="2798"/>
        <v>0</v>
      </c>
      <c r="I1192" s="662">
        <f t="shared" si="2798"/>
        <v>0</v>
      </c>
      <c r="J1192" s="662">
        <f t="shared" si="2798"/>
        <v>0</v>
      </c>
      <c r="K1192" s="662">
        <f t="shared" si="2798"/>
        <v>0</v>
      </c>
      <c r="L1192" s="662">
        <f t="shared" si="2798"/>
        <v>0</v>
      </c>
      <c r="U1192" s="663"/>
      <c r="Z1192" s="663"/>
      <c r="AA1192" s="663"/>
      <c r="AB1192" s="663"/>
      <c r="AC1192" s="663"/>
      <c r="AD1192" s="663"/>
      <c r="AE1192" s="663"/>
      <c r="AF1192" s="663"/>
      <c r="AG1192" s="663"/>
      <c r="AH1192" s="663"/>
      <c r="AI1192" s="663"/>
      <c r="AJ1192" s="663"/>
      <c r="AK1192" s="663"/>
      <c r="AL1192" s="663"/>
      <c r="AM1192" s="663"/>
      <c r="AN1192" s="663"/>
    </row>
    <row r="1193" spans="2:40" ht="14.45" hidden="1" customHeight="1" x14ac:dyDescent="0.25">
      <c r="B1193" s="936">
        <f t="shared" ref="B1193:L1193" si="2799">B1177</f>
        <v>39843</v>
      </c>
      <c r="C1193" s="662">
        <f t="shared" si="2799"/>
        <v>0</v>
      </c>
      <c r="D1193" s="662">
        <f t="shared" si="2799"/>
        <v>0</v>
      </c>
      <c r="E1193" s="662">
        <f t="shared" si="2799"/>
        <v>0</v>
      </c>
      <c r="F1193" s="662">
        <f t="shared" si="2799"/>
        <v>0</v>
      </c>
      <c r="G1193" s="662">
        <f t="shared" si="2799"/>
        <v>0</v>
      </c>
      <c r="H1193" s="662">
        <f t="shared" si="2799"/>
        <v>0</v>
      </c>
      <c r="I1193" s="662">
        <f t="shared" si="2799"/>
        <v>0</v>
      </c>
      <c r="J1193" s="662">
        <f t="shared" si="2799"/>
        <v>0</v>
      </c>
      <c r="K1193" s="662">
        <f t="shared" si="2799"/>
        <v>0</v>
      </c>
      <c r="L1193" s="662">
        <f t="shared" si="2799"/>
        <v>0</v>
      </c>
      <c r="U1193" s="663"/>
      <c r="Z1193" s="663"/>
      <c r="AA1193" s="663"/>
      <c r="AB1193" s="663"/>
      <c r="AC1193" s="663"/>
      <c r="AD1193" s="663"/>
      <c r="AE1193" s="663"/>
      <c r="AF1193" s="663"/>
      <c r="AG1193" s="663"/>
      <c r="AH1193" s="663"/>
      <c r="AI1193" s="663"/>
      <c r="AJ1193" s="663"/>
      <c r="AK1193" s="663"/>
      <c r="AL1193" s="663"/>
      <c r="AM1193" s="663"/>
      <c r="AN1193" s="663"/>
    </row>
    <row r="1194" spans="2:40" ht="14.45" hidden="1" customHeight="1" x14ac:dyDescent="0.25">
      <c r="B1194" s="936">
        <f t="shared" ref="B1194:L1194" si="2800">B1178</f>
        <v>39843</v>
      </c>
      <c r="C1194" s="662">
        <f t="shared" si="2800"/>
        <v>0</v>
      </c>
      <c r="D1194" s="662">
        <f t="shared" si="2800"/>
        <v>0</v>
      </c>
      <c r="E1194" s="662">
        <f t="shared" si="2800"/>
        <v>0</v>
      </c>
      <c r="F1194" s="662">
        <f t="shared" si="2800"/>
        <v>0</v>
      </c>
      <c r="G1194" s="662">
        <f t="shared" si="2800"/>
        <v>0</v>
      </c>
      <c r="H1194" s="662">
        <f t="shared" si="2800"/>
        <v>0</v>
      </c>
      <c r="I1194" s="662">
        <f t="shared" si="2800"/>
        <v>0</v>
      </c>
      <c r="J1194" s="662">
        <f t="shared" si="2800"/>
        <v>0</v>
      </c>
      <c r="K1194" s="662">
        <f t="shared" si="2800"/>
        <v>0</v>
      </c>
      <c r="L1194" s="662">
        <f t="shared" si="2800"/>
        <v>0</v>
      </c>
      <c r="U1194" s="663"/>
      <c r="Z1194" s="663"/>
      <c r="AA1194" s="663"/>
      <c r="AB1194" s="663"/>
      <c r="AC1194" s="663"/>
      <c r="AD1194" s="663"/>
      <c r="AE1194" s="663"/>
      <c r="AF1194" s="663"/>
      <c r="AG1194" s="663"/>
      <c r="AH1194" s="663"/>
      <c r="AI1194" s="663"/>
      <c r="AJ1194" s="663"/>
      <c r="AK1194" s="663"/>
      <c r="AL1194" s="663"/>
      <c r="AM1194" s="663"/>
      <c r="AN1194" s="663"/>
    </row>
    <row r="1195" spans="2:40" ht="14.45" hidden="1" customHeight="1" x14ac:dyDescent="0.25">
      <c r="B1195" s="936">
        <f t="shared" ref="B1195:L1195" si="2801">B1179</f>
        <v>39843</v>
      </c>
      <c r="C1195" s="662">
        <f t="shared" si="2801"/>
        <v>0</v>
      </c>
      <c r="D1195" s="662">
        <f t="shared" si="2801"/>
        <v>0</v>
      </c>
      <c r="E1195" s="662">
        <f t="shared" si="2801"/>
        <v>0</v>
      </c>
      <c r="F1195" s="662">
        <f t="shared" si="2801"/>
        <v>0</v>
      </c>
      <c r="G1195" s="662">
        <f t="shared" si="2801"/>
        <v>0</v>
      </c>
      <c r="H1195" s="662">
        <f t="shared" si="2801"/>
        <v>0</v>
      </c>
      <c r="I1195" s="662">
        <f t="shared" si="2801"/>
        <v>0</v>
      </c>
      <c r="J1195" s="662">
        <f t="shared" si="2801"/>
        <v>0</v>
      </c>
      <c r="K1195" s="662">
        <f t="shared" si="2801"/>
        <v>0</v>
      </c>
      <c r="L1195" s="662">
        <f t="shared" si="2801"/>
        <v>0</v>
      </c>
      <c r="U1195" s="663"/>
      <c r="Z1195" s="663"/>
      <c r="AA1195" s="663"/>
      <c r="AB1195" s="663"/>
      <c r="AC1195" s="663"/>
      <c r="AD1195" s="663"/>
      <c r="AE1195" s="663"/>
      <c r="AF1195" s="663"/>
      <c r="AG1195" s="663"/>
      <c r="AH1195" s="663"/>
      <c r="AI1195" s="663"/>
      <c r="AJ1195" s="663"/>
      <c r="AK1195" s="663"/>
      <c r="AL1195" s="663"/>
      <c r="AM1195" s="663"/>
      <c r="AN1195" s="663"/>
    </row>
    <row r="1196" spans="2:40" ht="14.45" hidden="1" customHeight="1" x14ac:dyDescent="0.25">
      <c r="B1196" s="936">
        <f>B1130</f>
        <v>41539</v>
      </c>
      <c r="C1196" s="662">
        <f t="shared" ref="C1196:L1196" si="2802">C1180</f>
        <v>2823795.1807228918</v>
      </c>
      <c r="D1196" s="662">
        <f t="shared" si="2802"/>
        <v>4235692.7710843375</v>
      </c>
      <c r="E1196" s="662">
        <f t="shared" si="2802"/>
        <v>5647590.3614457836</v>
      </c>
      <c r="F1196" s="662">
        <f t="shared" si="2802"/>
        <v>7059487.9518072288</v>
      </c>
      <c r="G1196" s="662">
        <f t="shared" si="2802"/>
        <v>8471385.542168675</v>
      </c>
      <c r="H1196" s="662">
        <f t="shared" si="2802"/>
        <v>9883283.1325301211</v>
      </c>
      <c r="I1196" s="662">
        <f t="shared" si="2802"/>
        <v>11295180.722891567</v>
      </c>
      <c r="J1196" s="662">
        <f t="shared" si="2802"/>
        <v>12707078.313253012</v>
      </c>
      <c r="K1196" s="662">
        <f t="shared" si="2802"/>
        <v>14118975.903614458</v>
      </c>
      <c r="L1196" s="662">
        <f t="shared" si="2802"/>
        <v>15530873.493975904</v>
      </c>
      <c r="U1196" s="663"/>
      <c r="Z1196" s="663"/>
      <c r="AA1196" s="663"/>
      <c r="AB1196" s="663"/>
      <c r="AC1196" s="663"/>
      <c r="AD1196" s="663"/>
      <c r="AE1196" s="663"/>
      <c r="AF1196" s="663"/>
      <c r="AG1196" s="663"/>
      <c r="AH1196" s="663"/>
      <c r="AI1196" s="663"/>
      <c r="AJ1196" s="663"/>
      <c r="AK1196" s="663"/>
      <c r="AL1196" s="663"/>
      <c r="AM1196" s="663"/>
      <c r="AN1196" s="663"/>
    </row>
    <row r="1197" spans="2:40" ht="14.45" hidden="1" customHeight="1" x14ac:dyDescent="0.25">
      <c r="C1197" s="882" t="str">
        <f ca="1">IF(ISERROR(XIRR(INDIRECT(C1199):C1196,INDIRECT($B1199):$B1196,-20%)),XIRR(INDIRECT(C1199):C1196,INDIRECT($B1199):$B1196,20%),"N/A")</f>
        <v>N/A</v>
      </c>
      <c r="D1197" s="882" t="str">
        <f ca="1">IF(ISERROR(XIRR(INDIRECT(D1199):D1196,INDIRECT($B1199):$B1196,-20%)),XIRR(INDIRECT(D1199):D1196,INDIRECT($B1199):$B1196,20%),"N/A")</f>
        <v>N/A</v>
      </c>
      <c r="E1197" s="882">
        <f ca="1">IF(ISERROR(XIRR(INDIRECT(E1199):E1196,INDIRECT($B1199):$B1196,-20%)),XIRR(INDIRECT(E1199):E1196,INDIRECT($B1199):$B1196,20%),"N/A")</f>
        <v>4.9386173486709595E-3</v>
      </c>
      <c r="F1197" s="882">
        <f ca="1">IF(ISERROR(XIRR(INDIRECT(F1199):F1196,INDIRECT($B1199):$B1196,-20%)),XIRR(INDIRECT(F1199):F1196,INDIRECT($B1199):$B1196,20%),"N/A")</f>
        <v>4.7429224848747245E-2</v>
      </c>
      <c r="G1197" s="882">
        <f ca="1">IF(ISERROR(XIRR(INDIRECT(G1199):G1196,INDIRECT($B1199):$B1196,-20%)),XIRR(INDIRECT(G1199):G1196,INDIRECT($B1199):$B1196,20%),"N/A")</f>
        <v>8.333158195018768E-2</v>
      </c>
      <c r="H1197" s="882">
        <f ca="1">IF(ISERROR(XIRR(INDIRECT(H1199):H1196,INDIRECT($B1199):$B1196,-20%)),XIRR(INDIRECT(H1199):H1196,INDIRECT($B1199):$B1196,20%),"N/A")</f>
        <v>0.1145401418209076</v>
      </c>
      <c r="I1197" s="882">
        <f ca="1">IF(ISERROR(XIRR(INDIRECT(I1199):I1196,INDIRECT($B1199):$B1196,-20%)),XIRR(INDIRECT(I1199):I1196,INDIRECT($B1199):$B1196,20%),"N/A")</f>
        <v>0.14222047924995429</v>
      </c>
      <c r="J1197" s="882">
        <f ca="1">IF(ISERROR(XIRR(INDIRECT(J1199):J1196,INDIRECT($B1199):$B1196,-20%)),XIRR(INDIRECT(J1199):J1196,INDIRECT($B1199):$B1196,20%),"N/A")</f>
        <v>0.16714377999305727</v>
      </c>
      <c r="K1197" s="882">
        <f ca="1">IF(ISERROR(XIRR(INDIRECT(K1199):K1196,INDIRECT($B1199):$B1196,-20%)),XIRR(INDIRECT(K1199):K1196,INDIRECT($B1199):$B1196,20%),"N/A")</f>
        <v>0.18984832167625423</v>
      </c>
      <c r="L1197" s="882">
        <f ca="1">IF(ISERROR(XIRR(INDIRECT(L1199):L1196,INDIRECT($B1199):$B1196,-20%)),XIRR(INDIRECT(L1199):L1196,INDIRECT($B1199):$B1196,20%),"N/A")</f>
        <v>0.21072551608085632</v>
      </c>
      <c r="U1197" s="663"/>
      <c r="Z1197" s="663"/>
      <c r="AA1197" s="663"/>
      <c r="AB1197" s="663"/>
      <c r="AC1197" s="663"/>
      <c r="AD1197" s="663"/>
      <c r="AE1197" s="663"/>
      <c r="AF1197" s="663"/>
      <c r="AG1197" s="663"/>
      <c r="AH1197" s="663"/>
      <c r="AI1197" s="663"/>
      <c r="AJ1197" s="663"/>
      <c r="AK1197" s="663"/>
      <c r="AL1197" s="663"/>
      <c r="AM1197" s="663"/>
      <c r="AN1197" s="663"/>
    </row>
    <row r="1198" spans="2:40" ht="14.45" hidden="1" customHeight="1" x14ac:dyDescent="0.25">
      <c r="B1198" s="898">
        <f>IF(C1186&lt;&gt;0,ROW(C1186),IF(C1187&lt;&gt;0,ROW(C1187),IF(C1188&lt;&gt;0,ROW(C1188),IF(C1189&lt;&gt;0,ROW(C1189),IF(C1190&lt;&gt;0,ROW(C1190),IF(C1191&lt;&gt;0,ROW(C1191),IF(C1192&lt;&gt;0,ROW(C1192),IF(C1193&lt;&gt;0,ROW(C1193),IF(C1194&lt;&gt;0,ROW(C1194),IF(C1195&lt;&gt;0,ROW(C1195)))))))))))</f>
        <v>1186</v>
      </c>
      <c r="C1198" s="882"/>
      <c r="U1198" s="663"/>
      <c r="Z1198" s="663"/>
      <c r="AA1198" s="663"/>
      <c r="AB1198" s="663"/>
      <c r="AC1198" s="663"/>
      <c r="AD1198" s="663"/>
      <c r="AE1198" s="663"/>
      <c r="AF1198" s="663"/>
      <c r="AG1198" s="663"/>
      <c r="AH1198" s="663"/>
      <c r="AI1198" s="663"/>
      <c r="AJ1198" s="663"/>
      <c r="AK1198" s="663"/>
      <c r="AL1198" s="663"/>
      <c r="AM1198" s="663"/>
      <c r="AN1198" s="663"/>
    </row>
    <row r="1199" spans="2:40" ht="14.45" hidden="1" customHeight="1" x14ac:dyDescent="0.25">
      <c r="B1199" s="899" t="str">
        <f>CONCATENATE(IF(COLUMN(B1198)&lt;=26,CHAR(96+COLUMN(B1198)),(CHAR(96+(ROUNDDOWN((COLUMN(B1198)-1)/26,0)))&amp;CHAR(96+IF(MOD(COLUMN(B1198),26)=0,26,MOD(COLUMN(B1198),26))))),B1198)</f>
        <v>b1186</v>
      </c>
      <c r="C1199" s="899" t="str">
        <f>CONCATENATE(IF(COLUMN(C1197)&lt;=26,CHAR(96+COLUMN(C1197)),(CHAR(96+(ROUNDDOWN((COLUMN(C1197)-1)/26,0)))&amp;CHAR(96+IF(MOD(COLUMN(C1197),26)=0,26,MOD(COLUMN(C1197),26))))),$B1198)</f>
        <v>c1186</v>
      </c>
      <c r="D1199" s="899" t="str">
        <f t="shared" ref="D1199" si="2803">CONCATENATE(IF(COLUMN(D1197)&lt;=26,CHAR(96+COLUMN(D1197)),(CHAR(96+(ROUNDDOWN((COLUMN(D1197)-1)/26,0)))&amp;CHAR(96+IF(MOD(COLUMN(D1197),26)=0,26,MOD(COLUMN(D1197),26))))),$B1198)</f>
        <v>d1186</v>
      </c>
      <c r="E1199" s="899" t="str">
        <f t="shared" ref="E1199" si="2804">CONCATENATE(IF(COLUMN(E1197)&lt;=26,CHAR(96+COLUMN(E1197)),(CHAR(96+(ROUNDDOWN((COLUMN(E1197)-1)/26,0)))&amp;CHAR(96+IF(MOD(COLUMN(E1197),26)=0,26,MOD(COLUMN(E1197),26))))),$B1198)</f>
        <v>e1186</v>
      </c>
      <c r="F1199" s="899" t="str">
        <f t="shared" ref="F1199" si="2805">CONCATENATE(IF(COLUMN(F1197)&lt;=26,CHAR(96+COLUMN(F1197)),(CHAR(96+(ROUNDDOWN((COLUMN(F1197)-1)/26,0)))&amp;CHAR(96+IF(MOD(COLUMN(F1197),26)=0,26,MOD(COLUMN(F1197),26))))),$B1198)</f>
        <v>f1186</v>
      </c>
      <c r="G1199" s="899" t="str">
        <f t="shared" ref="G1199" si="2806">CONCATENATE(IF(COLUMN(G1197)&lt;=26,CHAR(96+COLUMN(G1197)),(CHAR(96+(ROUNDDOWN((COLUMN(G1197)-1)/26,0)))&amp;CHAR(96+IF(MOD(COLUMN(G1197),26)=0,26,MOD(COLUMN(G1197),26))))),$B1198)</f>
        <v>g1186</v>
      </c>
      <c r="H1199" s="899" t="str">
        <f t="shared" ref="H1199" si="2807">CONCATENATE(IF(COLUMN(H1197)&lt;=26,CHAR(96+COLUMN(H1197)),(CHAR(96+(ROUNDDOWN((COLUMN(H1197)-1)/26,0)))&amp;CHAR(96+IF(MOD(COLUMN(H1197),26)=0,26,MOD(COLUMN(H1197),26))))),$B1198)</f>
        <v>h1186</v>
      </c>
      <c r="I1199" s="899" t="str">
        <f t="shared" ref="I1199" si="2808">CONCATENATE(IF(COLUMN(I1197)&lt;=26,CHAR(96+COLUMN(I1197)),(CHAR(96+(ROUNDDOWN((COLUMN(I1197)-1)/26,0)))&amp;CHAR(96+IF(MOD(COLUMN(I1197),26)=0,26,MOD(COLUMN(I1197),26))))),$B1198)</f>
        <v>i1186</v>
      </c>
      <c r="J1199" s="899" t="str">
        <f t="shared" ref="J1199" si="2809">CONCATENATE(IF(COLUMN(J1197)&lt;=26,CHAR(96+COLUMN(J1197)),(CHAR(96+(ROUNDDOWN((COLUMN(J1197)-1)/26,0)))&amp;CHAR(96+IF(MOD(COLUMN(J1197),26)=0,26,MOD(COLUMN(J1197),26))))),$B1198)</f>
        <v>j1186</v>
      </c>
      <c r="K1199" s="899" t="str">
        <f t="shared" ref="K1199" si="2810">CONCATENATE(IF(COLUMN(K1197)&lt;=26,CHAR(96+COLUMN(K1197)),(CHAR(96+(ROUNDDOWN((COLUMN(K1197)-1)/26,0)))&amp;CHAR(96+IF(MOD(COLUMN(K1197),26)=0,26,MOD(COLUMN(K1197),26))))),$B1198)</f>
        <v>k1186</v>
      </c>
      <c r="L1199" s="899" t="str">
        <f t="shared" ref="L1199" si="2811">CONCATENATE(IF(COLUMN(L1197)&lt;=26,CHAR(96+COLUMN(L1197)),(CHAR(96+(ROUNDDOWN((COLUMN(L1197)-1)/26,0)))&amp;CHAR(96+IF(MOD(COLUMN(L1197),26)=0,26,MOD(COLUMN(L1197),26))))),$B1198)</f>
        <v>l1186</v>
      </c>
      <c r="U1199" s="663"/>
      <c r="Z1199" s="663"/>
      <c r="AA1199" s="663"/>
      <c r="AB1199" s="663"/>
      <c r="AC1199" s="663"/>
      <c r="AD1199" s="663"/>
      <c r="AE1199" s="663"/>
      <c r="AF1199" s="663"/>
      <c r="AG1199" s="663"/>
      <c r="AH1199" s="663"/>
      <c r="AI1199" s="663"/>
      <c r="AJ1199" s="663"/>
      <c r="AK1199" s="663"/>
      <c r="AL1199" s="663"/>
      <c r="AM1199" s="663"/>
      <c r="AN1199" s="663"/>
    </row>
    <row r="1200" spans="2:40" ht="14.45" hidden="1" customHeight="1" x14ac:dyDescent="0.25">
      <c r="C1200" s="662"/>
      <c r="U1200" s="663"/>
      <c r="Z1200" s="663"/>
      <c r="AA1200" s="663"/>
      <c r="AB1200" s="663"/>
      <c r="AC1200" s="663"/>
      <c r="AD1200" s="663"/>
      <c r="AE1200" s="663"/>
      <c r="AF1200" s="663"/>
      <c r="AG1200" s="663"/>
      <c r="AH1200" s="663"/>
      <c r="AI1200" s="663"/>
      <c r="AJ1200" s="663"/>
      <c r="AK1200" s="663"/>
      <c r="AL1200" s="663"/>
      <c r="AM1200" s="663"/>
      <c r="AN1200" s="663"/>
    </row>
    <row r="1201" spans="2:40" ht="14.45" hidden="1" customHeight="1" x14ac:dyDescent="0.25">
      <c r="C1201" s="662"/>
      <c r="U1201" s="663"/>
      <c r="Z1201" s="663"/>
      <c r="AA1201" s="663"/>
      <c r="AB1201" s="663"/>
      <c r="AC1201" s="663"/>
      <c r="AD1201" s="663"/>
      <c r="AE1201" s="663"/>
      <c r="AF1201" s="663"/>
      <c r="AG1201" s="663"/>
      <c r="AH1201" s="663"/>
      <c r="AI1201" s="663"/>
      <c r="AJ1201" s="663"/>
      <c r="AK1201" s="663"/>
      <c r="AL1201" s="663"/>
      <c r="AM1201" s="663"/>
      <c r="AN1201" s="663"/>
    </row>
    <row r="1202" spans="2:40" ht="14.45" hidden="1" customHeight="1" x14ac:dyDescent="0.25">
      <c r="B1202" s="936">
        <f>B1186</f>
        <v>39113</v>
      </c>
      <c r="C1202" s="662">
        <f>C1186</f>
        <v>-1000000</v>
      </c>
      <c r="D1202" s="662">
        <f t="shared" ref="D1202:L1202" si="2812">D1186</f>
        <v>-1000000</v>
      </c>
      <c r="E1202" s="662">
        <f t="shared" si="2812"/>
        <v>-1000000</v>
      </c>
      <c r="F1202" s="662">
        <f t="shared" si="2812"/>
        <v>-1000000</v>
      </c>
      <c r="G1202" s="662">
        <f t="shared" si="2812"/>
        <v>-1000000</v>
      </c>
      <c r="H1202" s="662">
        <f t="shared" si="2812"/>
        <v>-1000000</v>
      </c>
      <c r="I1202" s="662">
        <f t="shared" si="2812"/>
        <v>-1000000</v>
      </c>
      <c r="J1202" s="662">
        <f t="shared" si="2812"/>
        <v>-1000000</v>
      </c>
      <c r="K1202" s="662">
        <f t="shared" si="2812"/>
        <v>-1000000</v>
      </c>
      <c r="L1202" s="662">
        <f t="shared" si="2812"/>
        <v>-1000000</v>
      </c>
      <c r="U1202" s="663"/>
      <c r="Z1202" s="663"/>
      <c r="AA1202" s="663"/>
      <c r="AB1202" s="663"/>
      <c r="AC1202" s="663"/>
      <c r="AD1202" s="663"/>
      <c r="AE1202" s="663"/>
      <c r="AF1202" s="663"/>
      <c r="AG1202" s="663"/>
      <c r="AH1202" s="663"/>
      <c r="AI1202" s="663"/>
      <c r="AJ1202" s="663"/>
      <c r="AK1202" s="663"/>
      <c r="AL1202" s="663"/>
      <c r="AM1202" s="663"/>
      <c r="AN1202" s="663"/>
    </row>
    <row r="1203" spans="2:40" ht="14.45" hidden="1" customHeight="1" x14ac:dyDescent="0.25">
      <c r="B1203" s="936">
        <f t="shared" ref="B1203:L1203" si="2813">B1187</f>
        <v>39478</v>
      </c>
      <c r="C1203" s="662">
        <f t="shared" si="2813"/>
        <v>-2000000</v>
      </c>
      <c r="D1203" s="662">
        <f t="shared" si="2813"/>
        <v>-2000000</v>
      </c>
      <c r="E1203" s="662">
        <f t="shared" si="2813"/>
        <v>-2000000</v>
      </c>
      <c r="F1203" s="662">
        <f t="shared" si="2813"/>
        <v>-2000000</v>
      </c>
      <c r="G1203" s="662">
        <f t="shared" si="2813"/>
        <v>-2000000</v>
      </c>
      <c r="H1203" s="662">
        <f t="shared" si="2813"/>
        <v>-2000000</v>
      </c>
      <c r="I1203" s="662">
        <f t="shared" si="2813"/>
        <v>-2000000</v>
      </c>
      <c r="J1203" s="662">
        <f t="shared" si="2813"/>
        <v>-2000000</v>
      </c>
      <c r="K1203" s="662">
        <f t="shared" si="2813"/>
        <v>-2000000</v>
      </c>
      <c r="L1203" s="662">
        <f t="shared" si="2813"/>
        <v>-2000000</v>
      </c>
      <c r="U1203" s="663"/>
      <c r="Z1203" s="663"/>
      <c r="AA1203" s="663"/>
      <c r="AB1203" s="663"/>
      <c r="AC1203" s="663"/>
      <c r="AD1203" s="663"/>
      <c r="AE1203" s="663"/>
      <c r="AF1203" s="663"/>
      <c r="AG1203" s="663"/>
      <c r="AH1203" s="663"/>
      <c r="AI1203" s="663"/>
      <c r="AJ1203" s="663"/>
      <c r="AK1203" s="663"/>
      <c r="AL1203" s="663"/>
      <c r="AM1203" s="663"/>
      <c r="AN1203" s="663"/>
    </row>
    <row r="1204" spans="2:40" ht="14.45" hidden="1" customHeight="1" x14ac:dyDescent="0.25">
      <c r="B1204" s="936">
        <f t="shared" ref="B1204:L1204" si="2814">B1188</f>
        <v>39843</v>
      </c>
      <c r="C1204" s="662">
        <f t="shared" si="2814"/>
        <v>-2500000</v>
      </c>
      <c r="D1204" s="662">
        <f t="shared" si="2814"/>
        <v>-2500000</v>
      </c>
      <c r="E1204" s="662">
        <f t="shared" si="2814"/>
        <v>-2500000</v>
      </c>
      <c r="F1204" s="662">
        <f t="shared" si="2814"/>
        <v>-2500000</v>
      </c>
      <c r="G1204" s="662">
        <f t="shared" si="2814"/>
        <v>-2500000</v>
      </c>
      <c r="H1204" s="662">
        <f t="shared" si="2814"/>
        <v>-2500000</v>
      </c>
      <c r="I1204" s="662">
        <f t="shared" si="2814"/>
        <v>-2500000</v>
      </c>
      <c r="J1204" s="662">
        <f t="shared" si="2814"/>
        <v>-2500000</v>
      </c>
      <c r="K1204" s="662">
        <f t="shared" si="2814"/>
        <v>-2500000</v>
      </c>
      <c r="L1204" s="662">
        <f t="shared" si="2814"/>
        <v>-2500000</v>
      </c>
      <c r="U1204" s="663"/>
      <c r="Z1204" s="663"/>
      <c r="AA1204" s="663"/>
      <c r="AB1204" s="663"/>
      <c r="AC1204" s="663"/>
      <c r="AD1204" s="663"/>
      <c r="AE1204" s="663"/>
      <c r="AF1204" s="663"/>
      <c r="AG1204" s="663"/>
      <c r="AH1204" s="663"/>
      <c r="AI1204" s="663"/>
      <c r="AJ1204" s="663"/>
      <c r="AK1204" s="663"/>
      <c r="AL1204" s="663"/>
      <c r="AM1204" s="663"/>
      <c r="AN1204" s="663"/>
    </row>
    <row r="1205" spans="2:40" ht="14.45" hidden="1" customHeight="1" x14ac:dyDescent="0.25">
      <c r="B1205" s="936">
        <f t="shared" ref="B1205:L1205" si="2815">B1189</f>
        <v>39843</v>
      </c>
      <c r="C1205" s="662">
        <f t="shared" si="2815"/>
        <v>0</v>
      </c>
      <c r="D1205" s="662">
        <f t="shared" si="2815"/>
        <v>0</v>
      </c>
      <c r="E1205" s="662">
        <f t="shared" si="2815"/>
        <v>0</v>
      </c>
      <c r="F1205" s="662">
        <f t="shared" si="2815"/>
        <v>0</v>
      </c>
      <c r="G1205" s="662">
        <f t="shared" si="2815"/>
        <v>0</v>
      </c>
      <c r="H1205" s="662">
        <f t="shared" si="2815"/>
        <v>0</v>
      </c>
      <c r="I1205" s="662">
        <f t="shared" si="2815"/>
        <v>0</v>
      </c>
      <c r="J1205" s="662">
        <f t="shared" si="2815"/>
        <v>0</v>
      </c>
      <c r="K1205" s="662">
        <f t="shared" si="2815"/>
        <v>0</v>
      </c>
      <c r="L1205" s="662">
        <f t="shared" si="2815"/>
        <v>0</v>
      </c>
      <c r="U1205" s="663"/>
      <c r="Z1205" s="663"/>
      <c r="AA1205" s="663"/>
      <c r="AB1205" s="663"/>
      <c r="AC1205" s="663"/>
      <c r="AD1205" s="663"/>
      <c r="AE1205" s="663"/>
      <c r="AF1205" s="663"/>
      <c r="AG1205" s="663"/>
      <c r="AH1205" s="663"/>
      <c r="AI1205" s="663"/>
      <c r="AJ1205" s="663"/>
      <c r="AK1205" s="663"/>
      <c r="AL1205" s="663"/>
      <c r="AM1205" s="663"/>
      <c r="AN1205" s="663"/>
    </row>
    <row r="1206" spans="2:40" ht="14.45" hidden="1" customHeight="1" x14ac:dyDescent="0.25">
      <c r="B1206" s="936">
        <f t="shared" ref="B1206:L1206" si="2816">B1190</f>
        <v>39843</v>
      </c>
      <c r="C1206" s="662">
        <f t="shared" si="2816"/>
        <v>0</v>
      </c>
      <c r="D1206" s="662">
        <f t="shared" si="2816"/>
        <v>0</v>
      </c>
      <c r="E1206" s="662">
        <f t="shared" si="2816"/>
        <v>0</v>
      </c>
      <c r="F1206" s="662">
        <f t="shared" si="2816"/>
        <v>0</v>
      </c>
      <c r="G1206" s="662">
        <f t="shared" si="2816"/>
        <v>0</v>
      </c>
      <c r="H1206" s="662">
        <f t="shared" si="2816"/>
        <v>0</v>
      </c>
      <c r="I1206" s="662">
        <f t="shared" si="2816"/>
        <v>0</v>
      </c>
      <c r="J1206" s="662">
        <f t="shared" si="2816"/>
        <v>0</v>
      </c>
      <c r="K1206" s="662">
        <f t="shared" si="2816"/>
        <v>0</v>
      </c>
      <c r="L1206" s="662">
        <f t="shared" si="2816"/>
        <v>0</v>
      </c>
      <c r="U1206" s="663"/>
      <c r="Z1206" s="663"/>
      <c r="AA1206" s="663"/>
      <c r="AB1206" s="663"/>
      <c r="AC1206" s="663"/>
      <c r="AD1206" s="663"/>
      <c r="AE1206" s="663"/>
      <c r="AF1206" s="663"/>
      <c r="AG1206" s="663"/>
      <c r="AH1206" s="663"/>
      <c r="AI1206" s="663"/>
      <c r="AJ1206" s="663"/>
      <c r="AK1206" s="663"/>
      <c r="AL1206" s="663"/>
      <c r="AM1206" s="663"/>
      <c r="AN1206" s="663"/>
    </row>
    <row r="1207" spans="2:40" ht="14.45" hidden="1" customHeight="1" x14ac:dyDescent="0.25">
      <c r="B1207" s="936">
        <f t="shared" ref="B1207:L1207" si="2817">B1191</f>
        <v>39843</v>
      </c>
      <c r="C1207" s="662">
        <f t="shared" si="2817"/>
        <v>0</v>
      </c>
      <c r="D1207" s="662">
        <f t="shared" si="2817"/>
        <v>0</v>
      </c>
      <c r="E1207" s="662">
        <f t="shared" si="2817"/>
        <v>0</v>
      </c>
      <c r="F1207" s="662">
        <f t="shared" si="2817"/>
        <v>0</v>
      </c>
      <c r="G1207" s="662">
        <f t="shared" si="2817"/>
        <v>0</v>
      </c>
      <c r="H1207" s="662">
        <f t="shared" si="2817"/>
        <v>0</v>
      </c>
      <c r="I1207" s="662">
        <f t="shared" si="2817"/>
        <v>0</v>
      </c>
      <c r="J1207" s="662">
        <f t="shared" si="2817"/>
        <v>0</v>
      </c>
      <c r="K1207" s="662">
        <f t="shared" si="2817"/>
        <v>0</v>
      </c>
      <c r="L1207" s="662">
        <f t="shared" si="2817"/>
        <v>0</v>
      </c>
      <c r="U1207" s="663"/>
      <c r="Z1207" s="663"/>
      <c r="AA1207" s="663"/>
      <c r="AB1207" s="663"/>
      <c r="AC1207" s="663"/>
      <c r="AD1207" s="663"/>
      <c r="AE1207" s="663"/>
      <c r="AF1207" s="663"/>
      <c r="AG1207" s="663"/>
      <c r="AH1207" s="663"/>
      <c r="AI1207" s="663"/>
      <c r="AJ1207" s="663"/>
      <c r="AK1207" s="663"/>
      <c r="AL1207" s="663"/>
      <c r="AM1207" s="663"/>
      <c r="AN1207" s="663"/>
    </row>
    <row r="1208" spans="2:40" ht="14.45" hidden="1" customHeight="1" x14ac:dyDescent="0.25">
      <c r="B1208" s="936">
        <f t="shared" ref="B1208:L1208" si="2818">B1192</f>
        <v>39843</v>
      </c>
      <c r="C1208" s="662">
        <f t="shared" si="2818"/>
        <v>0</v>
      </c>
      <c r="D1208" s="662">
        <f t="shared" si="2818"/>
        <v>0</v>
      </c>
      <c r="E1208" s="662">
        <f t="shared" si="2818"/>
        <v>0</v>
      </c>
      <c r="F1208" s="662">
        <f t="shared" si="2818"/>
        <v>0</v>
      </c>
      <c r="G1208" s="662">
        <f t="shared" si="2818"/>
        <v>0</v>
      </c>
      <c r="H1208" s="662">
        <f t="shared" si="2818"/>
        <v>0</v>
      </c>
      <c r="I1208" s="662">
        <f t="shared" si="2818"/>
        <v>0</v>
      </c>
      <c r="J1208" s="662">
        <f t="shared" si="2818"/>
        <v>0</v>
      </c>
      <c r="K1208" s="662">
        <f t="shared" si="2818"/>
        <v>0</v>
      </c>
      <c r="L1208" s="662">
        <f t="shared" si="2818"/>
        <v>0</v>
      </c>
      <c r="U1208" s="663"/>
      <c r="Z1208" s="663"/>
      <c r="AA1208" s="663"/>
      <c r="AB1208" s="663"/>
      <c r="AC1208" s="663"/>
      <c r="AD1208" s="663"/>
      <c r="AE1208" s="663"/>
      <c r="AF1208" s="663"/>
      <c r="AG1208" s="663"/>
      <c r="AH1208" s="663"/>
      <c r="AI1208" s="663"/>
      <c r="AJ1208" s="663"/>
      <c r="AK1208" s="663"/>
      <c r="AL1208" s="663"/>
      <c r="AM1208" s="663"/>
      <c r="AN1208" s="663"/>
    </row>
    <row r="1209" spans="2:40" ht="14.45" hidden="1" customHeight="1" x14ac:dyDescent="0.25">
      <c r="B1209" s="936">
        <f t="shared" ref="B1209:L1209" si="2819">B1193</f>
        <v>39843</v>
      </c>
      <c r="C1209" s="662">
        <f t="shared" si="2819"/>
        <v>0</v>
      </c>
      <c r="D1209" s="662">
        <f t="shared" si="2819"/>
        <v>0</v>
      </c>
      <c r="E1209" s="662">
        <f t="shared" si="2819"/>
        <v>0</v>
      </c>
      <c r="F1209" s="662">
        <f t="shared" si="2819"/>
        <v>0</v>
      </c>
      <c r="G1209" s="662">
        <f t="shared" si="2819"/>
        <v>0</v>
      </c>
      <c r="H1209" s="662">
        <f t="shared" si="2819"/>
        <v>0</v>
      </c>
      <c r="I1209" s="662">
        <f t="shared" si="2819"/>
        <v>0</v>
      </c>
      <c r="J1209" s="662">
        <f t="shared" si="2819"/>
        <v>0</v>
      </c>
      <c r="K1209" s="662">
        <f t="shared" si="2819"/>
        <v>0</v>
      </c>
      <c r="L1209" s="662">
        <f t="shared" si="2819"/>
        <v>0</v>
      </c>
      <c r="U1209" s="663"/>
      <c r="Z1209" s="663"/>
      <c r="AA1209" s="663"/>
      <c r="AB1209" s="663"/>
      <c r="AC1209" s="663"/>
      <c r="AD1209" s="663"/>
      <c r="AE1209" s="663"/>
      <c r="AF1209" s="663"/>
      <c r="AG1209" s="663"/>
      <c r="AH1209" s="663"/>
      <c r="AI1209" s="663"/>
      <c r="AJ1209" s="663"/>
      <c r="AK1209" s="663"/>
      <c r="AL1209" s="663"/>
      <c r="AM1209" s="663"/>
      <c r="AN1209" s="663"/>
    </row>
    <row r="1210" spans="2:40" ht="14.45" hidden="1" customHeight="1" x14ac:dyDescent="0.25">
      <c r="B1210" s="936">
        <f t="shared" ref="B1210:L1210" si="2820">B1194</f>
        <v>39843</v>
      </c>
      <c r="C1210" s="662">
        <f t="shared" si="2820"/>
        <v>0</v>
      </c>
      <c r="D1210" s="662">
        <f t="shared" si="2820"/>
        <v>0</v>
      </c>
      <c r="E1210" s="662">
        <f t="shared" si="2820"/>
        <v>0</v>
      </c>
      <c r="F1210" s="662">
        <f t="shared" si="2820"/>
        <v>0</v>
      </c>
      <c r="G1210" s="662">
        <f t="shared" si="2820"/>
        <v>0</v>
      </c>
      <c r="H1210" s="662">
        <f t="shared" si="2820"/>
        <v>0</v>
      </c>
      <c r="I1210" s="662">
        <f t="shared" si="2820"/>
        <v>0</v>
      </c>
      <c r="J1210" s="662">
        <f t="shared" si="2820"/>
        <v>0</v>
      </c>
      <c r="K1210" s="662">
        <f t="shared" si="2820"/>
        <v>0</v>
      </c>
      <c r="L1210" s="662">
        <f t="shared" si="2820"/>
        <v>0</v>
      </c>
      <c r="U1210" s="663"/>
      <c r="Z1210" s="663"/>
      <c r="AA1210" s="663"/>
      <c r="AB1210" s="663"/>
      <c r="AC1210" s="663"/>
      <c r="AD1210" s="663"/>
      <c r="AE1210" s="663"/>
      <c r="AF1210" s="663"/>
      <c r="AG1210" s="663"/>
      <c r="AH1210" s="663"/>
      <c r="AI1210" s="663"/>
      <c r="AJ1210" s="663"/>
      <c r="AK1210" s="663"/>
      <c r="AL1210" s="663"/>
      <c r="AM1210" s="663"/>
      <c r="AN1210" s="663"/>
    </row>
    <row r="1211" spans="2:40" ht="14.45" hidden="1" customHeight="1" x14ac:dyDescent="0.25">
      <c r="B1211" s="936">
        <f t="shared" ref="B1211:L1211" si="2821">B1195</f>
        <v>39843</v>
      </c>
      <c r="C1211" s="662">
        <f t="shared" si="2821"/>
        <v>0</v>
      </c>
      <c r="D1211" s="662">
        <f t="shared" si="2821"/>
        <v>0</v>
      </c>
      <c r="E1211" s="662">
        <f t="shared" si="2821"/>
        <v>0</v>
      </c>
      <c r="F1211" s="662">
        <f t="shared" si="2821"/>
        <v>0</v>
      </c>
      <c r="G1211" s="662">
        <f t="shared" si="2821"/>
        <v>0</v>
      </c>
      <c r="H1211" s="662">
        <f t="shared" si="2821"/>
        <v>0</v>
      </c>
      <c r="I1211" s="662">
        <f t="shared" si="2821"/>
        <v>0</v>
      </c>
      <c r="J1211" s="662">
        <f t="shared" si="2821"/>
        <v>0</v>
      </c>
      <c r="K1211" s="662">
        <f t="shared" si="2821"/>
        <v>0</v>
      </c>
      <c r="L1211" s="662">
        <f t="shared" si="2821"/>
        <v>0</v>
      </c>
      <c r="U1211" s="663"/>
      <c r="Z1211" s="663"/>
      <c r="AA1211" s="663"/>
      <c r="AB1211" s="663"/>
      <c r="AC1211" s="663"/>
      <c r="AD1211" s="663"/>
      <c r="AE1211" s="663"/>
      <c r="AF1211" s="663"/>
      <c r="AG1211" s="663"/>
      <c r="AH1211" s="663"/>
      <c r="AI1211" s="663"/>
      <c r="AJ1211" s="663"/>
      <c r="AK1211" s="663"/>
      <c r="AL1211" s="663"/>
      <c r="AM1211" s="663"/>
      <c r="AN1211" s="663"/>
    </row>
    <row r="1212" spans="2:40" ht="14.45" hidden="1" customHeight="1" x14ac:dyDescent="0.25">
      <c r="B1212" s="936">
        <f>B1146</f>
        <v>41719</v>
      </c>
      <c r="C1212" s="662">
        <f t="shared" ref="C1212:L1212" si="2822">C1196</f>
        <v>2823795.1807228918</v>
      </c>
      <c r="D1212" s="662">
        <f t="shared" si="2822"/>
        <v>4235692.7710843375</v>
      </c>
      <c r="E1212" s="662">
        <f t="shared" si="2822"/>
        <v>5647590.3614457836</v>
      </c>
      <c r="F1212" s="662">
        <f t="shared" si="2822"/>
        <v>7059487.9518072288</v>
      </c>
      <c r="G1212" s="662">
        <f t="shared" si="2822"/>
        <v>8471385.542168675</v>
      </c>
      <c r="H1212" s="662">
        <f t="shared" si="2822"/>
        <v>9883283.1325301211</v>
      </c>
      <c r="I1212" s="662">
        <f t="shared" si="2822"/>
        <v>11295180.722891567</v>
      </c>
      <c r="J1212" s="662">
        <f t="shared" si="2822"/>
        <v>12707078.313253012</v>
      </c>
      <c r="K1212" s="662">
        <f t="shared" si="2822"/>
        <v>14118975.903614458</v>
      </c>
      <c r="L1212" s="662">
        <f t="shared" si="2822"/>
        <v>15530873.493975904</v>
      </c>
      <c r="U1212" s="663"/>
      <c r="Z1212" s="663"/>
      <c r="AA1212" s="663"/>
      <c r="AB1212" s="663"/>
      <c r="AC1212" s="663"/>
      <c r="AD1212" s="663"/>
      <c r="AE1212" s="663"/>
      <c r="AF1212" s="663"/>
      <c r="AG1212" s="663"/>
      <c r="AH1212" s="663"/>
      <c r="AI1212" s="663"/>
      <c r="AJ1212" s="663"/>
      <c r="AK1212" s="663"/>
      <c r="AL1212" s="663"/>
      <c r="AM1212" s="663"/>
      <c r="AN1212" s="663"/>
    </row>
    <row r="1213" spans="2:40" ht="14.45" hidden="1" customHeight="1" x14ac:dyDescent="0.25">
      <c r="C1213" s="882" t="str">
        <f ca="1">IF(ISERROR(XIRR(INDIRECT(C1215):C1212,INDIRECT($B1215):$B1212,-20%)),XIRR(INDIRECT(C1215):C1212,INDIRECT($B1215):$B1212,20%),"N/A")</f>
        <v>N/A</v>
      </c>
      <c r="D1213" s="882" t="str">
        <f ca="1">IF(ISERROR(XIRR(INDIRECT(D1215):D1212,INDIRECT($B1215):$B1212,-20%)),XIRR(INDIRECT(D1215):D1212,INDIRECT($B1215):$B1212,20%),"N/A")</f>
        <v>N/A</v>
      </c>
      <c r="E1213" s="882">
        <f ca="1">IF(ISERROR(XIRR(INDIRECT(E1215):E1212,INDIRECT($B1215):$B1212,-20%)),XIRR(INDIRECT(E1215):E1212,INDIRECT($B1215):$B1212,20%),"N/A")</f>
        <v>4.5227497816085812E-3</v>
      </c>
      <c r="F1213" s="882">
        <f ca="1">IF(ISERROR(XIRR(INDIRECT(F1215):F1212,INDIRECT($B1215):$B1212,-20%)),XIRR(INDIRECT(F1215):F1212,INDIRECT($B1215):$B1212,20%),"N/A")</f>
        <v>4.3374761939048767E-2</v>
      </c>
      <c r="G1213" s="882">
        <f ca="1">IF(ISERROR(XIRR(INDIRECT(G1215):G1212,INDIRECT($B1215):$B1212,-20%)),XIRR(INDIRECT(G1215):G1212,INDIRECT($B1215):$B1212,20%),"N/A")</f>
        <v>7.6121059060096752E-2</v>
      </c>
      <c r="H1213" s="882">
        <f ca="1">IF(ISERROR(XIRR(INDIRECT(H1215):H1212,INDIRECT($B1215):$B1212,-20%)),XIRR(INDIRECT(H1215):H1212,INDIRECT($B1215):$B1212,20%),"N/A")</f>
        <v>0.10452818274497985</v>
      </c>
      <c r="I1213" s="882">
        <f ca="1">IF(ISERROR(XIRR(INDIRECT(I1215):I1212,INDIRECT($B1215):$B1212,-20%)),XIRR(INDIRECT(I1215):I1212,INDIRECT($B1215):$B1212,20%),"N/A")</f>
        <v>0.12968036532402039</v>
      </c>
      <c r="J1213" s="882">
        <f ca="1">IF(ISERROR(XIRR(INDIRECT(J1215):J1212,INDIRECT($B1215):$B1212,-20%)),XIRR(INDIRECT(J1215):J1212,INDIRECT($B1215):$B1212,20%),"N/A")</f>
        <v>0.1522935092449188</v>
      </c>
      <c r="K1213" s="882">
        <f ca="1">IF(ISERROR(XIRR(INDIRECT(K1215):K1212,INDIRECT($B1215):$B1212,-20%)),XIRR(INDIRECT(K1215):K1212,INDIRECT($B1215):$B1212,20%),"N/A")</f>
        <v>0.17286645770072936</v>
      </c>
      <c r="L1213" s="882">
        <f ca="1">IF(ISERROR(XIRR(INDIRECT(L1215):L1212,INDIRECT($B1215):$B1212,-20%)),XIRR(INDIRECT(L1215):L1212,INDIRECT($B1215):$B1212,20%),"N/A")</f>
        <v>0.19176140427589419</v>
      </c>
      <c r="U1213" s="663"/>
      <c r="Z1213" s="663"/>
      <c r="AA1213" s="663"/>
      <c r="AB1213" s="663"/>
      <c r="AC1213" s="663"/>
      <c r="AD1213" s="663"/>
      <c r="AE1213" s="663"/>
      <c r="AF1213" s="663"/>
      <c r="AG1213" s="663"/>
      <c r="AH1213" s="663"/>
      <c r="AI1213" s="663"/>
      <c r="AJ1213" s="663"/>
      <c r="AK1213" s="663"/>
      <c r="AL1213" s="663"/>
      <c r="AM1213" s="663"/>
      <c r="AN1213" s="663"/>
    </row>
    <row r="1214" spans="2:40" ht="14.45" hidden="1" customHeight="1" x14ac:dyDescent="0.25">
      <c r="B1214" s="898">
        <f>IF(C1202&lt;&gt;0,ROW(C1202),IF(C1203&lt;&gt;0,ROW(C1203),IF(C1204&lt;&gt;0,ROW(C1204),IF(C1205&lt;&gt;0,ROW(C1205),IF(C1206&lt;&gt;0,ROW(C1206),IF(C1207&lt;&gt;0,ROW(C1207),IF(C1208&lt;&gt;0,ROW(C1208),IF(C1209&lt;&gt;0,ROW(C1209),IF(C1210&lt;&gt;0,ROW(C1210),IF(C1211&lt;&gt;0,ROW(C1211)))))))))))</f>
        <v>1202</v>
      </c>
      <c r="C1214" s="882"/>
      <c r="U1214" s="663"/>
      <c r="Z1214" s="663"/>
      <c r="AA1214" s="663"/>
      <c r="AB1214" s="663"/>
      <c r="AC1214" s="663"/>
      <c r="AD1214" s="663"/>
      <c r="AE1214" s="663"/>
      <c r="AF1214" s="663"/>
      <c r="AG1214" s="663"/>
      <c r="AH1214" s="663"/>
      <c r="AI1214" s="663"/>
      <c r="AJ1214" s="663"/>
      <c r="AK1214" s="663"/>
      <c r="AL1214" s="663"/>
      <c r="AM1214" s="663"/>
      <c r="AN1214" s="663"/>
    </row>
    <row r="1215" spans="2:40" ht="14.45" hidden="1" customHeight="1" x14ac:dyDescent="0.25">
      <c r="B1215" s="899" t="str">
        <f>CONCATENATE(IF(COLUMN(B1214)&lt;=26,CHAR(96+COLUMN(B1214)),(CHAR(96+(ROUNDDOWN((COLUMN(B1214)-1)/26,0)))&amp;CHAR(96+IF(MOD(COLUMN(B1214),26)=0,26,MOD(COLUMN(B1214),26))))),B1214)</f>
        <v>b1202</v>
      </c>
      <c r="C1215" s="899" t="str">
        <f>CONCATENATE(IF(COLUMN(C1213)&lt;=26,CHAR(96+COLUMN(C1213)),(CHAR(96+(ROUNDDOWN((COLUMN(C1213)-1)/26,0)))&amp;CHAR(96+IF(MOD(COLUMN(C1213),26)=0,26,MOD(COLUMN(C1213),26))))),$B1214)</f>
        <v>c1202</v>
      </c>
      <c r="D1215" s="899" t="str">
        <f t="shared" ref="D1215" si="2823">CONCATENATE(IF(COLUMN(D1213)&lt;=26,CHAR(96+COLUMN(D1213)),(CHAR(96+(ROUNDDOWN((COLUMN(D1213)-1)/26,0)))&amp;CHAR(96+IF(MOD(COLUMN(D1213),26)=0,26,MOD(COLUMN(D1213),26))))),$B1214)</f>
        <v>d1202</v>
      </c>
      <c r="E1215" s="899" t="str">
        <f t="shared" ref="E1215" si="2824">CONCATENATE(IF(COLUMN(E1213)&lt;=26,CHAR(96+COLUMN(E1213)),(CHAR(96+(ROUNDDOWN((COLUMN(E1213)-1)/26,0)))&amp;CHAR(96+IF(MOD(COLUMN(E1213),26)=0,26,MOD(COLUMN(E1213),26))))),$B1214)</f>
        <v>e1202</v>
      </c>
      <c r="F1215" s="899" t="str">
        <f t="shared" ref="F1215" si="2825">CONCATENATE(IF(COLUMN(F1213)&lt;=26,CHAR(96+COLUMN(F1213)),(CHAR(96+(ROUNDDOWN((COLUMN(F1213)-1)/26,0)))&amp;CHAR(96+IF(MOD(COLUMN(F1213),26)=0,26,MOD(COLUMN(F1213),26))))),$B1214)</f>
        <v>f1202</v>
      </c>
      <c r="G1215" s="899" t="str">
        <f t="shared" ref="G1215" si="2826">CONCATENATE(IF(COLUMN(G1213)&lt;=26,CHAR(96+COLUMN(G1213)),(CHAR(96+(ROUNDDOWN((COLUMN(G1213)-1)/26,0)))&amp;CHAR(96+IF(MOD(COLUMN(G1213),26)=0,26,MOD(COLUMN(G1213),26))))),$B1214)</f>
        <v>g1202</v>
      </c>
      <c r="H1215" s="899" t="str">
        <f t="shared" ref="H1215" si="2827">CONCATENATE(IF(COLUMN(H1213)&lt;=26,CHAR(96+COLUMN(H1213)),(CHAR(96+(ROUNDDOWN((COLUMN(H1213)-1)/26,0)))&amp;CHAR(96+IF(MOD(COLUMN(H1213),26)=0,26,MOD(COLUMN(H1213),26))))),$B1214)</f>
        <v>h1202</v>
      </c>
      <c r="I1215" s="899" t="str">
        <f t="shared" ref="I1215" si="2828">CONCATENATE(IF(COLUMN(I1213)&lt;=26,CHAR(96+COLUMN(I1213)),(CHAR(96+(ROUNDDOWN((COLUMN(I1213)-1)/26,0)))&amp;CHAR(96+IF(MOD(COLUMN(I1213),26)=0,26,MOD(COLUMN(I1213),26))))),$B1214)</f>
        <v>i1202</v>
      </c>
      <c r="J1215" s="899" t="str">
        <f t="shared" ref="J1215" si="2829">CONCATENATE(IF(COLUMN(J1213)&lt;=26,CHAR(96+COLUMN(J1213)),(CHAR(96+(ROUNDDOWN((COLUMN(J1213)-1)/26,0)))&amp;CHAR(96+IF(MOD(COLUMN(J1213),26)=0,26,MOD(COLUMN(J1213),26))))),$B1214)</f>
        <v>j1202</v>
      </c>
      <c r="K1215" s="899" t="str">
        <f t="shared" ref="K1215" si="2830">CONCATENATE(IF(COLUMN(K1213)&lt;=26,CHAR(96+COLUMN(K1213)),(CHAR(96+(ROUNDDOWN((COLUMN(K1213)-1)/26,0)))&amp;CHAR(96+IF(MOD(COLUMN(K1213),26)=0,26,MOD(COLUMN(K1213),26))))),$B1214)</f>
        <v>k1202</v>
      </c>
      <c r="L1215" s="899" t="str">
        <f t="shared" ref="L1215" si="2831">CONCATENATE(IF(COLUMN(L1213)&lt;=26,CHAR(96+COLUMN(L1213)),(CHAR(96+(ROUNDDOWN((COLUMN(L1213)-1)/26,0)))&amp;CHAR(96+IF(MOD(COLUMN(L1213),26)=0,26,MOD(COLUMN(L1213),26))))),$B1214)</f>
        <v>l1202</v>
      </c>
      <c r="U1215" s="663"/>
      <c r="Z1215" s="663"/>
      <c r="AA1215" s="663"/>
      <c r="AB1215" s="663"/>
      <c r="AC1215" s="663"/>
      <c r="AD1215" s="663"/>
      <c r="AE1215" s="663"/>
      <c r="AF1215" s="663"/>
      <c r="AG1215" s="663"/>
      <c r="AH1215" s="663"/>
      <c r="AI1215" s="663"/>
      <c r="AJ1215" s="663"/>
      <c r="AK1215" s="663"/>
      <c r="AL1215" s="663"/>
      <c r="AM1215" s="663"/>
      <c r="AN1215" s="663"/>
    </row>
    <row r="1216" spans="2:40" ht="14.45" hidden="1" customHeight="1" x14ac:dyDescent="0.25">
      <c r="B1216" s="661"/>
      <c r="C1216" s="662"/>
      <c r="U1216" s="663"/>
      <c r="Z1216" s="663"/>
      <c r="AA1216" s="663"/>
      <c r="AB1216" s="663"/>
      <c r="AC1216" s="663"/>
      <c r="AD1216" s="663"/>
      <c r="AE1216" s="663"/>
      <c r="AF1216" s="663"/>
      <c r="AG1216" s="663"/>
      <c r="AH1216" s="663"/>
      <c r="AI1216" s="663"/>
      <c r="AJ1216" s="663"/>
      <c r="AK1216" s="663"/>
      <c r="AL1216" s="663"/>
      <c r="AM1216" s="663"/>
      <c r="AN1216" s="663"/>
    </row>
    <row r="1217" spans="2:40" ht="14.45" hidden="1" customHeight="1" x14ac:dyDescent="0.25">
      <c r="B1217" s="661"/>
      <c r="C1217" s="662"/>
      <c r="U1217" s="663"/>
      <c r="Z1217" s="663"/>
      <c r="AA1217" s="663"/>
      <c r="AB1217" s="663"/>
      <c r="AC1217" s="663"/>
      <c r="AD1217" s="663"/>
      <c r="AE1217" s="663"/>
      <c r="AF1217" s="663"/>
      <c r="AG1217" s="663"/>
      <c r="AH1217" s="663"/>
      <c r="AI1217" s="663"/>
      <c r="AJ1217" s="663"/>
      <c r="AK1217" s="663"/>
      <c r="AL1217" s="663"/>
      <c r="AM1217" s="663"/>
      <c r="AN1217" s="663"/>
    </row>
    <row r="1218" spans="2:40" ht="14.45" hidden="1" customHeight="1" x14ac:dyDescent="0.25">
      <c r="B1218" s="661"/>
      <c r="C1218" s="662"/>
      <c r="U1218" s="663"/>
      <c r="Z1218" s="663"/>
      <c r="AA1218" s="663"/>
      <c r="AB1218" s="663"/>
      <c r="AC1218" s="663"/>
      <c r="AD1218" s="663"/>
      <c r="AE1218" s="663"/>
      <c r="AF1218" s="663"/>
      <c r="AG1218" s="663"/>
      <c r="AH1218" s="663"/>
      <c r="AI1218" s="663"/>
      <c r="AJ1218" s="663"/>
      <c r="AK1218" s="663"/>
      <c r="AL1218" s="663"/>
      <c r="AM1218" s="663"/>
      <c r="AN1218" s="663"/>
    </row>
    <row r="1219" spans="2:40" ht="14.45" hidden="1" customHeight="1" x14ac:dyDescent="0.25">
      <c r="B1219" s="661" t="str">
        <f>B1700</f>
        <v>Inv E Gross Return Analysis</v>
      </c>
      <c r="C1219" s="662"/>
      <c r="U1219" s="663"/>
      <c r="Z1219" s="663"/>
      <c r="AA1219" s="663"/>
      <c r="AB1219" s="663"/>
      <c r="AC1219" s="663"/>
      <c r="AD1219" s="663"/>
      <c r="AE1219" s="663"/>
      <c r="AF1219" s="663"/>
      <c r="AG1219" s="663"/>
      <c r="AH1219" s="663"/>
      <c r="AI1219" s="663"/>
      <c r="AJ1219" s="663"/>
      <c r="AK1219" s="663"/>
      <c r="AL1219" s="663"/>
      <c r="AM1219" s="663"/>
      <c r="AN1219" s="663"/>
    </row>
    <row r="1220" spans="2:40" ht="14.45" hidden="1" customHeight="1" x14ac:dyDescent="0.25">
      <c r="B1220" s="936">
        <f>B1154</f>
        <v>39113</v>
      </c>
      <c r="C1220" s="662">
        <f>C485</f>
        <v>-1000000</v>
      </c>
      <c r="D1220" s="662">
        <f>C1220</f>
        <v>-1000000</v>
      </c>
      <c r="E1220" s="662">
        <f t="shared" ref="E1220:L1220" si="2832">D1220</f>
        <v>-1000000</v>
      </c>
      <c r="F1220" s="662">
        <f t="shared" si="2832"/>
        <v>-1000000</v>
      </c>
      <c r="G1220" s="662">
        <f t="shared" si="2832"/>
        <v>-1000000</v>
      </c>
      <c r="H1220" s="662">
        <f t="shared" si="2832"/>
        <v>-1000000</v>
      </c>
      <c r="I1220" s="662">
        <f t="shared" si="2832"/>
        <v>-1000000</v>
      </c>
      <c r="J1220" s="662">
        <f t="shared" si="2832"/>
        <v>-1000000</v>
      </c>
      <c r="K1220" s="662">
        <f t="shared" si="2832"/>
        <v>-1000000</v>
      </c>
      <c r="L1220" s="662">
        <f t="shared" si="2832"/>
        <v>-1000000</v>
      </c>
      <c r="U1220" s="663"/>
      <c r="Z1220" s="663"/>
      <c r="AA1220" s="663"/>
      <c r="AB1220" s="663"/>
      <c r="AC1220" s="663"/>
      <c r="AD1220" s="663"/>
      <c r="AE1220" s="663"/>
      <c r="AF1220" s="663"/>
      <c r="AG1220" s="663"/>
      <c r="AH1220" s="663"/>
      <c r="AI1220" s="663"/>
      <c r="AJ1220" s="663"/>
      <c r="AK1220" s="663"/>
      <c r="AL1220" s="663"/>
      <c r="AM1220" s="663"/>
      <c r="AN1220" s="663"/>
    </row>
    <row r="1221" spans="2:40" ht="14.45" hidden="1" customHeight="1" x14ac:dyDescent="0.25">
      <c r="B1221" s="936">
        <f t="shared" ref="B1221:B1230" si="2833">B1155</f>
        <v>39478</v>
      </c>
      <c r="C1221" s="662">
        <f t="shared" ref="C1221:C1229" si="2834">C486</f>
        <v>-2000000</v>
      </c>
      <c r="D1221" s="662">
        <f t="shared" ref="D1221:L1229" si="2835">C1221</f>
        <v>-2000000</v>
      </c>
      <c r="E1221" s="662">
        <f t="shared" si="2835"/>
        <v>-2000000</v>
      </c>
      <c r="F1221" s="662">
        <f t="shared" si="2835"/>
        <v>-2000000</v>
      </c>
      <c r="G1221" s="662">
        <f t="shared" si="2835"/>
        <v>-2000000</v>
      </c>
      <c r="H1221" s="662">
        <f t="shared" si="2835"/>
        <v>-2000000</v>
      </c>
      <c r="I1221" s="662">
        <f t="shared" si="2835"/>
        <v>-2000000</v>
      </c>
      <c r="J1221" s="662">
        <f t="shared" si="2835"/>
        <v>-2000000</v>
      </c>
      <c r="K1221" s="662">
        <f t="shared" si="2835"/>
        <v>-2000000</v>
      </c>
      <c r="L1221" s="662">
        <f t="shared" si="2835"/>
        <v>-2000000</v>
      </c>
      <c r="U1221" s="663"/>
      <c r="Z1221" s="663"/>
      <c r="AA1221" s="663"/>
      <c r="AB1221" s="663"/>
      <c r="AC1221" s="663"/>
      <c r="AD1221" s="663"/>
      <c r="AE1221" s="663"/>
      <c r="AF1221" s="663"/>
      <c r="AG1221" s="663"/>
      <c r="AH1221" s="663"/>
      <c r="AI1221" s="663"/>
      <c r="AJ1221" s="663"/>
      <c r="AK1221" s="663"/>
      <c r="AL1221" s="663"/>
      <c r="AM1221" s="663"/>
      <c r="AN1221" s="663"/>
    </row>
    <row r="1222" spans="2:40" ht="14.45" hidden="1" customHeight="1" x14ac:dyDescent="0.25">
      <c r="B1222" s="936">
        <f t="shared" si="2833"/>
        <v>39843</v>
      </c>
      <c r="C1222" s="662">
        <f t="shared" si="2834"/>
        <v>-2500000</v>
      </c>
      <c r="D1222" s="662">
        <f t="shared" si="2835"/>
        <v>-2500000</v>
      </c>
      <c r="E1222" s="662">
        <f t="shared" si="2835"/>
        <v>-2500000</v>
      </c>
      <c r="F1222" s="662">
        <f t="shared" si="2835"/>
        <v>-2500000</v>
      </c>
      <c r="G1222" s="662">
        <f t="shared" si="2835"/>
        <v>-2500000</v>
      </c>
      <c r="H1222" s="662">
        <f t="shared" si="2835"/>
        <v>-2500000</v>
      </c>
      <c r="I1222" s="662">
        <f t="shared" si="2835"/>
        <v>-2500000</v>
      </c>
      <c r="J1222" s="662">
        <f t="shared" si="2835"/>
        <v>-2500000</v>
      </c>
      <c r="K1222" s="662">
        <f t="shared" si="2835"/>
        <v>-2500000</v>
      </c>
      <c r="L1222" s="662">
        <f t="shared" si="2835"/>
        <v>-2500000</v>
      </c>
      <c r="U1222" s="663"/>
      <c r="Z1222" s="663"/>
      <c r="AA1222" s="663"/>
      <c r="AB1222" s="663"/>
      <c r="AC1222" s="663"/>
      <c r="AD1222" s="663"/>
      <c r="AE1222" s="663"/>
      <c r="AF1222" s="663"/>
      <c r="AG1222" s="663"/>
      <c r="AH1222" s="663"/>
      <c r="AI1222" s="663"/>
      <c r="AJ1222" s="663"/>
      <c r="AK1222" s="663"/>
      <c r="AL1222" s="663"/>
      <c r="AM1222" s="663"/>
      <c r="AN1222" s="663"/>
    </row>
    <row r="1223" spans="2:40" ht="14.45" hidden="1" customHeight="1" x14ac:dyDescent="0.25">
      <c r="B1223" s="936">
        <f t="shared" si="2833"/>
        <v>39843</v>
      </c>
      <c r="C1223" s="662">
        <f t="shared" si="2834"/>
        <v>0</v>
      </c>
      <c r="D1223" s="662">
        <f t="shared" si="2835"/>
        <v>0</v>
      </c>
      <c r="E1223" s="662">
        <f t="shared" si="2835"/>
        <v>0</v>
      </c>
      <c r="F1223" s="662">
        <f t="shared" si="2835"/>
        <v>0</v>
      </c>
      <c r="G1223" s="662">
        <f t="shared" si="2835"/>
        <v>0</v>
      </c>
      <c r="H1223" s="662">
        <f t="shared" si="2835"/>
        <v>0</v>
      </c>
      <c r="I1223" s="662">
        <f t="shared" si="2835"/>
        <v>0</v>
      </c>
      <c r="J1223" s="662">
        <f t="shared" si="2835"/>
        <v>0</v>
      </c>
      <c r="K1223" s="662">
        <f t="shared" si="2835"/>
        <v>0</v>
      </c>
      <c r="L1223" s="662">
        <f t="shared" si="2835"/>
        <v>0</v>
      </c>
      <c r="U1223" s="663"/>
      <c r="Z1223" s="663"/>
      <c r="AA1223" s="663"/>
      <c r="AB1223" s="663"/>
      <c r="AC1223" s="663"/>
      <c r="AD1223" s="663"/>
      <c r="AE1223" s="663"/>
      <c r="AF1223" s="663"/>
      <c r="AG1223" s="663"/>
      <c r="AH1223" s="663"/>
      <c r="AI1223" s="663"/>
      <c r="AJ1223" s="663"/>
      <c r="AK1223" s="663"/>
      <c r="AL1223" s="663"/>
      <c r="AM1223" s="663"/>
      <c r="AN1223" s="663"/>
    </row>
    <row r="1224" spans="2:40" ht="14.45" hidden="1" customHeight="1" x14ac:dyDescent="0.25">
      <c r="B1224" s="936">
        <f t="shared" si="2833"/>
        <v>39843</v>
      </c>
      <c r="C1224" s="662">
        <f t="shared" si="2834"/>
        <v>0</v>
      </c>
      <c r="D1224" s="662">
        <f t="shared" si="2835"/>
        <v>0</v>
      </c>
      <c r="E1224" s="662">
        <f t="shared" si="2835"/>
        <v>0</v>
      </c>
      <c r="F1224" s="662">
        <f t="shared" si="2835"/>
        <v>0</v>
      </c>
      <c r="G1224" s="662">
        <f t="shared" si="2835"/>
        <v>0</v>
      </c>
      <c r="H1224" s="662">
        <f t="shared" si="2835"/>
        <v>0</v>
      </c>
      <c r="I1224" s="662">
        <f t="shared" si="2835"/>
        <v>0</v>
      </c>
      <c r="J1224" s="662">
        <f t="shared" si="2835"/>
        <v>0</v>
      </c>
      <c r="K1224" s="662">
        <f t="shared" si="2835"/>
        <v>0</v>
      </c>
      <c r="L1224" s="662">
        <f t="shared" si="2835"/>
        <v>0</v>
      </c>
      <c r="U1224" s="663"/>
      <c r="Z1224" s="663"/>
      <c r="AA1224" s="663"/>
      <c r="AB1224" s="663"/>
      <c r="AC1224" s="663"/>
      <c r="AD1224" s="663"/>
      <c r="AE1224" s="663"/>
      <c r="AF1224" s="663"/>
      <c r="AG1224" s="663"/>
      <c r="AH1224" s="663"/>
      <c r="AI1224" s="663"/>
      <c r="AJ1224" s="663"/>
      <c r="AK1224" s="663"/>
      <c r="AL1224" s="663"/>
      <c r="AM1224" s="663"/>
      <c r="AN1224" s="663"/>
    </row>
    <row r="1225" spans="2:40" ht="14.45" hidden="1" customHeight="1" x14ac:dyDescent="0.25">
      <c r="B1225" s="936">
        <f t="shared" si="2833"/>
        <v>39843</v>
      </c>
      <c r="C1225" s="662">
        <f t="shared" si="2834"/>
        <v>0</v>
      </c>
      <c r="D1225" s="662">
        <f t="shared" si="2835"/>
        <v>0</v>
      </c>
      <c r="E1225" s="662">
        <f t="shared" si="2835"/>
        <v>0</v>
      </c>
      <c r="F1225" s="662">
        <f t="shared" si="2835"/>
        <v>0</v>
      </c>
      <c r="G1225" s="662">
        <f t="shared" si="2835"/>
        <v>0</v>
      </c>
      <c r="H1225" s="662">
        <f t="shared" si="2835"/>
        <v>0</v>
      </c>
      <c r="I1225" s="662">
        <f t="shared" si="2835"/>
        <v>0</v>
      </c>
      <c r="J1225" s="662">
        <f t="shared" si="2835"/>
        <v>0</v>
      </c>
      <c r="K1225" s="662">
        <f t="shared" si="2835"/>
        <v>0</v>
      </c>
      <c r="L1225" s="662">
        <f t="shared" si="2835"/>
        <v>0</v>
      </c>
      <c r="U1225" s="663"/>
      <c r="Z1225" s="663"/>
      <c r="AA1225" s="663"/>
      <c r="AB1225" s="663"/>
      <c r="AC1225" s="663"/>
      <c r="AD1225" s="663"/>
      <c r="AE1225" s="663"/>
      <c r="AF1225" s="663"/>
      <c r="AG1225" s="663"/>
      <c r="AH1225" s="663"/>
      <c r="AI1225" s="663"/>
      <c r="AJ1225" s="663"/>
      <c r="AK1225" s="663"/>
      <c r="AL1225" s="663"/>
      <c r="AM1225" s="663"/>
      <c r="AN1225" s="663"/>
    </row>
    <row r="1226" spans="2:40" ht="14.45" hidden="1" customHeight="1" x14ac:dyDescent="0.25">
      <c r="B1226" s="936">
        <f t="shared" si="2833"/>
        <v>39843</v>
      </c>
      <c r="C1226" s="662">
        <f t="shared" si="2834"/>
        <v>0</v>
      </c>
      <c r="D1226" s="662">
        <f t="shared" si="2835"/>
        <v>0</v>
      </c>
      <c r="E1226" s="662">
        <f t="shared" si="2835"/>
        <v>0</v>
      </c>
      <c r="F1226" s="662">
        <f t="shared" si="2835"/>
        <v>0</v>
      </c>
      <c r="G1226" s="662">
        <f t="shared" si="2835"/>
        <v>0</v>
      </c>
      <c r="H1226" s="662">
        <f t="shared" si="2835"/>
        <v>0</v>
      </c>
      <c r="I1226" s="662">
        <f t="shared" si="2835"/>
        <v>0</v>
      </c>
      <c r="J1226" s="662">
        <f t="shared" si="2835"/>
        <v>0</v>
      </c>
      <c r="K1226" s="662">
        <f t="shared" si="2835"/>
        <v>0</v>
      </c>
      <c r="L1226" s="662">
        <f t="shared" si="2835"/>
        <v>0</v>
      </c>
      <c r="U1226" s="663"/>
      <c r="Z1226" s="663"/>
      <c r="AA1226" s="663"/>
      <c r="AB1226" s="663"/>
      <c r="AC1226" s="663"/>
      <c r="AD1226" s="663"/>
      <c r="AE1226" s="663"/>
      <c r="AF1226" s="663"/>
      <c r="AG1226" s="663"/>
      <c r="AH1226" s="663"/>
      <c r="AI1226" s="663"/>
      <c r="AJ1226" s="663"/>
      <c r="AK1226" s="663"/>
      <c r="AL1226" s="663"/>
      <c r="AM1226" s="663"/>
      <c r="AN1226" s="663"/>
    </row>
    <row r="1227" spans="2:40" ht="14.45" hidden="1" customHeight="1" x14ac:dyDescent="0.25">
      <c r="B1227" s="936">
        <f t="shared" si="2833"/>
        <v>39843</v>
      </c>
      <c r="C1227" s="662">
        <f t="shared" si="2834"/>
        <v>0</v>
      </c>
      <c r="D1227" s="662">
        <f t="shared" si="2835"/>
        <v>0</v>
      </c>
      <c r="E1227" s="662">
        <f t="shared" si="2835"/>
        <v>0</v>
      </c>
      <c r="F1227" s="662">
        <f t="shared" si="2835"/>
        <v>0</v>
      </c>
      <c r="G1227" s="662">
        <f t="shared" si="2835"/>
        <v>0</v>
      </c>
      <c r="H1227" s="662">
        <f t="shared" si="2835"/>
        <v>0</v>
      </c>
      <c r="I1227" s="662">
        <f t="shared" si="2835"/>
        <v>0</v>
      </c>
      <c r="J1227" s="662">
        <f t="shared" si="2835"/>
        <v>0</v>
      </c>
      <c r="K1227" s="662">
        <f t="shared" si="2835"/>
        <v>0</v>
      </c>
      <c r="L1227" s="662">
        <f t="shared" si="2835"/>
        <v>0</v>
      </c>
      <c r="U1227" s="663"/>
      <c r="Z1227" s="663"/>
      <c r="AA1227" s="663"/>
      <c r="AB1227" s="663"/>
      <c r="AC1227" s="663"/>
      <c r="AD1227" s="663"/>
      <c r="AE1227" s="663"/>
      <c r="AF1227" s="663"/>
      <c r="AG1227" s="663"/>
      <c r="AH1227" s="663"/>
      <c r="AI1227" s="663"/>
      <c r="AJ1227" s="663"/>
      <c r="AK1227" s="663"/>
      <c r="AL1227" s="663"/>
      <c r="AM1227" s="663"/>
      <c r="AN1227" s="663"/>
    </row>
    <row r="1228" spans="2:40" ht="14.45" hidden="1" customHeight="1" x14ac:dyDescent="0.25">
      <c r="B1228" s="936">
        <f t="shared" si="2833"/>
        <v>39843</v>
      </c>
      <c r="C1228" s="662">
        <f t="shared" si="2834"/>
        <v>0</v>
      </c>
      <c r="D1228" s="662">
        <f t="shared" si="2835"/>
        <v>0</v>
      </c>
      <c r="E1228" s="662">
        <f t="shared" si="2835"/>
        <v>0</v>
      </c>
      <c r="F1228" s="662">
        <f t="shared" si="2835"/>
        <v>0</v>
      </c>
      <c r="G1228" s="662">
        <f t="shared" si="2835"/>
        <v>0</v>
      </c>
      <c r="H1228" s="662">
        <f t="shared" si="2835"/>
        <v>0</v>
      </c>
      <c r="I1228" s="662">
        <f t="shared" si="2835"/>
        <v>0</v>
      </c>
      <c r="J1228" s="662">
        <f t="shared" si="2835"/>
        <v>0</v>
      </c>
      <c r="K1228" s="662">
        <f t="shared" si="2835"/>
        <v>0</v>
      </c>
      <c r="L1228" s="662">
        <f t="shared" si="2835"/>
        <v>0</v>
      </c>
      <c r="U1228" s="663"/>
      <c r="Z1228" s="663"/>
      <c r="AA1228" s="663"/>
      <c r="AB1228" s="663"/>
      <c r="AC1228" s="663"/>
      <c r="AD1228" s="663"/>
      <c r="AE1228" s="663"/>
      <c r="AF1228" s="663"/>
      <c r="AG1228" s="663"/>
      <c r="AH1228" s="663"/>
      <c r="AI1228" s="663"/>
      <c r="AJ1228" s="663"/>
      <c r="AK1228" s="663"/>
      <c r="AL1228" s="663"/>
      <c r="AM1228" s="663"/>
      <c r="AN1228" s="663"/>
    </row>
    <row r="1229" spans="2:40" ht="14.45" hidden="1" customHeight="1" x14ac:dyDescent="0.25">
      <c r="B1229" s="936">
        <f t="shared" si="2833"/>
        <v>39843</v>
      </c>
      <c r="C1229" s="662">
        <f t="shared" si="2834"/>
        <v>0</v>
      </c>
      <c r="D1229" s="662">
        <f t="shared" si="2835"/>
        <v>0</v>
      </c>
      <c r="E1229" s="662">
        <f t="shared" si="2835"/>
        <v>0</v>
      </c>
      <c r="F1229" s="662">
        <f t="shared" si="2835"/>
        <v>0</v>
      </c>
      <c r="G1229" s="662">
        <f t="shared" si="2835"/>
        <v>0</v>
      </c>
      <c r="H1229" s="662">
        <f t="shared" si="2835"/>
        <v>0</v>
      </c>
      <c r="I1229" s="662">
        <f t="shared" si="2835"/>
        <v>0</v>
      </c>
      <c r="J1229" s="662">
        <f t="shared" si="2835"/>
        <v>0</v>
      </c>
      <c r="K1229" s="662">
        <f t="shared" si="2835"/>
        <v>0</v>
      </c>
      <c r="L1229" s="662">
        <f t="shared" si="2835"/>
        <v>0</v>
      </c>
      <c r="U1229" s="663"/>
      <c r="Z1229" s="663"/>
      <c r="AA1229" s="663"/>
      <c r="AB1229" s="663"/>
      <c r="AC1229" s="663"/>
      <c r="AD1229" s="663"/>
      <c r="AE1229" s="663"/>
      <c r="AF1229" s="663"/>
      <c r="AG1229" s="663"/>
      <c r="AH1229" s="663"/>
      <c r="AI1229" s="663"/>
      <c r="AJ1229" s="663"/>
      <c r="AK1229" s="663"/>
      <c r="AL1229" s="663"/>
      <c r="AM1229" s="663"/>
      <c r="AN1229" s="663"/>
    </row>
    <row r="1230" spans="2:40" ht="14.45" hidden="1" customHeight="1" x14ac:dyDescent="0.25">
      <c r="B1230" s="936">
        <f t="shared" si="2833"/>
        <v>41179</v>
      </c>
      <c r="C1230" s="662">
        <f>C1701</f>
        <v>2823795.1807228918</v>
      </c>
      <c r="D1230" s="662">
        <f t="shared" ref="D1230:L1230" si="2836">D1701</f>
        <v>4235692.7710843375</v>
      </c>
      <c r="E1230" s="662">
        <f t="shared" si="2836"/>
        <v>5647590.3614457836</v>
      </c>
      <c r="F1230" s="662">
        <f t="shared" si="2836"/>
        <v>7059487.9518072288</v>
      </c>
      <c r="G1230" s="662">
        <f t="shared" si="2836"/>
        <v>8471385.542168675</v>
      </c>
      <c r="H1230" s="662">
        <f t="shared" si="2836"/>
        <v>9883283.1325301211</v>
      </c>
      <c r="I1230" s="662">
        <f t="shared" si="2836"/>
        <v>11295180.722891567</v>
      </c>
      <c r="J1230" s="662">
        <f t="shared" si="2836"/>
        <v>12707078.313253012</v>
      </c>
      <c r="K1230" s="662">
        <f t="shared" si="2836"/>
        <v>14118975.903614458</v>
      </c>
      <c r="L1230" s="662">
        <f t="shared" si="2836"/>
        <v>15530873.493975904</v>
      </c>
      <c r="U1230" s="663"/>
      <c r="Z1230" s="663"/>
      <c r="AA1230" s="663"/>
      <c r="AB1230" s="663"/>
      <c r="AC1230" s="663"/>
      <c r="AD1230" s="663"/>
      <c r="AE1230" s="663"/>
      <c r="AF1230" s="663"/>
      <c r="AG1230" s="663"/>
      <c r="AH1230" s="663"/>
      <c r="AI1230" s="663"/>
      <c r="AJ1230" s="663"/>
      <c r="AK1230" s="663"/>
      <c r="AL1230" s="663"/>
      <c r="AM1230" s="663"/>
      <c r="AN1230" s="663"/>
    </row>
    <row r="1231" spans="2:40" ht="14.45" hidden="1" customHeight="1" x14ac:dyDescent="0.25">
      <c r="C1231" s="882" t="str">
        <f ca="1">IF(ISERROR(XIRR(INDIRECT(C1233):C1230,INDIRECT($B1233):$B1230,-20%)),XIRR(INDIRECT(C1233):C1230,INDIRECT($B1233):$B1230,20%),"N/A")</f>
        <v>N/A</v>
      </c>
      <c r="D1231" s="882" t="str">
        <f ca="1">IF(ISERROR(XIRR(INDIRECT(D1233):D1230,INDIRECT($B1233):$B1230,-20%)),XIRR(INDIRECT(D1233):D1230,INDIRECT($B1233):$B1230,20%),"N/A")</f>
        <v>N/A</v>
      </c>
      <c r="E1231" s="882">
        <f ca="1">IF(ISERROR(XIRR(INDIRECT(E1233):E1230,INDIRECT($B1233):$B1230,-20%)),XIRR(INDIRECT(E1233):E1230,INDIRECT($B1233):$B1230,20%),"N/A")</f>
        <v>6.051364541053773E-3</v>
      </c>
      <c r="F1231" s="882">
        <f ca="1">IF(ISERROR(XIRR(INDIRECT(F1233):F1230,INDIRECT($B1233):$B1230,-20%)),XIRR(INDIRECT(F1233):F1230,INDIRECT($B1233):$B1230,20%),"N/A")</f>
        <v>5.8324137330055245E-2</v>
      </c>
      <c r="G1231" s="882">
        <f ca="1">IF(ISERROR(XIRR(INDIRECT(G1233):G1230,INDIRECT($B1233):$B1230,-20%)),XIRR(INDIRECT(G1233):G1230,INDIRECT($B1233):$B1230,20%),"N/A")</f>
        <v>0.10277331471443177</v>
      </c>
      <c r="H1231" s="882">
        <f ca="1">IF(ISERROR(XIRR(INDIRECT(H1233):H1230,INDIRECT($B1233):$B1230,-20%)),XIRR(INDIRECT(H1233):H1230,INDIRECT($B1233):$B1230,20%),"N/A")</f>
        <v>0.14161195158958434</v>
      </c>
      <c r="I1231" s="882">
        <f ca="1">IF(ISERROR(XIRR(INDIRECT(I1233):I1230,INDIRECT($B1233):$B1230,-20%)),XIRR(INDIRECT(I1233):I1230,INDIRECT($B1233):$B1230,20%),"N/A")</f>
        <v>0.17621049284934998</v>
      </c>
      <c r="J1231" s="882">
        <f ca="1">IF(ISERROR(XIRR(INDIRECT(J1233):J1230,INDIRECT($B1233):$B1230,-20%)),XIRR(INDIRECT(J1233):J1230,INDIRECT($B1233):$B1230,20%),"N/A")</f>
        <v>0.20748057961463925</v>
      </c>
      <c r="K1231" s="882">
        <f ca="1">IF(ISERROR(XIRR(INDIRECT(K1233):K1230,INDIRECT($B1233):$B1230,-20%)),XIRR(INDIRECT(K1233):K1230,INDIRECT($B1233):$B1230,20%),"N/A")</f>
        <v>0.23606141209602355</v>
      </c>
      <c r="L1231" s="882">
        <f ca="1">IF(ISERROR(XIRR(INDIRECT(L1233):L1230,INDIRECT($B1233):$B1230,-20%)),XIRR(INDIRECT(L1233):L1230,INDIRECT($B1233):$B1230,20%),"N/A")</f>
        <v>0.26241969466209414</v>
      </c>
      <c r="U1231" s="663"/>
      <c r="Z1231" s="663"/>
      <c r="AA1231" s="663"/>
      <c r="AB1231" s="663"/>
      <c r="AC1231" s="663"/>
      <c r="AD1231" s="663"/>
      <c r="AE1231" s="663"/>
      <c r="AF1231" s="663"/>
      <c r="AG1231" s="663"/>
      <c r="AH1231" s="663"/>
      <c r="AI1231" s="663"/>
      <c r="AJ1231" s="663"/>
      <c r="AK1231" s="663"/>
      <c r="AL1231" s="663"/>
      <c r="AM1231" s="663"/>
      <c r="AN1231" s="663"/>
    </row>
    <row r="1232" spans="2:40" ht="14.45" hidden="1" customHeight="1" x14ac:dyDescent="0.25">
      <c r="B1232" s="898">
        <f>IF(C1220&lt;&gt;0,ROW(C1220),IF(C1221&lt;&gt;0,ROW(C1221),IF(C1222&lt;&gt;0,ROW(C1222),IF(C1223&lt;&gt;0,ROW(C1223),IF(C1224&lt;&gt;0,ROW(C1224),IF(C1225&lt;&gt;0,ROW(C1225),IF(C1226&lt;&gt;0,ROW(C1226),IF(C1227&lt;&gt;0,ROW(C1227),IF(C1228&lt;&gt;0,ROW(C1228),IF(C1229&lt;&gt;0,ROW(C1229)))))))))))</f>
        <v>1220</v>
      </c>
      <c r="C1232" s="882"/>
      <c r="D1232" s="882"/>
      <c r="E1232" s="882"/>
      <c r="F1232" s="882"/>
      <c r="U1232" s="663"/>
      <c r="Z1232" s="663"/>
      <c r="AA1232" s="663"/>
      <c r="AB1232" s="663"/>
      <c r="AC1232" s="663"/>
      <c r="AD1232" s="663"/>
      <c r="AE1232" s="663"/>
      <c r="AF1232" s="663"/>
      <c r="AG1232" s="663"/>
      <c r="AH1232" s="663"/>
      <c r="AI1232" s="663"/>
      <c r="AJ1232" s="663"/>
      <c r="AK1232" s="663"/>
      <c r="AL1232" s="663"/>
      <c r="AM1232" s="663"/>
      <c r="AN1232" s="663"/>
    </row>
    <row r="1233" spans="2:40" ht="14.45" hidden="1" customHeight="1" x14ac:dyDescent="0.25">
      <c r="B1233" s="899" t="str">
        <f>CONCATENATE(IF(COLUMN(B1232)&lt;=26,CHAR(96+COLUMN(B1232)),(CHAR(96+(ROUNDDOWN((COLUMN(B1232)-1)/26,0)))&amp;CHAR(96+IF(MOD(COLUMN(B1232),26)=0,26,MOD(COLUMN(B1232),26))))),B1232)</f>
        <v>b1220</v>
      </c>
      <c r="C1233" s="899" t="str">
        <f>CONCATENATE(IF(COLUMN(C1231)&lt;=26,CHAR(96+COLUMN(C1231)),(CHAR(96+(ROUNDDOWN((COLUMN(C1231)-1)/26,0)))&amp;CHAR(96+IF(MOD(COLUMN(C1231),26)=0,26,MOD(COLUMN(C1231),26))))),$B1232)</f>
        <v>c1220</v>
      </c>
      <c r="D1233" s="899" t="str">
        <f t="shared" ref="D1233" si="2837">CONCATENATE(IF(COLUMN(D1231)&lt;=26,CHAR(96+COLUMN(D1231)),(CHAR(96+(ROUNDDOWN((COLUMN(D1231)-1)/26,0)))&amp;CHAR(96+IF(MOD(COLUMN(D1231),26)=0,26,MOD(COLUMN(D1231),26))))),$B1232)</f>
        <v>d1220</v>
      </c>
      <c r="E1233" s="899" t="str">
        <f t="shared" ref="E1233" si="2838">CONCATENATE(IF(COLUMN(E1231)&lt;=26,CHAR(96+COLUMN(E1231)),(CHAR(96+(ROUNDDOWN((COLUMN(E1231)-1)/26,0)))&amp;CHAR(96+IF(MOD(COLUMN(E1231),26)=0,26,MOD(COLUMN(E1231),26))))),$B1232)</f>
        <v>e1220</v>
      </c>
      <c r="F1233" s="899" t="str">
        <f t="shared" ref="F1233" si="2839">CONCATENATE(IF(COLUMN(F1231)&lt;=26,CHAR(96+COLUMN(F1231)),(CHAR(96+(ROUNDDOWN((COLUMN(F1231)-1)/26,0)))&amp;CHAR(96+IF(MOD(COLUMN(F1231),26)=0,26,MOD(COLUMN(F1231),26))))),$B1232)</f>
        <v>f1220</v>
      </c>
      <c r="G1233" s="899" t="str">
        <f t="shared" ref="G1233" si="2840">CONCATENATE(IF(COLUMN(G1231)&lt;=26,CHAR(96+COLUMN(G1231)),(CHAR(96+(ROUNDDOWN((COLUMN(G1231)-1)/26,0)))&amp;CHAR(96+IF(MOD(COLUMN(G1231),26)=0,26,MOD(COLUMN(G1231),26))))),$B1232)</f>
        <v>g1220</v>
      </c>
      <c r="H1233" s="899" t="str">
        <f t="shared" ref="H1233" si="2841">CONCATENATE(IF(COLUMN(H1231)&lt;=26,CHAR(96+COLUMN(H1231)),(CHAR(96+(ROUNDDOWN((COLUMN(H1231)-1)/26,0)))&amp;CHAR(96+IF(MOD(COLUMN(H1231),26)=0,26,MOD(COLUMN(H1231),26))))),$B1232)</f>
        <v>h1220</v>
      </c>
      <c r="I1233" s="899" t="str">
        <f t="shared" ref="I1233" si="2842">CONCATENATE(IF(COLUMN(I1231)&lt;=26,CHAR(96+COLUMN(I1231)),(CHAR(96+(ROUNDDOWN((COLUMN(I1231)-1)/26,0)))&amp;CHAR(96+IF(MOD(COLUMN(I1231),26)=0,26,MOD(COLUMN(I1231),26))))),$B1232)</f>
        <v>i1220</v>
      </c>
      <c r="J1233" s="899" t="str">
        <f t="shared" ref="J1233" si="2843">CONCATENATE(IF(COLUMN(J1231)&lt;=26,CHAR(96+COLUMN(J1231)),(CHAR(96+(ROUNDDOWN((COLUMN(J1231)-1)/26,0)))&amp;CHAR(96+IF(MOD(COLUMN(J1231),26)=0,26,MOD(COLUMN(J1231),26))))),$B1232)</f>
        <v>j1220</v>
      </c>
      <c r="K1233" s="899" t="str">
        <f t="shared" ref="K1233" si="2844">CONCATENATE(IF(COLUMN(K1231)&lt;=26,CHAR(96+COLUMN(K1231)),(CHAR(96+(ROUNDDOWN((COLUMN(K1231)-1)/26,0)))&amp;CHAR(96+IF(MOD(COLUMN(K1231),26)=0,26,MOD(COLUMN(K1231),26))))),$B1232)</f>
        <v>k1220</v>
      </c>
      <c r="L1233" s="899" t="str">
        <f t="shared" ref="L1233" si="2845">CONCATENATE(IF(COLUMN(L1231)&lt;=26,CHAR(96+COLUMN(L1231)),(CHAR(96+(ROUNDDOWN((COLUMN(L1231)-1)/26,0)))&amp;CHAR(96+IF(MOD(COLUMN(L1231),26)=0,26,MOD(COLUMN(L1231),26))))),$B1232)</f>
        <v>l1220</v>
      </c>
      <c r="U1233" s="663"/>
      <c r="Z1233" s="663"/>
      <c r="AA1233" s="663"/>
      <c r="AB1233" s="663"/>
      <c r="AC1233" s="663"/>
      <c r="AD1233" s="663"/>
      <c r="AE1233" s="663"/>
      <c r="AF1233" s="663"/>
      <c r="AG1233" s="663"/>
      <c r="AH1233" s="663"/>
      <c r="AI1233" s="663"/>
      <c r="AJ1233" s="663"/>
      <c r="AK1233" s="663"/>
      <c r="AL1233" s="663"/>
      <c r="AM1233" s="663"/>
      <c r="AN1233" s="663"/>
    </row>
    <row r="1234" spans="2:40" ht="14.45" hidden="1" customHeight="1" x14ac:dyDescent="0.25">
      <c r="B1234" s="661"/>
      <c r="C1234" s="662"/>
      <c r="U1234" s="663"/>
      <c r="Z1234" s="663"/>
      <c r="AA1234" s="663"/>
      <c r="AB1234" s="663"/>
      <c r="AC1234" s="663"/>
      <c r="AD1234" s="663"/>
      <c r="AE1234" s="663"/>
      <c r="AF1234" s="663"/>
      <c r="AG1234" s="663"/>
      <c r="AH1234" s="663"/>
      <c r="AI1234" s="663"/>
      <c r="AJ1234" s="663"/>
      <c r="AK1234" s="663"/>
      <c r="AL1234" s="663"/>
      <c r="AM1234" s="663"/>
      <c r="AN1234" s="663"/>
    </row>
    <row r="1235" spans="2:40" ht="14.45" hidden="1" customHeight="1" x14ac:dyDescent="0.25">
      <c r="B1235" s="661"/>
      <c r="C1235" s="662"/>
      <c r="U1235" s="663"/>
      <c r="Z1235" s="663"/>
      <c r="AA1235" s="663"/>
      <c r="AB1235" s="663"/>
      <c r="AC1235" s="663"/>
      <c r="AD1235" s="663"/>
      <c r="AE1235" s="663"/>
      <c r="AF1235" s="663"/>
      <c r="AG1235" s="663"/>
      <c r="AH1235" s="663"/>
      <c r="AI1235" s="663"/>
      <c r="AJ1235" s="663"/>
      <c r="AK1235" s="663"/>
      <c r="AL1235" s="663"/>
      <c r="AM1235" s="663"/>
      <c r="AN1235" s="663"/>
    </row>
    <row r="1236" spans="2:40" ht="14.45" hidden="1" customHeight="1" x14ac:dyDescent="0.25">
      <c r="B1236" s="936">
        <f>B1220</f>
        <v>39113</v>
      </c>
      <c r="C1236" s="662">
        <f>C1220</f>
        <v>-1000000</v>
      </c>
      <c r="D1236" s="662">
        <f t="shared" ref="D1236:L1236" si="2846">D1220</f>
        <v>-1000000</v>
      </c>
      <c r="E1236" s="662">
        <f t="shared" si="2846"/>
        <v>-1000000</v>
      </c>
      <c r="F1236" s="662">
        <f t="shared" si="2846"/>
        <v>-1000000</v>
      </c>
      <c r="G1236" s="662">
        <f t="shared" si="2846"/>
        <v>-1000000</v>
      </c>
      <c r="H1236" s="662">
        <f t="shared" si="2846"/>
        <v>-1000000</v>
      </c>
      <c r="I1236" s="662">
        <f t="shared" si="2846"/>
        <v>-1000000</v>
      </c>
      <c r="J1236" s="662">
        <f t="shared" si="2846"/>
        <v>-1000000</v>
      </c>
      <c r="K1236" s="662">
        <f t="shared" si="2846"/>
        <v>-1000000</v>
      </c>
      <c r="L1236" s="662">
        <f t="shared" si="2846"/>
        <v>-1000000</v>
      </c>
      <c r="U1236" s="663"/>
      <c r="Z1236" s="663"/>
      <c r="AA1236" s="663"/>
      <c r="AB1236" s="663"/>
      <c r="AC1236" s="663"/>
      <c r="AD1236" s="663"/>
      <c r="AE1236" s="663"/>
      <c r="AF1236" s="663"/>
      <c r="AG1236" s="663"/>
      <c r="AH1236" s="663"/>
      <c r="AI1236" s="663"/>
      <c r="AJ1236" s="663"/>
      <c r="AK1236" s="663"/>
      <c r="AL1236" s="663"/>
      <c r="AM1236" s="663"/>
      <c r="AN1236" s="663"/>
    </row>
    <row r="1237" spans="2:40" ht="14.45" hidden="1" customHeight="1" x14ac:dyDescent="0.25">
      <c r="B1237" s="936">
        <f t="shared" ref="B1237:L1237" si="2847">B1221</f>
        <v>39478</v>
      </c>
      <c r="C1237" s="662">
        <f t="shared" si="2847"/>
        <v>-2000000</v>
      </c>
      <c r="D1237" s="662">
        <f t="shared" si="2847"/>
        <v>-2000000</v>
      </c>
      <c r="E1237" s="662">
        <f t="shared" si="2847"/>
        <v>-2000000</v>
      </c>
      <c r="F1237" s="662">
        <f t="shared" si="2847"/>
        <v>-2000000</v>
      </c>
      <c r="G1237" s="662">
        <f t="shared" si="2847"/>
        <v>-2000000</v>
      </c>
      <c r="H1237" s="662">
        <f t="shared" si="2847"/>
        <v>-2000000</v>
      </c>
      <c r="I1237" s="662">
        <f t="shared" si="2847"/>
        <v>-2000000</v>
      </c>
      <c r="J1237" s="662">
        <f t="shared" si="2847"/>
        <v>-2000000</v>
      </c>
      <c r="K1237" s="662">
        <f t="shared" si="2847"/>
        <v>-2000000</v>
      </c>
      <c r="L1237" s="662">
        <f t="shared" si="2847"/>
        <v>-2000000</v>
      </c>
      <c r="U1237" s="663"/>
      <c r="Z1237" s="663"/>
      <c r="AA1237" s="663"/>
      <c r="AB1237" s="663"/>
      <c r="AC1237" s="663"/>
      <c r="AD1237" s="663"/>
      <c r="AE1237" s="663"/>
      <c r="AF1237" s="663"/>
      <c r="AG1237" s="663"/>
      <c r="AH1237" s="663"/>
      <c r="AI1237" s="663"/>
      <c r="AJ1237" s="663"/>
      <c r="AK1237" s="663"/>
      <c r="AL1237" s="663"/>
      <c r="AM1237" s="663"/>
      <c r="AN1237" s="663"/>
    </row>
    <row r="1238" spans="2:40" ht="14.45" hidden="1" customHeight="1" x14ac:dyDescent="0.25">
      <c r="B1238" s="936">
        <f t="shared" ref="B1238:L1238" si="2848">B1222</f>
        <v>39843</v>
      </c>
      <c r="C1238" s="662">
        <f t="shared" si="2848"/>
        <v>-2500000</v>
      </c>
      <c r="D1238" s="662">
        <f t="shared" si="2848"/>
        <v>-2500000</v>
      </c>
      <c r="E1238" s="662">
        <f t="shared" si="2848"/>
        <v>-2500000</v>
      </c>
      <c r="F1238" s="662">
        <f t="shared" si="2848"/>
        <v>-2500000</v>
      </c>
      <c r="G1238" s="662">
        <f t="shared" si="2848"/>
        <v>-2500000</v>
      </c>
      <c r="H1238" s="662">
        <f t="shared" si="2848"/>
        <v>-2500000</v>
      </c>
      <c r="I1238" s="662">
        <f t="shared" si="2848"/>
        <v>-2500000</v>
      </c>
      <c r="J1238" s="662">
        <f t="shared" si="2848"/>
        <v>-2500000</v>
      </c>
      <c r="K1238" s="662">
        <f t="shared" si="2848"/>
        <v>-2500000</v>
      </c>
      <c r="L1238" s="662">
        <f t="shared" si="2848"/>
        <v>-2500000</v>
      </c>
      <c r="U1238" s="663"/>
      <c r="Z1238" s="663"/>
      <c r="AA1238" s="663"/>
      <c r="AB1238" s="663"/>
      <c r="AC1238" s="663"/>
      <c r="AD1238" s="663"/>
      <c r="AE1238" s="663"/>
      <c r="AF1238" s="663"/>
      <c r="AG1238" s="663"/>
      <c r="AH1238" s="663"/>
      <c r="AI1238" s="663"/>
      <c r="AJ1238" s="663"/>
      <c r="AK1238" s="663"/>
      <c r="AL1238" s="663"/>
      <c r="AM1238" s="663"/>
      <c r="AN1238" s="663"/>
    </row>
    <row r="1239" spans="2:40" ht="14.45" hidden="1" customHeight="1" x14ac:dyDescent="0.25">
      <c r="B1239" s="936">
        <f t="shared" ref="B1239:L1239" si="2849">B1223</f>
        <v>39843</v>
      </c>
      <c r="C1239" s="662">
        <f t="shared" si="2849"/>
        <v>0</v>
      </c>
      <c r="D1239" s="662">
        <f t="shared" si="2849"/>
        <v>0</v>
      </c>
      <c r="E1239" s="662">
        <f t="shared" si="2849"/>
        <v>0</v>
      </c>
      <c r="F1239" s="662">
        <f t="shared" si="2849"/>
        <v>0</v>
      </c>
      <c r="G1239" s="662">
        <f t="shared" si="2849"/>
        <v>0</v>
      </c>
      <c r="H1239" s="662">
        <f t="shared" si="2849"/>
        <v>0</v>
      </c>
      <c r="I1239" s="662">
        <f t="shared" si="2849"/>
        <v>0</v>
      </c>
      <c r="J1239" s="662">
        <f t="shared" si="2849"/>
        <v>0</v>
      </c>
      <c r="K1239" s="662">
        <f t="shared" si="2849"/>
        <v>0</v>
      </c>
      <c r="L1239" s="662">
        <f t="shared" si="2849"/>
        <v>0</v>
      </c>
      <c r="U1239" s="663"/>
      <c r="Z1239" s="663"/>
      <c r="AA1239" s="663"/>
      <c r="AB1239" s="663"/>
      <c r="AC1239" s="663"/>
      <c r="AD1239" s="663"/>
      <c r="AE1239" s="663"/>
      <c r="AF1239" s="663"/>
      <c r="AG1239" s="663"/>
      <c r="AH1239" s="663"/>
      <c r="AI1239" s="663"/>
      <c r="AJ1239" s="663"/>
      <c r="AK1239" s="663"/>
      <c r="AL1239" s="663"/>
      <c r="AM1239" s="663"/>
      <c r="AN1239" s="663"/>
    </row>
    <row r="1240" spans="2:40" ht="14.45" hidden="1" customHeight="1" x14ac:dyDescent="0.25">
      <c r="B1240" s="936">
        <f t="shared" ref="B1240:L1240" si="2850">B1224</f>
        <v>39843</v>
      </c>
      <c r="C1240" s="662">
        <f t="shared" si="2850"/>
        <v>0</v>
      </c>
      <c r="D1240" s="662">
        <f t="shared" si="2850"/>
        <v>0</v>
      </c>
      <c r="E1240" s="662">
        <f t="shared" si="2850"/>
        <v>0</v>
      </c>
      <c r="F1240" s="662">
        <f t="shared" si="2850"/>
        <v>0</v>
      </c>
      <c r="G1240" s="662">
        <f t="shared" si="2850"/>
        <v>0</v>
      </c>
      <c r="H1240" s="662">
        <f t="shared" si="2850"/>
        <v>0</v>
      </c>
      <c r="I1240" s="662">
        <f t="shared" si="2850"/>
        <v>0</v>
      </c>
      <c r="J1240" s="662">
        <f t="shared" si="2850"/>
        <v>0</v>
      </c>
      <c r="K1240" s="662">
        <f t="shared" si="2850"/>
        <v>0</v>
      </c>
      <c r="L1240" s="662">
        <f t="shared" si="2850"/>
        <v>0</v>
      </c>
      <c r="U1240" s="663"/>
      <c r="Z1240" s="663"/>
      <c r="AA1240" s="663"/>
      <c r="AB1240" s="663"/>
      <c r="AC1240" s="663"/>
      <c r="AD1240" s="663"/>
      <c r="AE1240" s="663"/>
      <c r="AF1240" s="663"/>
      <c r="AG1240" s="663"/>
      <c r="AH1240" s="663"/>
      <c r="AI1240" s="663"/>
      <c r="AJ1240" s="663"/>
      <c r="AK1240" s="663"/>
      <c r="AL1240" s="663"/>
      <c r="AM1240" s="663"/>
      <c r="AN1240" s="663"/>
    </row>
    <row r="1241" spans="2:40" ht="14.45" hidden="1" customHeight="1" x14ac:dyDescent="0.25">
      <c r="B1241" s="936">
        <f t="shared" ref="B1241:L1241" si="2851">B1225</f>
        <v>39843</v>
      </c>
      <c r="C1241" s="662">
        <f t="shared" si="2851"/>
        <v>0</v>
      </c>
      <c r="D1241" s="662">
        <f t="shared" si="2851"/>
        <v>0</v>
      </c>
      <c r="E1241" s="662">
        <f t="shared" si="2851"/>
        <v>0</v>
      </c>
      <c r="F1241" s="662">
        <f t="shared" si="2851"/>
        <v>0</v>
      </c>
      <c r="G1241" s="662">
        <f t="shared" si="2851"/>
        <v>0</v>
      </c>
      <c r="H1241" s="662">
        <f t="shared" si="2851"/>
        <v>0</v>
      </c>
      <c r="I1241" s="662">
        <f t="shared" si="2851"/>
        <v>0</v>
      </c>
      <c r="J1241" s="662">
        <f t="shared" si="2851"/>
        <v>0</v>
      </c>
      <c r="K1241" s="662">
        <f t="shared" si="2851"/>
        <v>0</v>
      </c>
      <c r="L1241" s="662">
        <f t="shared" si="2851"/>
        <v>0</v>
      </c>
      <c r="U1241" s="663"/>
      <c r="Z1241" s="663"/>
      <c r="AA1241" s="663"/>
      <c r="AB1241" s="663"/>
      <c r="AC1241" s="663"/>
      <c r="AD1241" s="663"/>
      <c r="AE1241" s="663"/>
      <c r="AF1241" s="663"/>
      <c r="AG1241" s="663"/>
      <c r="AH1241" s="663"/>
      <c r="AI1241" s="663"/>
      <c r="AJ1241" s="663"/>
      <c r="AK1241" s="663"/>
      <c r="AL1241" s="663"/>
      <c r="AM1241" s="663"/>
      <c r="AN1241" s="663"/>
    </row>
    <row r="1242" spans="2:40" ht="14.45" hidden="1" customHeight="1" x14ac:dyDescent="0.25">
      <c r="B1242" s="936">
        <f t="shared" ref="B1242:L1242" si="2852">B1226</f>
        <v>39843</v>
      </c>
      <c r="C1242" s="662">
        <f t="shared" si="2852"/>
        <v>0</v>
      </c>
      <c r="D1242" s="662">
        <f t="shared" si="2852"/>
        <v>0</v>
      </c>
      <c r="E1242" s="662">
        <f t="shared" si="2852"/>
        <v>0</v>
      </c>
      <c r="F1242" s="662">
        <f t="shared" si="2852"/>
        <v>0</v>
      </c>
      <c r="G1242" s="662">
        <f t="shared" si="2852"/>
        <v>0</v>
      </c>
      <c r="H1242" s="662">
        <f t="shared" si="2852"/>
        <v>0</v>
      </c>
      <c r="I1242" s="662">
        <f t="shared" si="2852"/>
        <v>0</v>
      </c>
      <c r="J1242" s="662">
        <f t="shared" si="2852"/>
        <v>0</v>
      </c>
      <c r="K1242" s="662">
        <f t="shared" si="2852"/>
        <v>0</v>
      </c>
      <c r="L1242" s="662">
        <f t="shared" si="2852"/>
        <v>0</v>
      </c>
      <c r="U1242" s="663"/>
      <c r="Z1242" s="663"/>
      <c r="AA1242" s="663"/>
      <c r="AB1242" s="663"/>
      <c r="AC1242" s="663"/>
      <c r="AD1242" s="663"/>
      <c r="AE1242" s="663"/>
      <c r="AF1242" s="663"/>
      <c r="AG1242" s="663"/>
      <c r="AH1242" s="663"/>
      <c r="AI1242" s="663"/>
      <c r="AJ1242" s="663"/>
      <c r="AK1242" s="663"/>
      <c r="AL1242" s="663"/>
      <c r="AM1242" s="663"/>
      <c r="AN1242" s="663"/>
    </row>
    <row r="1243" spans="2:40" ht="14.45" hidden="1" customHeight="1" x14ac:dyDescent="0.25">
      <c r="B1243" s="936">
        <f t="shared" ref="B1243:L1243" si="2853">B1227</f>
        <v>39843</v>
      </c>
      <c r="C1243" s="662">
        <f t="shared" si="2853"/>
        <v>0</v>
      </c>
      <c r="D1243" s="662">
        <f t="shared" si="2853"/>
        <v>0</v>
      </c>
      <c r="E1243" s="662">
        <f t="shared" si="2853"/>
        <v>0</v>
      </c>
      <c r="F1243" s="662">
        <f t="shared" si="2853"/>
        <v>0</v>
      </c>
      <c r="G1243" s="662">
        <f t="shared" si="2853"/>
        <v>0</v>
      </c>
      <c r="H1243" s="662">
        <f t="shared" si="2853"/>
        <v>0</v>
      </c>
      <c r="I1243" s="662">
        <f t="shared" si="2853"/>
        <v>0</v>
      </c>
      <c r="J1243" s="662">
        <f t="shared" si="2853"/>
        <v>0</v>
      </c>
      <c r="K1243" s="662">
        <f t="shared" si="2853"/>
        <v>0</v>
      </c>
      <c r="L1243" s="662">
        <f t="shared" si="2853"/>
        <v>0</v>
      </c>
      <c r="U1243" s="663"/>
      <c r="Z1243" s="663"/>
      <c r="AA1243" s="663"/>
      <c r="AB1243" s="663"/>
      <c r="AC1243" s="663"/>
      <c r="AD1243" s="663"/>
      <c r="AE1243" s="663"/>
      <c r="AF1243" s="663"/>
      <c r="AG1243" s="663"/>
      <c r="AH1243" s="663"/>
      <c r="AI1243" s="663"/>
      <c r="AJ1243" s="663"/>
      <c r="AK1243" s="663"/>
      <c r="AL1243" s="663"/>
      <c r="AM1243" s="663"/>
      <c r="AN1243" s="663"/>
    </row>
    <row r="1244" spans="2:40" ht="14.45" hidden="1" customHeight="1" x14ac:dyDescent="0.25">
      <c r="B1244" s="936">
        <f t="shared" ref="B1244:L1244" si="2854">B1228</f>
        <v>39843</v>
      </c>
      <c r="C1244" s="662">
        <f t="shared" si="2854"/>
        <v>0</v>
      </c>
      <c r="D1244" s="662">
        <f t="shared" si="2854"/>
        <v>0</v>
      </c>
      <c r="E1244" s="662">
        <f t="shared" si="2854"/>
        <v>0</v>
      </c>
      <c r="F1244" s="662">
        <f t="shared" si="2854"/>
        <v>0</v>
      </c>
      <c r="G1244" s="662">
        <f t="shared" si="2854"/>
        <v>0</v>
      </c>
      <c r="H1244" s="662">
        <f t="shared" si="2854"/>
        <v>0</v>
      </c>
      <c r="I1244" s="662">
        <f t="shared" si="2854"/>
        <v>0</v>
      </c>
      <c r="J1244" s="662">
        <f t="shared" si="2854"/>
        <v>0</v>
      </c>
      <c r="K1244" s="662">
        <f t="shared" si="2854"/>
        <v>0</v>
      </c>
      <c r="L1244" s="662">
        <f t="shared" si="2854"/>
        <v>0</v>
      </c>
      <c r="U1244" s="663"/>
      <c r="Z1244" s="663"/>
      <c r="AA1244" s="663"/>
      <c r="AB1244" s="663"/>
      <c r="AC1244" s="663"/>
      <c r="AD1244" s="663"/>
      <c r="AE1244" s="663"/>
      <c r="AF1244" s="663"/>
      <c r="AG1244" s="663"/>
      <c r="AH1244" s="663"/>
      <c r="AI1244" s="663"/>
      <c r="AJ1244" s="663"/>
      <c r="AK1244" s="663"/>
      <c r="AL1244" s="663"/>
      <c r="AM1244" s="663"/>
      <c r="AN1244" s="663"/>
    </row>
    <row r="1245" spans="2:40" ht="14.45" hidden="1" customHeight="1" x14ac:dyDescent="0.25">
      <c r="B1245" s="936">
        <f t="shared" ref="B1245:L1245" si="2855">B1229</f>
        <v>39843</v>
      </c>
      <c r="C1245" s="662">
        <f t="shared" si="2855"/>
        <v>0</v>
      </c>
      <c r="D1245" s="662">
        <f t="shared" si="2855"/>
        <v>0</v>
      </c>
      <c r="E1245" s="662">
        <f t="shared" si="2855"/>
        <v>0</v>
      </c>
      <c r="F1245" s="662">
        <f t="shared" si="2855"/>
        <v>0</v>
      </c>
      <c r="G1245" s="662">
        <f t="shared" si="2855"/>
        <v>0</v>
      </c>
      <c r="H1245" s="662">
        <f t="shared" si="2855"/>
        <v>0</v>
      </c>
      <c r="I1245" s="662">
        <f t="shared" si="2855"/>
        <v>0</v>
      </c>
      <c r="J1245" s="662">
        <f t="shared" si="2855"/>
        <v>0</v>
      </c>
      <c r="K1245" s="662">
        <f t="shared" si="2855"/>
        <v>0</v>
      </c>
      <c r="L1245" s="662">
        <f t="shared" si="2855"/>
        <v>0</v>
      </c>
      <c r="U1245" s="663"/>
      <c r="Z1245" s="663"/>
      <c r="AA1245" s="663"/>
      <c r="AB1245" s="663"/>
      <c r="AC1245" s="663"/>
      <c r="AD1245" s="663"/>
      <c r="AE1245" s="663"/>
      <c r="AF1245" s="663"/>
      <c r="AG1245" s="663"/>
      <c r="AH1245" s="663"/>
      <c r="AI1245" s="663"/>
      <c r="AJ1245" s="663"/>
      <c r="AK1245" s="663"/>
      <c r="AL1245" s="663"/>
      <c r="AM1245" s="663"/>
      <c r="AN1245" s="663"/>
    </row>
    <row r="1246" spans="2:40" ht="14.45" hidden="1" customHeight="1" x14ac:dyDescent="0.25">
      <c r="B1246" s="936">
        <f>B1180</f>
        <v>41359</v>
      </c>
      <c r="C1246" s="662">
        <f t="shared" ref="C1246:L1246" si="2856">C1230</f>
        <v>2823795.1807228918</v>
      </c>
      <c r="D1246" s="662">
        <f t="shared" si="2856"/>
        <v>4235692.7710843375</v>
      </c>
      <c r="E1246" s="662">
        <f t="shared" si="2856"/>
        <v>5647590.3614457836</v>
      </c>
      <c r="F1246" s="662">
        <f t="shared" si="2856"/>
        <v>7059487.9518072288</v>
      </c>
      <c r="G1246" s="662">
        <f t="shared" si="2856"/>
        <v>8471385.542168675</v>
      </c>
      <c r="H1246" s="662">
        <f t="shared" si="2856"/>
        <v>9883283.1325301211</v>
      </c>
      <c r="I1246" s="662">
        <f t="shared" si="2856"/>
        <v>11295180.722891567</v>
      </c>
      <c r="J1246" s="662">
        <f t="shared" si="2856"/>
        <v>12707078.313253012</v>
      </c>
      <c r="K1246" s="662">
        <f t="shared" si="2856"/>
        <v>14118975.903614458</v>
      </c>
      <c r="L1246" s="662">
        <f t="shared" si="2856"/>
        <v>15530873.493975904</v>
      </c>
      <c r="U1246" s="663"/>
      <c r="Z1246" s="663"/>
      <c r="AA1246" s="663"/>
      <c r="AB1246" s="663"/>
      <c r="AC1246" s="663"/>
      <c r="AD1246" s="663"/>
      <c r="AE1246" s="663"/>
      <c r="AF1246" s="663"/>
      <c r="AG1246" s="663"/>
      <c r="AH1246" s="663"/>
      <c r="AI1246" s="663"/>
      <c r="AJ1246" s="663"/>
      <c r="AK1246" s="663"/>
      <c r="AL1246" s="663"/>
      <c r="AM1246" s="663"/>
      <c r="AN1246" s="663"/>
    </row>
    <row r="1247" spans="2:40" ht="14.45" hidden="1" customHeight="1" x14ac:dyDescent="0.25">
      <c r="C1247" s="882" t="str">
        <f ca="1">IF(ISERROR(XIRR(INDIRECT(C1249):C1246,INDIRECT($B1249):$B1246,-20%)),XIRR(INDIRECT(C1249):C1246,INDIRECT($B1249):$B1246,20%),"N/A")</f>
        <v>N/A</v>
      </c>
      <c r="D1247" s="882" t="str">
        <f ca="1">IF(ISERROR(XIRR(INDIRECT(D1249):D1246,INDIRECT($B1249):$B1246,-20%)),XIRR(INDIRECT(D1249):D1246,INDIRECT($B1249):$B1246,20%),"N/A")</f>
        <v>N/A</v>
      </c>
      <c r="E1247" s="882">
        <f ca="1">IF(ISERROR(XIRR(INDIRECT(E1249):E1246,INDIRECT($B1249):$B1246,-20%)),XIRR(INDIRECT(E1249):E1246,INDIRECT($B1249):$B1246,20%),"N/A")</f>
        <v>5.4386764764785779E-3</v>
      </c>
      <c r="F1247" s="882">
        <f ca="1">IF(ISERROR(XIRR(INDIRECT(F1249):F1246,INDIRECT($B1249):$B1246,-20%)),XIRR(INDIRECT(F1249):F1246,INDIRECT($B1249):$B1246,20%),"N/A")</f>
        <v>5.2317216992378235E-2</v>
      </c>
      <c r="G1247" s="882">
        <f ca="1">IF(ISERROR(XIRR(INDIRECT(G1249):G1246,INDIRECT($B1249):$B1246,-20%)),XIRR(INDIRECT(G1249):G1246,INDIRECT($B1249):$B1246,20%),"N/A")</f>
        <v>9.204259216785432E-2</v>
      </c>
      <c r="H1247" s="882">
        <f ca="1">IF(ISERROR(XIRR(INDIRECT(H1249):H1246,INDIRECT($B1249):$B1246,-20%)),XIRR(INDIRECT(H1249):H1246,INDIRECT($B1249):$B1246,20%),"N/A")</f>
        <v>0.12665656208992004</v>
      </c>
      <c r="I1247" s="882">
        <f ca="1">IF(ISERROR(XIRR(INDIRECT(I1249):I1246,INDIRECT($B1249):$B1246,-20%)),XIRR(INDIRECT(I1249):I1246,INDIRECT($B1249):$B1246,20%),"N/A")</f>
        <v>0.15741900801658634</v>
      </c>
      <c r="J1247" s="882">
        <f ca="1">IF(ISERROR(XIRR(INDIRECT(J1249):J1246,INDIRECT($B1249):$B1246,-20%)),XIRR(INDIRECT(J1249):J1246,INDIRECT($B1249):$B1246,20%),"N/A")</f>
        <v>0.18516551852226257</v>
      </c>
      <c r="K1247" s="882">
        <f ca="1">IF(ISERROR(XIRR(INDIRECT(K1249):K1246,INDIRECT($B1249):$B1246,-20%)),XIRR(INDIRECT(K1249):K1246,INDIRECT($B1249):$B1246,20%),"N/A")</f>
        <v>0.21048055291175846</v>
      </c>
      <c r="L1247" s="882">
        <f ca="1">IF(ISERROR(XIRR(INDIRECT(L1249):L1246,INDIRECT($B1249):$B1246,-20%)),XIRR(INDIRECT(L1249):L1246,INDIRECT($B1249):$B1246,20%),"N/A")</f>
        <v>0.23378985524177548</v>
      </c>
      <c r="U1247" s="663"/>
      <c r="Z1247" s="663"/>
      <c r="AA1247" s="663"/>
      <c r="AB1247" s="663"/>
      <c r="AC1247" s="663"/>
      <c r="AD1247" s="663"/>
      <c r="AE1247" s="663"/>
      <c r="AF1247" s="663"/>
      <c r="AG1247" s="663"/>
      <c r="AH1247" s="663"/>
      <c r="AI1247" s="663"/>
      <c r="AJ1247" s="663"/>
      <c r="AK1247" s="663"/>
      <c r="AL1247" s="663"/>
      <c r="AM1247" s="663"/>
      <c r="AN1247" s="663"/>
    </row>
    <row r="1248" spans="2:40" ht="14.45" hidden="1" customHeight="1" x14ac:dyDescent="0.25">
      <c r="B1248" s="898">
        <f>IF(C1236&lt;&gt;0,ROW(C1236),IF(C1237&lt;&gt;0,ROW(C1237),IF(C1238&lt;&gt;0,ROW(C1238),IF(C1239&lt;&gt;0,ROW(C1239),IF(C1240&lt;&gt;0,ROW(C1240),IF(C1241&lt;&gt;0,ROW(C1241),IF(C1242&lt;&gt;0,ROW(C1242),IF(C1243&lt;&gt;0,ROW(C1243),IF(C1244&lt;&gt;0,ROW(C1244),IF(C1245&lt;&gt;0,ROW(C1245)))))))))))</f>
        <v>1236</v>
      </c>
      <c r="C1248" s="882"/>
      <c r="U1248" s="663"/>
      <c r="Z1248" s="663"/>
      <c r="AA1248" s="663"/>
      <c r="AB1248" s="663"/>
      <c r="AC1248" s="663"/>
      <c r="AD1248" s="663"/>
      <c r="AE1248" s="663"/>
      <c r="AF1248" s="663"/>
      <c r="AG1248" s="663"/>
      <c r="AH1248" s="663"/>
      <c r="AI1248" s="663"/>
      <c r="AJ1248" s="663"/>
      <c r="AK1248" s="663"/>
      <c r="AL1248" s="663"/>
      <c r="AM1248" s="663"/>
      <c r="AN1248" s="663"/>
    </row>
    <row r="1249" spans="2:40" ht="14.45" hidden="1" customHeight="1" x14ac:dyDescent="0.25">
      <c r="B1249" s="899" t="str">
        <f>CONCATENATE(IF(COLUMN(B1248)&lt;=26,CHAR(96+COLUMN(B1248)),(CHAR(96+(ROUNDDOWN((COLUMN(B1248)-1)/26,0)))&amp;CHAR(96+IF(MOD(COLUMN(B1248),26)=0,26,MOD(COLUMN(B1248),26))))),B1248)</f>
        <v>b1236</v>
      </c>
      <c r="C1249" s="899" t="str">
        <f>CONCATENATE(IF(COLUMN(C1247)&lt;=26,CHAR(96+COLUMN(C1247)),(CHAR(96+(ROUNDDOWN((COLUMN(C1247)-1)/26,0)))&amp;CHAR(96+IF(MOD(COLUMN(C1247),26)=0,26,MOD(COLUMN(C1247),26))))),$B1248)</f>
        <v>c1236</v>
      </c>
      <c r="D1249" s="899" t="str">
        <f t="shared" ref="D1249" si="2857">CONCATENATE(IF(COLUMN(D1247)&lt;=26,CHAR(96+COLUMN(D1247)),(CHAR(96+(ROUNDDOWN((COLUMN(D1247)-1)/26,0)))&amp;CHAR(96+IF(MOD(COLUMN(D1247),26)=0,26,MOD(COLUMN(D1247),26))))),$B1248)</f>
        <v>d1236</v>
      </c>
      <c r="E1249" s="899" t="str">
        <f t="shared" ref="E1249" si="2858">CONCATENATE(IF(COLUMN(E1247)&lt;=26,CHAR(96+COLUMN(E1247)),(CHAR(96+(ROUNDDOWN((COLUMN(E1247)-1)/26,0)))&amp;CHAR(96+IF(MOD(COLUMN(E1247),26)=0,26,MOD(COLUMN(E1247),26))))),$B1248)</f>
        <v>e1236</v>
      </c>
      <c r="F1249" s="899" t="str">
        <f t="shared" ref="F1249" si="2859">CONCATENATE(IF(COLUMN(F1247)&lt;=26,CHAR(96+COLUMN(F1247)),(CHAR(96+(ROUNDDOWN((COLUMN(F1247)-1)/26,0)))&amp;CHAR(96+IF(MOD(COLUMN(F1247),26)=0,26,MOD(COLUMN(F1247),26))))),$B1248)</f>
        <v>f1236</v>
      </c>
      <c r="G1249" s="899" t="str">
        <f t="shared" ref="G1249" si="2860">CONCATENATE(IF(COLUMN(G1247)&lt;=26,CHAR(96+COLUMN(G1247)),(CHAR(96+(ROUNDDOWN((COLUMN(G1247)-1)/26,0)))&amp;CHAR(96+IF(MOD(COLUMN(G1247),26)=0,26,MOD(COLUMN(G1247),26))))),$B1248)</f>
        <v>g1236</v>
      </c>
      <c r="H1249" s="899" t="str">
        <f t="shared" ref="H1249" si="2861">CONCATENATE(IF(COLUMN(H1247)&lt;=26,CHAR(96+COLUMN(H1247)),(CHAR(96+(ROUNDDOWN((COLUMN(H1247)-1)/26,0)))&amp;CHAR(96+IF(MOD(COLUMN(H1247),26)=0,26,MOD(COLUMN(H1247),26))))),$B1248)</f>
        <v>h1236</v>
      </c>
      <c r="I1249" s="899" t="str">
        <f t="shared" ref="I1249" si="2862">CONCATENATE(IF(COLUMN(I1247)&lt;=26,CHAR(96+COLUMN(I1247)),(CHAR(96+(ROUNDDOWN((COLUMN(I1247)-1)/26,0)))&amp;CHAR(96+IF(MOD(COLUMN(I1247),26)=0,26,MOD(COLUMN(I1247),26))))),$B1248)</f>
        <v>i1236</v>
      </c>
      <c r="J1249" s="899" t="str">
        <f t="shared" ref="J1249" si="2863">CONCATENATE(IF(COLUMN(J1247)&lt;=26,CHAR(96+COLUMN(J1247)),(CHAR(96+(ROUNDDOWN((COLUMN(J1247)-1)/26,0)))&amp;CHAR(96+IF(MOD(COLUMN(J1247),26)=0,26,MOD(COLUMN(J1247),26))))),$B1248)</f>
        <v>j1236</v>
      </c>
      <c r="K1249" s="899" t="str">
        <f t="shared" ref="K1249" si="2864">CONCATENATE(IF(COLUMN(K1247)&lt;=26,CHAR(96+COLUMN(K1247)),(CHAR(96+(ROUNDDOWN((COLUMN(K1247)-1)/26,0)))&amp;CHAR(96+IF(MOD(COLUMN(K1247),26)=0,26,MOD(COLUMN(K1247),26))))),$B1248)</f>
        <v>k1236</v>
      </c>
      <c r="L1249" s="899" t="str">
        <f t="shared" ref="L1249" si="2865">CONCATENATE(IF(COLUMN(L1247)&lt;=26,CHAR(96+COLUMN(L1247)),(CHAR(96+(ROUNDDOWN((COLUMN(L1247)-1)/26,0)))&amp;CHAR(96+IF(MOD(COLUMN(L1247),26)=0,26,MOD(COLUMN(L1247),26))))),$B1248)</f>
        <v>l1236</v>
      </c>
      <c r="U1249" s="663"/>
      <c r="Z1249" s="663"/>
      <c r="AA1249" s="663"/>
      <c r="AB1249" s="663"/>
      <c r="AC1249" s="663"/>
      <c r="AD1249" s="663"/>
      <c r="AE1249" s="663"/>
      <c r="AF1249" s="663"/>
      <c r="AG1249" s="663"/>
      <c r="AH1249" s="663"/>
      <c r="AI1249" s="663"/>
      <c r="AJ1249" s="663"/>
      <c r="AK1249" s="663"/>
      <c r="AL1249" s="663"/>
      <c r="AM1249" s="663"/>
      <c r="AN1249" s="663"/>
    </row>
    <row r="1250" spans="2:40" ht="14.45" hidden="1" customHeight="1" x14ac:dyDescent="0.25">
      <c r="C1250" s="662"/>
      <c r="U1250" s="663"/>
      <c r="Z1250" s="663"/>
      <c r="AA1250" s="663"/>
      <c r="AB1250" s="663"/>
      <c r="AC1250" s="663"/>
      <c r="AD1250" s="663"/>
      <c r="AE1250" s="663"/>
      <c r="AF1250" s="663"/>
      <c r="AG1250" s="663"/>
      <c r="AH1250" s="663"/>
      <c r="AI1250" s="663"/>
      <c r="AJ1250" s="663"/>
      <c r="AK1250" s="663"/>
      <c r="AL1250" s="663"/>
      <c r="AM1250" s="663"/>
      <c r="AN1250" s="663"/>
    </row>
    <row r="1251" spans="2:40" ht="14.45" hidden="1" customHeight="1" x14ac:dyDescent="0.25">
      <c r="C1251" s="662"/>
      <c r="U1251" s="663"/>
      <c r="Z1251" s="663"/>
      <c r="AA1251" s="663"/>
      <c r="AB1251" s="663"/>
      <c r="AC1251" s="663"/>
      <c r="AD1251" s="663"/>
      <c r="AE1251" s="663"/>
      <c r="AF1251" s="663"/>
      <c r="AG1251" s="663"/>
      <c r="AH1251" s="663"/>
      <c r="AI1251" s="663"/>
      <c r="AJ1251" s="663"/>
      <c r="AK1251" s="663"/>
      <c r="AL1251" s="663"/>
      <c r="AM1251" s="663"/>
      <c r="AN1251" s="663"/>
    </row>
    <row r="1252" spans="2:40" ht="14.45" hidden="1" customHeight="1" x14ac:dyDescent="0.25">
      <c r="B1252" s="936">
        <f>B1236</f>
        <v>39113</v>
      </c>
      <c r="C1252" s="662">
        <f>C1236</f>
        <v>-1000000</v>
      </c>
      <c r="D1252" s="662">
        <f t="shared" ref="D1252:L1252" si="2866">D1236</f>
        <v>-1000000</v>
      </c>
      <c r="E1252" s="662">
        <f t="shared" si="2866"/>
        <v>-1000000</v>
      </c>
      <c r="F1252" s="662">
        <f t="shared" si="2866"/>
        <v>-1000000</v>
      </c>
      <c r="G1252" s="662">
        <f t="shared" si="2866"/>
        <v>-1000000</v>
      </c>
      <c r="H1252" s="662">
        <f t="shared" si="2866"/>
        <v>-1000000</v>
      </c>
      <c r="I1252" s="662">
        <f t="shared" si="2866"/>
        <v>-1000000</v>
      </c>
      <c r="J1252" s="662">
        <f t="shared" si="2866"/>
        <v>-1000000</v>
      </c>
      <c r="K1252" s="662">
        <f t="shared" si="2866"/>
        <v>-1000000</v>
      </c>
      <c r="L1252" s="662">
        <f t="shared" si="2866"/>
        <v>-1000000</v>
      </c>
      <c r="U1252" s="663"/>
      <c r="Z1252" s="663"/>
      <c r="AA1252" s="663"/>
      <c r="AB1252" s="663"/>
      <c r="AC1252" s="663"/>
      <c r="AD1252" s="663"/>
      <c r="AE1252" s="663"/>
      <c r="AF1252" s="663"/>
      <c r="AG1252" s="663"/>
      <c r="AH1252" s="663"/>
      <c r="AI1252" s="663"/>
      <c r="AJ1252" s="663"/>
      <c r="AK1252" s="663"/>
      <c r="AL1252" s="663"/>
      <c r="AM1252" s="663"/>
      <c r="AN1252" s="663"/>
    </row>
    <row r="1253" spans="2:40" ht="14.45" hidden="1" customHeight="1" x14ac:dyDescent="0.25">
      <c r="B1253" s="936">
        <f t="shared" ref="B1253:L1253" si="2867">B1237</f>
        <v>39478</v>
      </c>
      <c r="C1253" s="662">
        <f t="shared" si="2867"/>
        <v>-2000000</v>
      </c>
      <c r="D1253" s="662">
        <f t="shared" si="2867"/>
        <v>-2000000</v>
      </c>
      <c r="E1253" s="662">
        <f t="shared" si="2867"/>
        <v>-2000000</v>
      </c>
      <c r="F1253" s="662">
        <f t="shared" si="2867"/>
        <v>-2000000</v>
      </c>
      <c r="G1253" s="662">
        <f t="shared" si="2867"/>
        <v>-2000000</v>
      </c>
      <c r="H1253" s="662">
        <f t="shared" si="2867"/>
        <v>-2000000</v>
      </c>
      <c r="I1253" s="662">
        <f t="shared" si="2867"/>
        <v>-2000000</v>
      </c>
      <c r="J1253" s="662">
        <f t="shared" si="2867"/>
        <v>-2000000</v>
      </c>
      <c r="K1253" s="662">
        <f t="shared" si="2867"/>
        <v>-2000000</v>
      </c>
      <c r="L1253" s="662">
        <f t="shared" si="2867"/>
        <v>-2000000</v>
      </c>
      <c r="U1253" s="663"/>
      <c r="Z1253" s="663"/>
      <c r="AA1253" s="663"/>
      <c r="AB1253" s="663"/>
      <c r="AC1253" s="663"/>
      <c r="AD1253" s="663"/>
      <c r="AE1253" s="663"/>
      <c r="AF1253" s="663"/>
      <c r="AG1253" s="663"/>
      <c r="AH1253" s="663"/>
      <c r="AI1253" s="663"/>
      <c r="AJ1253" s="663"/>
      <c r="AK1253" s="663"/>
      <c r="AL1253" s="663"/>
      <c r="AM1253" s="663"/>
      <c r="AN1253" s="663"/>
    </row>
    <row r="1254" spans="2:40" ht="14.45" hidden="1" customHeight="1" x14ac:dyDescent="0.25">
      <c r="B1254" s="936">
        <f t="shared" ref="B1254:L1254" si="2868">B1238</f>
        <v>39843</v>
      </c>
      <c r="C1254" s="662">
        <f t="shared" si="2868"/>
        <v>-2500000</v>
      </c>
      <c r="D1254" s="662">
        <f t="shared" si="2868"/>
        <v>-2500000</v>
      </c>
      <c r="E1254" s="662">
        <f t="shared" si="2868"/>
        <v>-2500000</v>
      </c>
      <c r="F1254" s="662">
        <f t="shared" si="2868"/>
        <v>-2500000</v>
      </c>
      <c r="G1254" s="662">
        <f t="shared" si="2868"/>
        <v>-2500000</v>
      </c>
      <c r="H1254" s="662">
        <f t="shared" si="2868"/>
        <v>-2500000</v>
      </c>
      <c r="I1254" s="662">
        <f t="shared" si="2868"/>
        <v>-2500000</v>
      </c>
      <c r="J1254" s="662">
        <f t="shared" si="2868"/>
        <v>-2500000</v>
      </c>
      <c r="K1254" s="662">
        <f t="shared" si="2868"/>
        <v>-2500000</v>
      </c>
      <c r="L1254" s="662">
        <f t="shared" si="2868"/>
        <v>-2500000</v>
      </c>
      <c r="U1254" s="663"/>
      <c r="Z1254" s="663"/>
      <c r="AA1254" s="663"/>
      <c r="AB1254" s="663"/>
      <c r="AC1254" s="663"/>
      <c r="AD1254" s="663"/>
      <c r="AE1254" s="663"/>
      <c r="AF1254" s="663"/>
      <c r="AG1254" s="663"/>
      <c r="AH1254" s="663"/>
      <c r="AI1254" s="663"/>
      <c r="AJ1254" s="663"/>
      <c r="AK1254" s="663"/>
      <c r="AL1254" s="663"/>
      <c r="AM1254" s="663"/>
      <c r="AN1254" s="663"/>
    </row>
    <row r="1255" spans="2:40" ht="14.45" hidden="1" customHeight="1" x14ac:dyDescent="0.25">
      <c r="B1255" s="936">
        <f t="shared" ref="B1255:L1255" si="2869">B1239</f>
        <v>39843</v>
      </c>
      <c r="C1255" s="662">
        <f t="shared" si="2869"/>
        <v>0</v>
      </c>
      <c r="D1255" s="662">
        <f t="shared" si="2869"/>
        <v>0</v>
      </c>
      <c r="E1255" s="662">
        <f t="shared" si="2869"/>
        <v>0</v>
      </c>
      <c r="F1255" s="662">
        <f t="shared" si="2869"/>
        <v>0</v>
      </c>
      <c r="G1255" s="662">
        <f t="shared" si="2869"/>
        <v>0</v>
      </c>
      <c r="H1255" s="662">
        <f t="shared" si="2869"/>
        <v>0</v>
      </c>
      <c r="I1255" s="662">
        <f t="shared" si="2869"/>
        <v>0</v>
      </c>
      <c r="J1255" s="662">
        <f t="shared" si="2869"/>
        <v>0</v>
      </c>
      <c r="K1255" s="662">
        <f t="shared" si="2869"/>
        <v>0</v>
      </c>
      <c r="L1255" s="662">
        <f t="shared" si="2869"/>
        <v>0</v>
      </c>
      <c r="U1255" s="663"/>
      <c r="Z1255" s="663"/>
      <c r="AA1255" s="663"/>
      <c r="AB1255" s="663"/>
      <c r="AC1255" s="663"/>
      <c r="AD1255" s="663"/>
      <c r="AE1255" s="663"/>
      <c r="AF1255" s="663"/>
      <c r="AG1255" s="663"/>
      <c r="AH1255" s="663"/>
      <c r="AI1255" s="663"/>
      <c r="AJ1255" s="663"/>
      <c r="AK1255" s="663"/>
      <c r="AL1255" s="663"/>
      <c r="AM1255" s="663"/>
      <c r="AN1255" s="663"/>
    </row>
    <row r="1256" spans="2:40" ht="14.45" hidden="1" customHeight="1" x14ac:dyDescent="0.25">
      <c r="B1256" s="936">
        <f t="shared" ref="B1256:L1256" si="2870">B1240</f>
        <v>39843</v>
      </c>
      <c r="C1256" s="662">
        <f t="shared" si="2870"/>
        <v>0</v>
      </c>
      <c r="D1256" s="662">
        <f t="shared" si="2870"/>
        <v>0</v>
      </c>
      <c r="E1256" s="662">
        <f t="shared" si="2870"/>
        <v>0</v>
      </c>
      <c r="F1256" s="662">
        <f t="shared" si="2870"/>
        <v>0</v>
      </c>
      <c r="G1256" s="662">
        <f t="shared" si="2870"/>
        <v>0</v>
      </c>
      <c r="H1256" s="662">
        <f t="shared" si="2870"/>
        <v>0</v>
      </c>
      <c r="I1256" s="662">
        <f t="shared" si="2870"/>
        <v>0</v>
      </c>
      <c r="J1256" s="662">
        <f t="shared" si="2870"/>
        <v>0</v>
      </c>
      <c r="K1256" s="662">
        <f t="shared" si="2870"/>
        <v>0</v>
      </c>
      <c r="L1256" s="662">
        <f t="shared" si="2870"/>
        <v>0</v>
      </c>
      <c r="U1256" s="663"/>
      <c r="Z1256" s="663"/>
      <c r="AA1256" s="663"/>
      <c r="AB1256" s="663"/>
      <c r="AC1256" s="663"/>
      <c r="AD1256" s="663"/>
      <c r="AE1256" s="663"/>
      <c r="AF1256" s="663"/>
      <c r="AG1256" s="663"/>
      <c r="AH1256" s="663"/>
      <c r="AI1256" s="663"/>
      <c r="AJ1256" s="663"/>
      <c r="AK1256" s="663"/>
      <c r="AL1256" s="663"/>
      <c r="AM1256" s="663"/>
      <c r="AN1256" s="663"/>
    </row>
    <row r="1257" spans="2:40" ht="14.45" hidden="1" customHeight="1" x14ac:dyDescent="0.25">
      <c r="B1257" s="936">
        <f t="shared" ref="B1257:L1257" si="2871">B1241</f>
        <v>39843</v>
      </c>
      <c r="C1257" s="662">
        <f t="shared" si="2871"/>
        <v>0</v>
      </c>
      <c r="D1257" s="662">
        <f t="shared" si="2871"/>
        <v>0</v>
      </c>
      <c r="E1257" s="662">
        <f t="shared" si="2871"/>
        <v>0</v>
      </c>
      <c r="F1257" s="662">
        <f t="shared" si="2871"/>
        <v>0</v>
      </c>
      <c r="G1257" s="662">
        <f t="shared" si="2871"/>
        <v>0</v>
      </c>
      <c r="H1257" s="662">
        <f t="shared" si="2871"/>
        <v>0</v>
      </c>
      <c r="I1257" s="662">
        <f t="shared" si="2871"/>
        <v>0</v>
      </c>
      <c r="J1257" s="662">
        <f t="shared" si="2871"/>
        <v>0</v>
      </c>
      <c r="K1257" s="662">
        <f t="shared" si="2871"/>
        <v>0</v>
      </c>
      <c r="L1257" s="662">
        <f t="shared" si="2871"/>
        <v>0</v>
      </c>
      <c r="U1257" s="663"/>
      <c r="Z1257" s="663"/>
      <c r="AA1257" s="663"/>
      <c r="AB1257" s="663"/>
      <c r="AC1257" s="663"/>
      <c r="AD1257" s="663"/>
      <c r="AE1257" s="663"/>
      <c r="AF1257" s="663"/>
      <c r="AG1257" s="663"/>
      <c r="AH1257" s="663"/>
      <c r="AI1257" s="663"/>
      <c r="AJ1257" s="663"/>
      <c r="AK1257" s="663"/>
      <c r="AL1257" s="663"/>
      <c r="AM1257" s="663"/>
      <c r="AN1257" s="663"/>
    </row>
    <row r="1258" spans="2:40" ht="14.45" hidden="1" customHeight="1" x14ac:dyDescent="0.25">
      <c r="B1258" s="936">
        <f t="shared" ref="B1258:L1258" si="2872">B1242</f>
        <v>39843</v>
      </c>
      <c r="C1258" s="662">
        <f t="shared" si="2872"/>
        <v>0</v>
      </c>
      <c r="D1258" s="662">
        <f t="shared" si="2872"/>
        <v>0</v>
      </c>
      <c r="E1258" s="662">
        <f t="shared" si="2872"/>
        <v>0</v>
      </c>
      <c r="F1258" s="662">
        <f t="shared" si="2872"/>
        <v>0</v>
      </c>
      <c r="G1258" s="662">
        <f t="shared" si="2872"/>
        <v>0</v>
      </c>
      <c r="H1258" s="662">
        <f t="shared" si="2872"/>
        <v>0</v>
      </c>
      <c r="I1258" s="662">
        <f t="shared" si="2872"/>
        <v>0</v>
      </c>
      <c r="J1258" s="662">
        <f t="shared" si="2872"/>
        <v>0</v>
      </c>
      <c r="K1258" s="662">
        <f t="shared" si="2872"/>
        <v>0</v>
      </c>
      <c r="L1258" s="662">
        <f t="shared" si="2872"/>
        <v>0</v>
      </c>
      <c r="U1258" s="663"/>
      <c r="Z1258" s="663"/>
      <c r="AA1258" s="663"/>
      <c r="AB1258" s="663"/>
      <c r="AC1258" s="663"/>
      <c r="AD1258" s="663"/>
      <c r="AE1258" s="663"/>
      <c r="AF1258" s="663"/>
      <c r="AG1258" s="663"/>
      <c r="AH1258" s="663"/>
      <c r="AI1258" s="663"/>
      <c r="AJ1258" s="663"/>
      <c r="AK1258" s="663"/>
      <c r="AL1258" s="663"/>
      <c r="AM1258" s="663"/>
      <c r="AN1258" s="663"/>
    </row>
    <row r="1259" spans="2:40" ht="14.45" hidden="1" customHeight="1" x14ac:dyDescent="0.25">
      <c r="B1259" s="936">
        <f t="shared" ref="B1259:L1259" si="2873">B1243</f>
        <v>39843</v>
      </c>
      <c r="C1259" s="662">
        <f t="shared" si="2873"/>
        <v>0</v>
      </c>
      <c r="D1259" s="662">
        <f t="shared" si="2873"/>
        <v>0</v>
      </c>
      <c r="E1259" s="662">
        <f t="shared" si="2873"/>
        <v>0</v>
      </c>
      <c r="F1259" s="662">
        <f t="shared" si="2873"/>
        <v>0</v>
      </c>
      <c r="G1259" s="662">
        <f t="shared" si="2873"/>
        <v>0</v>
      </c>
      <c r="H1259" s="662">
        <f t="shared" si="2873"/>
        <v>0</v>
      </c>
      <c r="I1259" s="662">
        <f t="shared" si="2873"/>
        <v>0</v>
      </c>
      <c r="J1259" s="662">
        <f t="shared" si="2873"/>
        <v>0</v>
      </c>
      <c r="K1259" s="662">
        <f t="shared" si="2873"/>
        <v>0</v>
      </c>
      <c r="L1259" s="662">
        <f t="shared" si="2873"/>
        <v>0</v>
      </c>
      <c r="U1259" s="663"/>
      <c r="Z1259" s="663"/>
      <c r="AA1259" s="663"/>
      <c r="AB1259" s="663"/>
      <c r="AC1259" s="663"/>
      <c r="AD1259" s="663"/>
      <c r="AE1259" s="663"/>
      <c r="AF1259" s="663"/>
      <c r="AG1259" s="663"/>
      <c r="AH1259" s="663"/>
      <c r="AI1259" s="663"/>
      <c r="AJ1259" s="663"/>
      <c r="AK1259" s="663"/>
      <c r="AL1259" s="663"/>
      <c r="AM1259" s="663"/>
      <c r="AN1259" s="663"/>
    </row>
    <row r="1260" spans="2:40" ht="14.45" hidden="1" customHeight="1" x14ac:dyDescent="0.25">
      <c r="B1260" s="936">
        <f t="shared" ref="B1260:L1260" si="2874">B1244</f>
        <v>39843</v>
      </c>
      <c r="C1260" s="662">
        <f t="shared" si="2874"/>
        <v>0</v>
      </c>
      <c r="D1260" s="662">
        <f t="shared" si="2874"/>
        <v>0</v>
      </c>
      <c r="E1260" s="662">
        <f t="shared" si="2874"/>
        <v>0</v>
      </c>
      <c r="F1260" s="662">
        <f t="shared" si="2874"/>
        <v>0</v>
      </c>
      <c r="G1260" s="662">
        <f t="shared" si="2874"/>
        <v>0</v>
      </c>
      <c r="H1260" s="662">
        <f t="shared" si="2874"/>
        <v>0</v>
      </c>
      <c r="I1260" s="662">
        <f t="shared" si="2874"/>
        <v>0</v>
      </c>
      <c r="J1260" s="662">
        <f t="shared" si="2874"/>
        <v>0</v>
      </c>
      <c r="K1260" s="662">
        <f t="shared" si="2874"/>
        <v>0</v>
      </c>
      <c r="L1260" s="662">
        <f t="shared" si="2874"/>
        <v>0</v>
      </c>
      <c r="U1260" s="663"/>
      <c r="Z1260" s="663"/>
      <c r="AA1260" s="663"/>
      <c r="AB1260" s="663"/>
      <c r="AC1260" s="663"/>
      <c r="AD1260" s="663"/>
      <c r="AE1260" s="663"/>
      <c r="AF1260" s="663"/>
      <c r="AG1260" s="663"/>
      <c r="AH1260" s="663"/>
      <c r="AI1260" s="663"/>
      <c r="AJ1260" s="663"/>
      <c r="AK1260" s="663"/>
      <c r="AL1260" s="663"/>
      <c r="AM1260" s="663"/>
      <c r="AN1260" s="663"/>
    </row>
    <row r="1261" spans="2:40" ht="14.45" hidden="1" customHeight="1" x14ac:dyDescent="0.25">
      <c r="B1261" s="936">
        <f t="shared" ref="B1261:L1261" si="2875">B1245</f>
        <v>39843</v>
      </c>
      <c r="C1261" s="662">
        <f t="shared" si="2875"/>
        <v>0</v>
      </c>
      <c r="D1261" s="662">
        <f t="shared" si="2875"/>
        <v>0</v>
      </c>
      <c r="E1261" s="662">
        <f t="shared" si="2875"/>
        <v>0</v>
      </c>
      <c r="F1261" s="662">
        <f t="shared" si="2875"/>
        <v>0</v>
      </c>
      <c r="G1261" s="662">
        <f t="shared" si="2875"/>
        <v>0</v>
      </c>
      <c r="H1261" s="662">
        <f t="shared" si="2875"/>
        <v>0</v>
      </c>
      <c r="I1261" s="662">
        <f t="shared" si="2875"/>
        <v>0</v>
      </c>
      <c r="J1261" s="662">
        <f t="shared" si="2875"/>
        <v>0</v>
      </c>
      <c r="K1261" s="662">
        <f t="shared" si="2875"/>
        <v>0</v>
      </c>
      <c r="L1261" s="662">
        <f t="shared" si="2875"/>
        <v>0</v>
      </c>
      <c r="U1261" s="663"/>
      <c r="Z1261" s="663"/>
      <c r="AA1261" s="663"/>
      <c r="AB1261" s="663"/>
      <c r="AC1261" s="663"/>
      <c r="AD1261" s="663"/>
      <c r="AE1261" s="663"/>
      <c r="AF1261" s="663"/>
      <c r="AG1261" s="663"/>
      <c r="AH1261" s="663"/>
      <c r="AI1261" s="663"/>
      <c r="AJ1261" s="663"/>
      <c r="AK1261" s="663"/>
      <c r="AL1261" s="663"/>
      <c r="AM1261" s="663"/>
      <c r="AN1261" s="663"/>
    </row>
    <row r="1262" spans="2:40" ht="14.45" hidden="1" customHeight="1" x14ac:dyDescent="0.25">
      <c r="B1262" s="936">
        <f>B1196</f>
        <v>41539</v>
      </c>
      <c r="C1262" s="662">
        <f t="shared" ref="C1262:L1262" si="2876">C1246</f>
        <v>2823795.1807228918</v>
      </c>
      <c r="D1262" s="662">
        <f t="shared" si="2876"/>
        <v>4235692.7710843375</v>
      </c>
      <c r="E1262" s="662">
        <f t="shared" si="2876"/>
        <v>5647590.3614457836</v>
      </c>
      <c r="F1262" s="662">
        <f t="shared" si="2876"/>
        <v>7059487.9518072288</v>
      </c>
      <c r="G1262" s="662">
        <f t="shared" si="2876"/>
        <v>8471385.542168675</v>
      </c>
      <c r="H1262" s="662">
        <f t="shared" si="2876"/>
        <v>9883283.1325301211</v>
      </c>
      <c r="I1262" s="662">
        <f t="shared" si="2876"/>
        <v>11295180.722891567</v>
      </c>
      <c r="J1262" s="662">
        <f t="shared" si="2876"/>
        <v>12707078.313253012</v>
      </c>
      <c r="K1262" s="662">
        <f t="shared" si="2876"/>
        <v>14118975.903614458</v>
      </c>
      <c r="L1262" s="662">
        <f t="shared" si="2876"/>
        <v>15530873.493975904</v>
      </c>
      <c r="U1262" s="663"/>
      <c r="Z1262" s="663"/>
      <c r="AA1262" s="663"/>
      <c r="AB1262" s="663"/>
      <c r="AC1262" s="663"/>
      <c r="AD1262" s="663"/>
      <c r="AE1262" s="663"/>
      <c r="AF1262" s="663"/>
      <c r="AG1262" s="663"/>
      <c r="AH1262" s="663"/>
      <c r="AI1262" s="663"/>
      <c r="AJ1262" s="663"/>
      <c r="AK1262" s="663"/>
      <c r="AL1262" s="663"/>
      <c r="AM1262" s="663"/>
      <c r="AN1262" s="663"/>
    </row>
    <row r="1263" spans="2:40" ht="14.45" hidden="1" customHeight="1" x14ac:dyDescent="0.25">
      <c r="C1263" s="882" t="str">
        <f ca="1">IF(ISERROR(XIRR(INDIRECT(C1265):C1262,INDIRECT($B1265):$B1262,-20%)),XIRR(INDIRECT(C1265):C1262,INDIRECT($B1265):$B1262,20%),"N/A")</f>
        <v>N/A</v>
      </c>
      <c r="D1263" s="882" t="str">
        <f ca="1">IF(ISERROR(XIRR(INDIRECT(D1265):D1262,INDIRECT($B1265):$B1262,-20%)),XIRR(INDIRECT(D1265):D1262,INDIRECT($B1265):$B1262,20%),"N/A")</f>
        <v>N/A</v>
      </c>
      <c r="E1263" s="882">
        <f ca="1">IF(ISERROR(XIRR(INDIRECT(E1265):E1262,INDIRECT($B1265):$B1262,-20%)),XIRR(INDIRECT(E1265):E1262,INDIRECT($B1265):$B1262,20%),"N/A")</f>
        <v>4.9386173486709595E-3</v>
      </c>
      <c r="F1263" s="882">
        <f ca="1">IF(ISERROR(XIRR(INDIRECT(F1265):F1262,INDIRECT($B1265):$B1262,-20%)),XIRR(INDIRECT(F1265):F1262,INDIRECT($B1265):$B1262,20%),"N/A")</f>
        <v>4.7429224848747245E-2</v>
      </c>
      <c r="G1263" s="882">
        <f ca="1">IF(ISERROR(XIRR(INDIRECT(G1265):G1262,INDIRECT($B1265):$B1262,-20%)),XIRR(INDIRECT(G1265):G1262,INDIRECT($B1265):$B1262,20%),"N/A")</f>
        <v>8.333158195018768E-2</v>
      </c>
      <c r="H1263" s="882">
        <f ca="1">IF(ISERROR(XIRR(INDIRECT(H1265):H1262,INDIRECT($B1265):$B1262,-20%)),XIRR(INDIRECT(H1265):H1262,INDIRECT($B1265):$B1262,20%),"N/A")</f>
        <v>0.1145401418209076</v>
      </c>
      <c r="I1263" s="882">
        <f ca="1">IF(ISERROR(XIRR(INDIRECT(I1265):I1262,INDIRECT($B1265):$B1262,-20%)),XIRR(INDIRECT(I1265):I1262,INDIRECT($B1265):$B1262,20%),"N/A")</f>
        <v>0.14222047924995429</v>
      </c>
      <c r="J1263" s="882">
        <f ca="1">IF(ISERROR(XIRR(INDIRECT(J1265):J1262,INDIRECT($B1265):$B1262,-20%)),XIRR(INDIRECT(J1265):J1262,INDIRECT($B1265):$B1262,20%),"N/A")</f>
        <v>0.16714377999305727</v>
      </c>
      <c r="K1263" s="882">
        <f ca="1">IF(ISERROR(XIRR(INDIRECT(K1265):K1262,INDIRECT($B1265):$B1262,-20%)),XIRR(INDIRECT(K1265):K1262,INDIRECT($B1265):$B1262,20%),"N/A")</f>
        <v>0.18984832167625423</v>
      </c>
      <c r="L1263" s="882">
        <f ca="1">IF(ISERROR(XIRR(INDIRECT(L1265):L1262,INDIRECT($B1265):$B1262,-20%)),XIRR(INDIRECT(L1265):L1262,INDIRECT($B1265):$B1262,20%),"N/A")</f>
        <v>0.21072551608085632</v>
      </c>
      <c r="U1263" s="663"/>
      <c r="Z1263" s="663"/>
      <c r="AA1263" s="663"/>
      <c r="AB1263" s="663"/>
      <c r="AC1263" s="663"/>
      <c r="AD1263" s="663"/>
      <c r="AE1263" s="663"/>
      <c r="AF1263" s="663"/>
      <c r="AG1263" s="663"/>
      <c r="AH1263" s="663"/>
      <c r="AI1263" s="663"/>
      <c r="AJ1263" s="663"/>
      <c r="AK1263" s="663"/>
      <c r="AL1263" s="663"/>
      <c r="AM1263" s="663"/>
      <c r="AN1263" s="663"/>
    </row>
    <row r="1264" spans="2:40" ht="14.45" hidden="1" customHeight="1" x14ac:dyDescent="0.25">
      <c r="B1264" s="898">
        <f>IF(C1252&lt;&gt;0,ROW(C1252),IF(C1253&lt;&gt;0,ROW(C1253),IF(C1254&lt;&gt;0,ROW(C1254),IF(C1255&lt;&gt;0,ROW(C1255),IF(C1256&lt;&gt;0,ROW(C1256),IF(C1257&lt;&gt;0,ROW(C1257),IF(C1258&lt;&gt;0,ROW(C1258),IF(C1259&lt;&gt;0,ROW(C1259),IF(C1260&lt;&gt;0,ROW(C1260),IF(C1261&lt;&gt;0,ROW(C1261)))))))))))</f>
        <v>1252</v>
      </c>
      <c r="C1264" s="882"/>
      <c r="U1264" s="663"/>
      <c r="Z1264" s="663"/>
      <c r="AA1264" s="663"/>
      <c r="AB1264" s="663"/>
      <c r="AC1264" s="663"/>
      <c r="AD1264" s="663"/>
      <c r="AE1264" s="663"/>
      <c r="AF1264" s="663"/>
      <c r="AG1264" s="663"/>
      <c r="AH1264" s="663"/>
      <c r="AI1264" s="663"/>
      <c r="AJ1264" s="663"/>
      <c r="AK1264" s="663"/>
      <c r="AL1264" s="663"/>
      <c r="AM1264" s="663"/>
      <c r="AN1264" s="663"/>
    </row>
    <row r="1265" spans="2:40" ht="14.45" hidden="1" customHeight="1" x14ac:dyDescent="0.25">
      <c r="B1265" s="899" t="str">
        <f>CONCATENATE(IF(COLUMN(B1264)&lt;=26,CHAR(96+COLUMN(B1264)),(CHAR(96+(ROUNDDOWN((COLUMN(B1264)-1)/26,0)))&amp;CHAR(96+IF(MOD(COLUMN(B1264),26)=0,26,MOD(COLUMN(B1264),26))))),B1264)</f>
        <v>b1252</v>
      </c>
      <c r="C1265" s="899" t="str">
        <f>CONCATENATE(IF(COLUMN(C1263)&lt;=26,CHAR(96+COLUMN(C1263)),(CHAR(96+(ROUNDDOWN((COLUMN(C1263)-1)/26,0)))&amp;CHAR(96+IF(MOD(COLUMN(C1263),26)=0,26,MOD(COLUMN(C1263),26))))),$B1264)</f>
        <v>c1252</v>
      </c>
      <c r="D1265" s="899" t="str">
        <f t="shared" ref="D1265" si="2877">CONCATENATE(IF(COLUMN(D1263)&lt;=26,CHAR(96+COLUMN(D1263)),(CHAR(96+(ROUNDDOWN((COLUMN(D1263)-1)/26,0)))&amp;CHAR(96+IF(MOD(COLUMN(D1263),26)=0,26,MOD(COLUMN(D1263),26))))),$B1264)</f>
        <v>d1252</v>
      </c>
      <c r="E1265" s="899" t="str">
        <f t="shared" ref="E1265" si="2878">CONCATENATE(IF(COLUMN(E1263)&lt;=26,CHAR(96+COLUMN(E1263)),(CHAR(96+(ROUNDDOWN((COLUMN(E1263)-1)/26,0)))&amp;CHAR(96+IF(MOD(COLUMN(E1263),26)=0,26,MOD(COLUMN(E1263),26))))),$B1264)</f>
        <v>e1252</v>
      </c>
      <c r="F1265" s="899" t="str">
        <f t="shared" ref="F1265" si="2879">CONCATENATE(IF(COLUMN(F1263)&lt;=26,CHAR(96+COLUMN(F1263)),(CHAR(96+(ROUNDDOWN((COLUMN(F1263)-1)/26,0)))&amp;CHAR(96+IF(MOD(COLUMN(F1263),26)=0,26,MOD(COLUMN(F1263),26))))),$B1264)</f>
        <v>f1252</v>
      </c>
      <c r="G1265" s="899" t="str">
        <f t="shared" ref="G1265" si="2880">CONCATENATE(IF(COLUMN(G1263)&lt;=26,CHAR(96+COLUMN(G1263)),(CHAR(96+(ROUNDDOWN((COLUMN(G1263)-1)/26,0)))&amp;CHAR(96+IF(MOD(COLUMN(G1263),26)=0,26,MOD(COLUMN(G1263),26))))),$B1264)</f>
        <v>g1252</v>
      </c>
      <c r="H1265" s="899" t="str">
        <f t="shared" ref="H1265" si="2881">CONCATENATE(IF(COLUMN(H1263)&lt;=26,CHAR(96+COLUMN(H1263)),(CHAR(96+(ROUNDDOWN((COLUMN(H1263)-1)/26,0)))&amp;CHAR(96+IF(MOD(COLUMN(H1263),26)=0,26,MOD(COLUMN(H1263),26))))),$B1264)</f>
        <v>h1252</v>
      </c>
      <c r="I1265" s="899" t="str">
        <f t="shared" ref="I1265" si="2882">CONCATENATE(IF(COLUMN(I1263)&lt;=26,CHAR(96+COLUMN(I1263)),(CHAR(96+(ROUNDDOWN((COLUMN(I1263)-1)/26,0)))&amp;CHAR(96+IF(MOD(COLUMN(I1263),26)=0,26,MOD(COLUMN(I1263),26))))),$B1264)</f>
        <v>i1252</v>
      </c>
      <c r="J1265" s="899" t="str">
        <f t="shared" ref="J1265" si="2883">CONCATENATE(IF(COLUMN(J1263)&lt;=26,CHAR(96+COLUMN(J1263)),(CHAR(96+(ROUNDDOWN((COLUMN(J1263)-1)/26,0)))&amp;CHAR(96+IF(MOD(COLUMN(J1263),26)=0,26,MOD(COLUMN(J1263),26))))),$B1264)</f>
        <v>j1252</v>
      </c>
      <c r="K1265" s="899" t="str">
        <f t="shared" ref="K1265" si="2884">CONCATENATE(IF(COLUMN(K1263)&lt;=26,CHAR(96+COLUMN(K1263)),(CHAR(96+(ROUNDDOWN((COLUMN(K1263)-1)/26,0)))&amp;CHAR(96+IF(MOD(COLUMN(K1263),26)=0,26,MOD(COLUMN(K1263),26))))),$B1264)</f>
        <v>k1252</v>
      </c>
      <c r="L1265" s="899" t="str">
        <f t="shared" ref="L1265" si="2885">CONCATENATE(IF(COLUMN(L1263)&lt;=26,CHAR(96+COLUMN(L1263)),(CHAR(96+(ROUNDDOWN((COLUMN(L1263)-1)/26,0)))&amp;CHAR(96+IF(MOD(COLUMN(L1263),26)=0,26,MOD(COLUMN(L1263),26))))),$B1264)</f>
        <v>l1252</v>
      </c>
      <c r="U1265" s="663"/>
      <c r="Z1265" s="663"/>
      <c r="AA1265" s="663"/>
      <c r="AB1265" s="663"/>
      <c r="AC1265" s="663"/>
      <c r="AD1265" s="663"/>
      <c r="AE1265" s="663"/>
      <c r="AF1265" s="663"/>
      <c r="AG1265" s="663"/>
      <c r="AH1265" s="663"/>
      <c r="AI1265" s="663"/>
      <c r="AJ1265" s="663"/>
      <c r="AK1265" s="663"/>
      <c r="AL1265" s="663"/>
      <c r="AM1265" s="663"/>
      <c r="AN1265" s="663"/>
    </row>
    <row r="1266" spans="2:40" ht="14.45" hidden="1" customHeight="1" x14ac:dyDescent="0.25">
      <c r="C1266" s="662"/>
      <c r="U1266" s="663"/>
      <c r="Z1266" s="663"/>
      <c r="AA1266" s="663"/>
      <c r="AB1266" s="663"/>
      <c r="AC1266" s="663"/>
      <c r="AD1266" s="663"/>
      <c r="AE1266" s="663"/>
      <c r="AF1266" s="663"/>
      <c r="AG1266" s="663"/>
      <c r="AH1266" s="663"/>
      <c r="AI1266" s="663"/>
      <c r="AJ1266" s="663"/>
      <c r="AK1266" s="663"/>
      <c r="AL1266" s="663"/>
      <c r="AM1266" s="663"/>
      <c r="AN1266" s="663"/>
    </row>
    <row r="1267" spans="2:40" ht="14.45" hidden="1" customHeight="1" x14ac:dyDescent="0.25">
      <c r="C1267" s="662"/>
      <c r="U1267" s="663"/>
      <c r="Z1267" s="663"/>
      <c r="AA1267" s="663"/>
      <c r="AB1267" s="663"/>
      <c r="AC1267" s="663"/>
      <c r="AD1267" s="663"/>
      <c r="AE1267" s="663"/>
      <c r="AF1267" s="663"/>
      <c r="AG1267" s="663"/>
      <c r="AH1267" s="663"/>
      <c r="AI1267" s="663"/>
      <c r="AJ1267" s="663"/>
      <c r="AK1267" s="663"/>
      <c r="AL1267" s="663"/>
      <c r="AM1267" s="663"/>
      <c r="AN1267" s="663"/>
    </row>
    <row r="1268" spans="2:40" ht="14.45" hidden="1" customHeight="1" x14ac:dyDescent="0.25">
      <c r="B1268" s="936">
        <f>B1252</f>
        <v>39113</v>
      </c>
      <c r="C1268" s="662">
        <f>C1252</f>
        <v>-1000000</v>
      </c>
      <c r="D1268" s="662">
        <f t="shared" ref="D1268:L1268" si="2886">D1252</f>
        <v>-1000000</v>
      </c>
      <c r="E1268" s="662">
        <f t="shared" si="2886"/>
        <v>-1000000</v>
      </c>
      <c r="F1268" s="662">
        <f t="shared" si="2886"/>
        <v>-1000000</v>
      </c>
      <c r="G1268" s="662">
        <f t="shared" si="2886"/>
        <v>-1000000</v>
      </c>
      <c r="H1268" s="662">
        <f t="shared" si="2886"/>
        <v>-1000000</v>
      </c>
      <c r="I1268" s="662">
        <f t="shared" si="2886"/>
        <v>-1000000</v>
      </c>
      <c r="J1268" s="662">
        <f t="shared" si="2886"/>
        <v>-1000000</v>
      </c>
      <c r="K1268" s="662">
        <f t="shared" si="2886"/>
        <v>-1000000</v>
      </c>
      <c r="L1268" s="662">
        <f t="shared" si="2886"/>
        <v>-1000000</v>
      </c>
      <c r="U1268" s="663"/>
      <c r="Z1268" s="663"/>
      <c r="AA1268" s="663"/>
      <c r="AB1268" s="663"/>
      <c r="AC1268" s="663"/>
      <c r="AD1268" s="663"/>
      <c r="AE1268" s="663"/>
      <c r="AF1268" s="663"/>
      <c r="AG1268" s="663"/>
      <c r="AH1268" s="663"/>
      <c r="AI1268" s="663"/>
      <c r="AJ1268" s="663"/>
      <c r="AK1268" s="663"/>
      <c r="AL1268" s="663"/>
      <c r="AM1268" s="663"/>
      <c r="AN1268" s="663"/>
    </row>
    <row r="1269" spans="2:40" ht="14.45" hidden="1" customHeight="1" x14ac:dyDescent="0.25">
      <c r="B1269" s="936">
        <f t="shared" ref="B1269:L1269" si="2887">B1253</f>
        <v>39478</v>
      </c>
      <c r="C1269" s="662">
        <f t="shared" si="2887"/>
        <v>-2000000</v>
      </c>
      <c r="D1269" s="662">
        <f t="shared" si="2887"/>
        <v>-2000000</v>
      </c>
      <c r="E1269" s="662">
        <f t="shared" si="2887"/>
        <v>-2000000</v>
      </c>
      <c r="F1269" s="662">
        <f t="shared" si="2887"/>
        <v>-2000000</v>
      </c>
      <c r="G1269" s="662">
        <f t="shared" si="2887"/>
        <v>-2000000</v>
      </c>
      <c r="H1269" s="662">
        <f t="shared" si="2887"/>
        <v>-2000000</v>
      </c>
      <c r="I1269" s="662">
        <f t="shared" si="2887"/>
        <v>-2000000</v>
      </c>
      <c r="J1269" s="662">
        <f t="shared" si="2887"/>
        <v>-2000000</v>
      </c>
      <c r="K1269" s="662">
        <f t="shared" si="2887"/>
        <v>-2000000</v>
      </c>
      <c r="L1269" s="662">
        <f t="shared" si="2887"/>
        <v>-2000000</v>
      </c>
      <c r="U1269" s="663"/>
      <c r="Z1269" s="663"/>
      <c r="AA1269" s="663"/>
      <c r="AB1269" s="663"/>
      <c r="AC1269" s="663"/>
      <c r="AD1269" s="663"/>
      <c r="AE1269" s="663"/>
      <c r="AF1269" s="663"/>
      <c r="AG1269" s="663"/>
      <c r="AH1269" s="663"/>
      <c r="AI1269" s="663"/>
      <c r="AJ1269" s="663"/>
      <c r="AK1269" s="663"/>
      <c r="AL1269" s="663"/>
      <c r="AM1269" s="663"/>
      <c r="AN1269" s="663"/>
    </row>
    <row r="1270" spans="2:40" ht="14.45" hidden="1" customHeight="1" x14ac:dyDescent="0.25">
      <c r="B1270" s="936">
        <f t="shared" ref="B1270:L1270" si="2888">B1254</f>
        <v>39843</v>
      </c>
      <c r="C1270" s="662">
        <f t="shared" si="2888"/>
        <v>-2500000</v>
      </c>
      <c r="D1270" s="662">
        <f t="shared" si="2888"/>
        <v>-2500000</v>
      </c>
      <c r="E1270" s="662">
        <f t="shared" si="2888"/>
        <v>-2500000</v>
      </c>
      <c r="F1270" s="662">
        <f t="shared" si="2888"/>
        <v>-2500000</v>
      </c>
      <c r="G1270" s="662">
        <f t="shared" si="2888"/>
        <v>-2500000</v>
      </c>
      <c r="H1270" s="662">
        <f t="shared" si="2888"/>
        <v>-2500000</v>
      </c>
      <c r="I1270" s="662">
        <f t="shared" si="2888"/>
        <v>-2500000</v>
      </c>
      <c r="J1270" s="662">
        <f t="shared" si="2888"/>
        <v>-2500000</v>
      </c>
      <c r="K1270" s="662">
        <f t="shared" si="2888"/>
        <v>-2500000</v>
      </c>
      <c r="L1270" s="662">
        <f t="shared" si="2888"/>
        <v>-2500000</v>
      </c>
      <c r="U1270" s="663"/>
      <c r="Z1270" s="663"/>
      <c r="AA1270" s="663"/>
      <c r="AB1270" s="663"/>
      <c r="AC1270" s="663"/>
      <c r="AD1270" s="663"/>
      <c r="AE1270" s="663"/>
      <c r="AF1270" s="663"/>
      <c r="AG1270" s="663"/>
      <c r="AH1270" s="663"/>
      <c r="AI1270" s="663"/>
      <c r="AJ1270" s="663"/>
      <c r="AK1270" s="663"/>
      <c r="AL1270" s="663"/>
      <c r="AM1270" s="663"/>
      <c r="AN1270" s="663"/>
    </row>
    <row r="1271" spans="2:40" ht="14.45" hidden="1" customHeight="1" x14ac:dyDescent="0.25">
      <c r="B1271" s="936">
        <f t="shared" ref="B1271:L1271" si="2889">B1255</f>
        <v>39843</v>
      </c>
      <c r="C1271" s="662">
        <f t="shared" si="2889"/>
        <v>0</v>
      </c>
      <c r="D1271" s="662">
        <f t="shared" si="2889"/>
        <v>0</v>
      </c>
      <c r="E1271" s="662">
        <f t="shared" si="2889"/>
        <v>0</v>
      </c>
      <c r="F1271" s="662">
        <f t="shared" si="2889"/>
        <v>0</v>
      </c>
      <c r="G1271" s="662">
        <f t="shared" si="2889"/>
        <v>0</v>
      </c>
      <c r="H1271" s="662">
        <f t="shared" si="2889"/>
        <v>0</v>
      </c>
      <c r="I1271" s="662">
        <f t="shared" si="2889"/>
        <v>0</v>
      </c>
      <c r="J1271" s="662">
        <f t="shared" si="2889"/>
        <v>0</v>
      </c>
      <c r="K1271" s="662">
        <f t="shared" si="2889"/>
        <v>0</v>
      </c>
      <c r="L1271" s="662">
        <f t="shared" si="2889"/>
        <v>0</v>
      </c>
      <c r="U1271" s="663"/>
      <c r="Z1271" s="663"/>
      <c r="AA1271" s="663"/>
      <c r="AB1271" s="663"/>
      <c r="AC1271" s="663"/>
      <c r="AD1271" s="663"/>
      <c r="AE1271" s="663"/>
      <c r="AF1271" s="663"/>
      <c r="AG1271" s="663"/>
      <c r="AH1271" s="663"/>
      <c r="AI1271" s="663"/>
      <c r="AJ1271" s="663"/>
      <c r="AK1271" s="663"/>
      <c r="AL1271" s="663"/>
      <c r="AM1271" s="663"/>
      <c r="AN1271" s="663"/>
    </row>
    <row r="1272" spans="2:40" ht="14.45" hidden="1" customHeight="1" x14ac:dyDescent="0.25">
      <c r="B1272" s="936">
        <f t="shared" ref="B1272:L1272" si="2890">B1256</f>
        <v>39843</v>
      </c>
      <c r="C1272" s="662">
        <f t="shared" si="2890"/>
        <v>0</v>
      </c>
      <c r="D1272" s="662">
        <f t="shared" si="2890"/>
        <v>0</v>
      </c>
      <c r="E1272" s="662">
        <f t="shared" si="2890"/>
        <v>0</v>
      </c>
      <c r="F1272" s="662">
        <f t="shared" si="2890"/>
        <v>0</v>
      </c>
      <c r="G1272" s="662">
        <f t="shared" si="2890"/>
        <v>0</v>
      </c>
      <c r="H1272" s="662">
        <f t="shared" si="2890"/>
        <v>0</v>
      </c>
      <c r="I1272" s="662">
        <f t="shared" si="2890"/>
        <v>0</v>
      </c>
      <c r="J1272" s="662">
        <f t="shared" si="2890"/>
        <v>0</v>
      </c>
      <c r="K1272" s="662">
        <f t="shared" si="2890"/>
        <v>0</v>
      </c>
      <c r="L1272" s="662">
        <f t="shared" si="2890"/>
        <v>0</v>
      </c>
      <c r="U1272" s="663"/>
      <c r="Z1272" s="663"/>
      <c r="AA1272" s="663"/>
      <c r="AB1272" s="663"/>
      <c r="AC1272" s="663"/>
      <c r="AD1272" s="663"/>
      <c r="AE1272" s="663"/>
      <c r="AF1272" s="663"/>
      <c r="AG1272" s="663"/>
      <c r="AH1272" s="663"/>
      <c r="AI1272" s="663"/>
      <c r="AJ1272" s="663"/>
      <c r="AK1272" s="663"/>
      <c r="AL1272" s="663"/>
      <c r="AM1272" s="663"/>
      <c r="AN1272" s="663"/>
    </row>
    <row r="1273" spans="2:40" ht="14.45" hidden="1" customHeight="1" x14ac:dyDescent="0.25">
      <c r="B1273" s="936">
        <f t="shared" ref="B1273:L1273" si="2891">B1257</f>
        <v>39843</v>
      </c>
      <c r="C1273" s="662">
        <f t="shared" si="2891"/>
        <v>0</v>
      </c>
      <c r="D1273" s="662">
        <f t="shared" si="2891"/>
        <v>0</v>
      </c>
      <c r="E1273" s="662">
        <f t="shared" si="2891"/>
        <v>0</v>
      </c>
      <c r="F1273" s="662">
        <f t="shared" si="2891"/>
        <v>0</v>
      </c>
      <c r="G1273" s="662">
        <f t="shared" si="2891"/>
        <v>0</v>
      </c>
      <c r="H1273" s="662">
        <f t="shared" si="2891"/>
        <v>0</v>
      </c>
      <c r="I1273" s="662">
        <f t="shared" si="2891"/>
        <v>0</v>
      </c>
      <c r="J1273" s="662">
        <f t="shared" si="2891"/>
        <v>0</v>
      </c>
      <c r="K1273" s="662">
        <f t="shared" si="2891"/>
        <v>0</v>
      </c>
      <c r="L1273" s="662">
        <f t="shared" si="2891"/>
        <v>0</v>
      </c>
      <c r="U1273" s="663"/>
      <c r="Z1273" s="663"/>
      <c r="AA1273" s="663"/>
      <c r="AB1273" s="663"/>
      <c r="AC1273" s="663"/>
      <c r="AD1273" s="663"/>
      <c r="AE1273" s="663"/>
      <c r="AF1273" s="663"/>
      <c r="AG1273" s="663"/>
      <c r="AH1273" s="663"/>
      <c r="AI1273" s="663"/>
      <c r="AJ1273" s="663"/>
      <c r="AK1273" s="663"/>
      <c r="AL1273" s="663"/>
      <c r="AM1273" s="663"/>
      <c r="AN1273" s="663"/>
    </row>
    <row r="1274" spans="2:40" ht="14.45" hidden="1" customHeight="1" x14ac:dyDescent="0.25">
      <c r="B1274" s="936">
        <f t="shared" ref="B1274:L1274" si="2892">B1258</f>
        <v>39843</v>
      </c>
      <c r="C1274" s="662">
        <f t="shared" si="2892"/>
        <v>0</v>
      </c>
      <c r="D1274" s="662">
        <f t="shared" si="2892"/>
        <v>0</v>
      </c>
      <c r="E1274" s="662">
        <f t="shared" si="2892"/>
        <v>0</v>
      </c>
      <c r="F1274" s="662">
        <f t="shared" si="2892"/>
        <v>0</v>
      </c>
      <c r="G1274" s="662">
        <f t="shared" si="2892"/>
        <v>0</v>
      </c>
      <c r="H1274" s="662">
        <f t="shared" si="2892"/>
        <v>0</v>
      </c>
      <c r="I1274" s="662">
        <f t="shared" si="2892"/>
        <v>0</v>
      </c>
      <c r="J1274" s="662">
        <f t="shared" si="2892"/>
        <v>0</v>
      </c>
      <c r="K1274" s="662">
        <f t="shared" si="2892"/>
        <v>0</v>
      </c>
      <c r="L1274" s="662">
        <f t="shared" si="2892"/>
        <v>0</v>
      </c>
      <c r="U1274" s="663"/>
      <c r="Z1274" s="663"/>
      <c r="AA1274" s="663"/>
      <c r="AB1274" s="663"/>
      <c r="AC1274" s="663"/>
      <c r="AD1274" s="663"/>
      <c r="AE1274" s="663"/>
      <c r="AF1274" s="663"/>
      <c r="AG1274" s="663"/>
      <c r="AH1274" s="663"/>
      <c r="AI1274" s="663"/>
      <c r="AJ1274" s="663"/>
      <c r="AK1274" s="663"/>
      <c r="AL1274" s="663"/>
      <c r="AM1274" s="663"/>
      <c r="AN1274" s="663"/>
    </row>
    <row r="1275" spans="2:40" ht="14.45" hidden="1" customHeight="1" x14ac:dyDescent="0.25">
      <c r="B1275" s="936">
        <f t="shared" ref="B1275:L1275" si="2893">B1259</f>
        <v>39843</v>
      </c>
      <c r="C1275" s="662">
        <f t="shared" si="2893"/>
        <v>0</v>
      </c>
      <c r="D1275" s="662">
        <f t="shared" si="2893"/>
        <v>0</v>
      </c>
      <c r="E1275" s="662">
        <f t="shared" si="2893"/>
        <v>0</v>
      </c>
      <c r="F1275" s="662">
        <f t="shared" si="2893"/>
        <v>0</v>
      </c>
      <c r="G1275" s="662">
        <f t="shared" si="2893"/>
        <v>0</v>
      </c>
      <c r="H1275" s="662">
        <f t="shared" si="2893"/>
        <v>0</v>
      </c>
      <c r="I1275" s="662">
        <f t="shared" si="2893"/>
        <v>0</v>
      </c>
      <c r="J1275" s="662">
        <f t="shared" si="2893"/>
        <v>0</v>
      </c>
      <c r="K1275" s="662">
        <f t="shared" si="2893"/>
        <v>0</v>
      </c>
      <c r="L1275" s="662">
        <f t="shared" si="2893"/>
        <v>0</v>
      </c>
      <c r="U1275" s="663"/>
      <c r="Z1275" s="663"/>
      <c r="AA1275" s="663"/>
      <c r="AB1275" s="663"/>
      <c r="AC1275" s="663"/>
      <c r="AD1275" s="663"/>
      <c r="AE1275" s="663"/>
      <c r="AF1275" s="663"/>
      <c r="AG1275" s="663"/>
      <c r="AH1275" s="663"/>
      <c r="AI1275" s="663"/>
      <c r="AJ1275" s="663"/>
      <c r="AK1275" s="663"/>
      <c r="AL1275" s="663"/>
      <c r="AM1275" s="663"/>
      <c r="AN1275" s="663"/>
    </row>
    <row r="1276" spans="2:40" ht="14.45" hidden="1" customHeight="1" x14ac:dyDescent="0.25">
      <c r="B1276" s="936">
        <f t="shared" ref="B1276:L1276" si="2894">B1260</f>
        <v>39843</v>
      </c>
      <c r="C1276" s="662">
        <f t="shared" si="2894"/>
        <v>0</v>
      </c>
      <c r="D1276" s="662">
        <f t="shared" si="2894"/>
        <v>0</v>
      </c>
      <c r="E1276" s="662">
        <f t="shared" si="2894"/>
        <v>0</v>
      </c>
      <c r="F1276" s="662">
        <f t="shared" si="2894"/>
        <v>0</v>
      </c>
      <c r="G1276" s="662">
        <f t="shared" si="2894"/>
        <v>0</v>
      </c>
      <c r="H1276" s="662">
        <f t="shared" si="2894"/>
        <v>0</v>
      </c>
      <c r="I1276" s="662">
        <f t="shared" si="2894"/>
        <v>0</v>
      </c>
      <c r="J1276" s="662">
        <f t="shared" si="2894"/>
        <v>0</v>
      </c>
      <c r="K1276" s="662">
        <f t="shared" si="2894"/>
        <v>0</v>
      </c>
      <c r="L1276" s="662">
        <f t="shared" si="2894"/>
        <v>0</v>
      </c>
      <c r="U1276" s="663"/>
      <c r="Z1276" s="663"/>
      <c r="AA1276" s="663"/>
      <c r="AB1276" s="663"/>
      <c r="AC1276" s="663"/>
      <c r="AD1276" s="663"/>
      <c r="AE1276" s="663"/>
      <c r="AF1276" s="663"/>
      <c r="AG1276" s="663"/>
      <c r="AH1276" s="663"/>
      <c r="AI1276" s="663"/>
      <c r="AJ1276" s="663"/>
      <c r="AK1276" s="663"/>
      <c r="AL1276" s="663"/>
      <c r="AM1276" s="663"/>
      <c r="AN1276" s="663"/>
    </row>
    <row r="1277" spans="2:40" ht="14.45" hidden="1" customHeight="1" x14ac:dyDescent="0.25">
      <c r="B1277" s="936">
        <f t="shared" ref="B1277:L1277" si="2895">B1261</f>
        <v>39843</v>
      </c>
      <c r="C1277" s="662">
        <f t="shared" si="2895"/>
        <v>0</v>
      </c>
      <c r="D1277" s="662">
        <f t="shared" si="2895"/>
        <v>0</v>
      </c>
      <c r="E1277" s="662">
        <f t="shared" si="2895"/>
        <v>0</v>
      </c>
      <c r="F1277" s="662">
        <f t="shared" si="2895"/>
        <v>0</v>
      </c>
      <c r="G1277" s="662">
        <f t="shared" si="2895"/>
        <v>0</v>
      </c>
      <c r="H1277" s="662">
        <f t="shared" si="2895"/>
        <v>0</v>
      </c>
      <c r="I1277" s="662">
        <f t="shared" si="2895"/>
        <v>0</v>
      </c>
      <c r="J1277" s="662">
        <f t="shared" si="2895"/>
        <v>0</v>
      </c>
      <c r="K1277" s="662">
        <f t="shared" si="2895"/>
        <v>0</v>
      </c>
      <c r="L1277" s="662">
        <f t="shared" si="2895"/>
        <v>0</v>
      </c>
      <c r="U1277" s="663"/>
      <c r="Z1277" s="663"/>
      <c r="AA1277" s="663"/>
      <c r="AB1277" s="663"/>
      <c r="AC1277" s="663"/>
      <c r="AD1277" s="663"/>
      <c r="AE1277" s="663"/>
      <c r="AF1277" s="663"/>
      <c r="AG1277" s="663"/>
      <c r="AH1277" s="663"/>
      <c r="AI1277" s="663"/>
      <c r="AJ1277" s="663"/>
      <c r="AK1277" s="663"/>
      <c r="AL1277" s="663"/>
      <c r="AM1277" s="663"/>
      <c r="AN1277" s="663"/>
    </row>
    <row r="1278" spans="2:40" ht="14.45" hidden="1" customHeight="1" x14ac:dyDescent="0.25">
      <c r="B1278" s="936">
        <f>B1212</f>
        <v>41719</v>
      </c>
      <c r="C1278" s="662">
        <f t="shared" ref="C1278:L1278" si="2896">C1262</f>
        <v>2823795.1807228918</v>
      </c>
      <c r="D1278" s="662">
        <f t="shared" si="2896"/>
        <v>4235692.7710843375</v>
      </c>
      <c r="E1278" s="662">
        <f t="shared" si="2896"/>
        <v>5647590.3614457836</v>
      </c>
      <c r="F1278" s="662">
        <f t="shared" si="2896"/>
        <v>7059487.9518072288</v>
      </c>
      <c r="G1278" s="662">
        <f t="shared" si="2896"/>
        <v>8471385.542168675</v>
      </c>
      <c r="H1278" s="662">
        <f t="shared" si="2896"/>
        <v>9883283.1325301211</v>
      </c>
      <c r="I1278" s="662">
        <f t="shared" si="2896"/>
        <v>11295180.722891567</v>
      </c>
      <c r="J1278" s="662">
        <f t="shared" si="2896"/>
        <v>12707078.313253012</v>
      </c>
      <c r="K1278" s="662">
        <f t="shared" si="2896"/>
        <v>14118975.903614458</v>
      </c>
      <c r="L1278" s="662">
        <f t="shared" si="2896"/>
        <v>15530873.493975904</v>
      </c>
      <c r="U1278" s="663"/>
      <c r="Z1278" s="663"/>
      <c r="AA1278" s="663"/>
      <c r="AB1278" s="663"/>
      <c r="AC1278" s="663"/>
      <c r="AD1278" s="663"/>
      <c r="AE1278" s="663"/>
      <c r="AF1278" s="663"/>
      <c r="AG1278" s="663"/>
      <c r="AH1278" s="663"/>
      <c r="AI1278" s="663"/>
      <c r="AJ1278" s="663"/>
      <c r="AK1278" s="663"/>
      <c r="AL1278" s="663"/>
      <c r="AM1278" s="663"/>
      <c r="AN1278" s="663"/>
    </row>
    <row r="1279" spans="2:40" ht="14.45" hidden="1" customHeight="1" x14ac:dyDescent="0.25">
      <c r="C1279" s="882" t="str">
        <f ca="1">IF(ISERROR(XIRR(INDIRECT(C1281):C1278,INDIRECT($B1281):$B1278,-20%)),XIRR(INDIRECT(C1281):C1278,INDIRECT($B1281):$B1278,20%),"N/A")</f>
        <v>N/A</v>
      </c>
      <c r="D1279" s="882" t="str">
        <f ca="1">IF(ISERROR(XIRR(INDIRECT(D1281):D1278,INDIRECT($B1281):$B1278,-20%)),XIRR(INDIRECT(D1281):D1278,INDIRECT($B1281):$B1278,20%),"N/A")</f>
        <v>N/A</v>
      </c>
      <c r="E1279" s="882">
        <f ca="1">IF(ISERROR(XIRR(INDIRECT(E1281):E1278,INDIRECT($B1281):$B1278,-20%)),XIRR(INDIRECT(E1281):E1278,INDIRECT($B1281):$B1278,20%),"N/A")</f>
        <v>4.5227497816085812E-3</v>
      </c>
      <c r="F1279" s="882">
        <f ca="1">IF(ISERROR(XIRR(INDIRECT(F1281):F1278,INDIRECT($B1281):$B1278,-20%)),XIRR(INDIRECT(F1281):F1278,INDIRECT($B1281):$B1278,20%),"N/A")</f>
        <v>4.3374761939048767E-2</v>
      </c>
      <c r="G1279" s="882">
        <f ca="1">IF(ISERROR(XIRR(INDIRECT(G1281):G1278,INDIRECT($B1281):$B1278,-20%)),XIRR(INDIRECT(G1281):G1278,INDIRECT($B1281):$B1278,20%),"N/A")</f>
        <v>7.6121059060096752E-2</v>
      </c>
      <c r="H1279" s="882">
        <f ca="1">IF(ISERROR(XIRR(INDIRECT(H1281):H1278,INDIRECT($B1281):$B1278,-20%)),XIRR(INDIRECT(H1281):H1278,INDIRECT($B1281):$B1278,20%),"N/A")</f>
        <v>0.10452818274497985</v>
      </c>
      <c r="I1279" s="882">
        <f ca="1">IF(ISERROR(XIRR(INDIRECT(I1281):I1278,INDIRECT($B1281):$B1278,-20%)),XIRR(INDIRECT(I1281):I1278,INDIRECT($B1281):$B1278,20%),"N/A")</f>
        <v>0.12968036532402039</v>
      </c>
      <c r="J1279" s="882">
        <f ca="1">IF(ISERROR(XIRR(INDIRECT(J1281):J1278,INDIRECT($B1281):$B1278,-20%)),XIRR(INDIRECT(J1281):J1278,INDIRECT($B1281):$B1278,20%),"N/A")</f>
        <v>0.1522935092449188</v>
      </c>
      <c r="K1279" s="882">
        <f ca="1">IF(ISERROR(XIRR(INDIRECT(K1281):K1278,INDIRECT($B1281):$B1278,-20%)),XIRR(INDIRECT(K1281):K1278,INDIRECT($B1281):$B1278,20%),"N/A")</f>
        <v>0.17286645770072936</v>
      </c>
      <c r="L1279" s="882">
        <f ca="1">IF(ISERROR(XIRR(INDIRECT(L1281):L1278,INDIRECT($B1281):$B1278,-20%)),XIRR(INDIRECT(L1281):L1278,INDIRECT($B1281):$B1278,20%),"N/A")</f>
        <v>0.19176140427589419</v>
      </c>
      <c r="U1279" s="663"/>
      <c r="Z1279" s="663"/>
      <c r="AA1279" s="663"/>
      <c r="AB1279" s="663"/>
      <c r="AC1279" s="663"/>
      <c r="AD1279" s="663"/>
      <c r="AE1279" s="663"/>
      <c r="AF1279" s="663"/>
      <c r="AG1279" s="663"/>
      <c r="AH1279" s="663"/>
      <c r="AI1279" s="663"/>
      <c r="AJ1279" s="663"/>
      <c r="AK1279" s="663"/>
      <c r="AL1279" s="663"/>
      <c r="AM1279" s="663"/>
      <c r="AN1279" s="663"/>
    </row>
    <row r="1280" spans="2:40" ht="14.45" hidden="1" customHeight="1" x14ac:dyDescent="0.25">
      <c r="B1280" s="898">
        <f>IF(C1268&lt;&gt;0,ROW(C1268),IF(C1269&lt;&gt;0,ROW(C1269),IF(C1270&lt;&gt;0,ROW(C1270),IF(C1271&lt;&gt;0,ROW(C1271),IF(C1272&lt;&gt;0,ROW(C1272),IF(C1273&lt;&gt;0,ROW(C1273),IF(C1274&lt;&gt;0,ROW(C1274),IF(C1275&lt;&gt;0,ROW(C1275),IF(C1276&lt;&gt;0,ROW(C1276),IF(C1277&lt;&gt;0,ROW(C1277)))))))))))</f>
        <v>1268</v>
      </c>
      <c r="C1280" s="882"/>
      <c r="U1280" s="663"/>
      <c r="Z1280" s="663"/>
      <c r="AA1280" s="663"/>
      <c r="AB1280" s="663"/>
      <c r="AC1280" s="663"/>
      <c r="AD1280" s="663"/>
      <c r="AE1280" s="663"/>
      <c r="AF1280" s="663"/>
      <c r="AG1280" s="663"/>
      <c r="AH1280" s="663"/>
      <c r="AI1280" s="663"/>
      <c r="AJ1280" s="663"/>
      <c r="AK1280" s="663"/>
      <c r="AL1280" s="663"/>
      <c r="AM1280" s="663"/>
      <c r="AN1280" s="663"/>
    </row>
    <row r="1281" spans="2:40" ht="14.45" hidden="1" customHeight="1" x14ac:dyDescent="0.25">
      <c r="B1281" s="899" t="str">
        <f>CONCATENATE(IF(COLUMN(B1280)&lt;=26,CHAR(96+COLUMN(B1280)),(CHAR(96+(ROUNDDOWN((COLUMN(B1280)-1)/26,0)))&amp;CHAR(96+IF(MOD(COLUMN(B1280),26)=0,26,MOD(COLUMN(B1280),26))))),B1280)</f>
        <v>b1268</v>
      </c>
      <c r="C1281" s="899" t="str">
        <f>CONCATENATE(IF(COLUMN(C1279)&lt;=26,CHAR(96+COLUMN(C1279)),(CHAR(96+(ROUNDDOWN((COLUMN(C1279)-1)/26,0)))&amp;CHAR(96+IF(MOD(COLUMN(C1279),26)=0,26,MOD(COLUMN(C1279),26))))),$B1280)</f>
        <v>c1268</v>
      </c>
      <c r="D1281" s="899" t="str">
        <f t="shared" ref="D1281" si="2897">CONCATENATE(IF(COLUMN(D1279)&lt;=26,CHAR(96+COLUMN(D1279)),(CHAR(96+(ROUNDDOWN((COLUMN(D1279)-1)/26,0)))&amp;CHAR(96+IF(MOD(COLUMN(D1279),26)=0,26,MOD(COLUMN(D1279),26))))),$B1280)</f>
        <v>d1268</v>
      </c>
      <c r="E1281" s="899" t="str">
        <f t="shared" ref="E1281" si="2898">CONCATENATE(IF(COLUMN(E1279)&lt;=26,CHAR(96+COLUMN(E1279)),(CHAR(96+(ROUNDDOWN((COLUMN(E1279)-1)/26,0)))&amp;CHAR(96+IF(MOD(COLUMN(E1279),26)=0,26,MOD(COLUMN(E1279),26))))),$B1280)</f>
        <v>e1268</v>
      </c>
      <c r="F1281" s="899" t="str">
        <f t="shared" ref="F1281" si="2899">CONCATENATE(IF(COLUMN(F1279)&lt;=26,CHAR(96+COLUMN(F1279)),(CHAR(96+(ROUNDDOWN((COLUMN(F1279)-1)/26,0)))&amp;CHAR(96+IF(MOD(COLUMN(F1279),26)=0,26,MOD(COLUMN(F1279),26))))),$B1280)</f>
        <v>f1268</v>
      </c>
      <c r="G1281" s="899" t="str">
        <f t="shared" ref="G1281" si="2900">CONCATENATE(IF(COLUMN(G1279)&lt;=26,CHAR(96+COLUMN(G1279)),(CHAR(96+(ROUNDDOWN((COLUMN(G1279)-1)/26,0)))&amp;CHAR(96+IF(MOD(COLUMN(G1279),26)=0,26,MOD(COLUMN(G1279),26))))),$B1280)</f>
        <v>g1268</v>
      </c>
      <c r="H1281" s="899" t="str">
        <f t="shared" ref="H1281" si="2901">CONCATENATE(IF(COLUMN(H1279)&lt;=26,CHAR(96+COLUMN(H1279)),(CHAR(96+(ROUNDDOWN((COLUMN(H1279)-1)/26,0)))&amp;CHAR(96+IF(MOD(COLUMN(H1279),26)=0,26,MOD(COLUMN(H1279),26))))),$B1280)</f>
        <v>h1268</v>
      </c>
      <c r="I1281" s="899" t="str">
        <f t="shared" ref="I1281" si="2902">CONCATENATE(IF(COLUMN(I1279)&lt;=26,CHAR(96+COLUMN(I1279)),(CHAR(96+(ROUNDDOWN((COLUMN(I1279)-1)/26,0)))&amp;CHAR(96+IF(MOD(COLUMN(I1279),26)=0,26,MOD(COLUMN(I1279),26))))),$B1280)</f>
        <v>i1268</v>
      </c>
      <c r="J1281" s="899" t="str">
        <f t="shared" ref="J1281" si="2903">CONCATENATE(IF(COLUMN(J1279)&lt;=26,CHAR(96+COLUMN(J1279)),(CHAR(96+(ROUNDDOWN((COLUMN(J1279)-1)/26,0)))&amp;CHAR(96+IF(MOD(COLUMN(J1279),26)=0,26,MOD(COLUMN(J1279),26))))),$B1280)</f>
        <v>j1268</v>
      </c>
      <c r="K1281" s="899" t="str">
        <f t="shared" ref="K1281" si="2904">CONCATENATE(IF(COLUMN(K1279)&lt;=26,CHAR(96+COLUMN(K1279)),(CHAR(96+(ROUNDDOWN((COLUMN(K1279)-1)/26,0)))&amp;CHAR(96+IF(MOD(COLUMN(K1279),26)=0,26,MOD(COLUMN(K1279),26))))),$B1280)</f>
        <v>k1268</v>
      </c>
      <c r="L1281" s="899" t="str">
        <f t="shared" ref="L1281" si="2905">CONCATENATE(IF(COLUMN(L1279)&lt;=26,CHAR(96+COLUMN(L1279)),(CHAR(96+(ROUNDDOWN((COLUMN(L1279)-1)/26,0)))&amp;CHAR(96+IF(MOD(COLUMN(L1279),26)=0,26,MOD(COLUMN(L1279),26))))),$B1280)</f>
        <v>l1268</v>
      </c>
      <c r="U1281" s="663"/>
      <c r="Z1281" s="663"/>
      <c r="AA1281" s="663"/>
      <c r="AB1281" s="663"/>
      <c r="AC1281" s="663"/>
      <c r="AD1281" s="663"/>
      <c r="AE1281" s="663"/>
      <c r="AF1281" s="663"/>
      <c r="AG1281" s="663"/>
      <c r="AH1281" s="663"/>
      <c r="AI1281" s="663"/>
      <c r="AJ1281" s="663"/>
      <c r="AK1281" s="663"/>
      <c r="AL1281" s="663"/>
      <c r="AM1281" s="663"/>
      <c r="AN1281" s="663"/>
    </row>
    <row r="1282" spans="2:40" ht="14.45" hidden="1" customHeight="1" x14ac:dyDescent="0.25">
      <c r="B1282" s="661"/>
      <c r="C1282" s="662"/>
      <c r="U1282" s="663"/>
      <c r="Z1282" s="663"/>
      <c r="AA1282" s="663"/>
      <c r="AB1282" s="663"/>
      <c r="AC1282" s="663"/>
      <c r="AD1282" s="663"/>
      <c r="AE1282" s="663"/>
      <c r="AF1282" s="663"/>
      <c r="AG1282" s="663"/>
      <c r="AH1282" s="663"/>
      <c r="AI1282" s="663"/>
      <c r="AJ1282" s="663"/>
      <c r="AK1282" s="663"/>
      <c r="AL1282" s="663"/>
      <c r="AM1282" s="663"/>
      <c r="AN1282" s="663"/>
    </row>
    <row r="1283" spans="2:40" ht="14.45" hidden="1" customHeight="1" x14ac:dyDescent="0.25">
      <c r="B1283" s="661"/>
      <c r="C1283" s="662"/>
      <c r="U1283" s="663"/>
      <c r="Z1283" s="663"/>
      <c r="AA1283" s="663"/>
      <c r="AB1283" s="663"/>
      <c r="AC1283" s="663"/>
      <c r="AD1283" s="663"/>
      <c r="AE1283" s="663"/>
      <c r="AF1283" s="663"/>
      <c r="AG1283" s="663"/>
      <c r="AH1283" s="663"/>
      <c r="AI1283" s="663"/>
      <c r="AJ1283" s="663"/>
      <c r="AK1283" s="663"/>
      <c r="AL1283" s="663"/>
      <c r="AM1283" s="663"/>
      <c r="AN1283" s="663"/>
    </row>
    <row r="1284" spans="2:40" ht="14.45" hidden="1" customHeight="1" x14ac:dyDescent="0.25">
      <c r="B1284" s="661"/>
      <c r="C1284" s="662"/>
      <c r="U1284" s="663"/>
      <c r="Z1284" s="663"/>
      <c r="AA1284" s="663"/>
      <c r="AB1284" s="663"/>
      <c r="AC1284" s="663"/>
      <c r="AD1284" s="663"/>
      <c r="AE1284" s="663"/>
      <c r="AF1284" s="663"/>
      <c r="AG1284" s="663"/>
      <c r="AH1284" s="663"/>
      <c r="AI1284" s="663"/>
      <c r="AJ1284" s="663"/>
      <c r="AK1284" s="663"/>
      <c r="AL1284" s="663"/>
      <c r="AM1284" s="663"/>
      <c r="AN1284" s="663"/>
    </row>
    <row r="1285" spans="2:40" ht="14.45" hidden="1" customHeight="1" x14ac:dyDescent="0.25">
      <c r="B1285" s="661" t="str">
        <f>B1709</f>
        <v>Inv F Gross Return Analysis</v>
      </c>
      <c r="C1285" s="662"/>
      <c r="U1285" s="663"/>
      <c r="Z1285" s="663"/>
      <c r="AA1285" s="663"/>
      <c r="AB1285" s="663"/>
      <c r="AC1285" s="663"/>
      <c r="AD1285" s="663"/>
      <c r="AE1285" s="663"/>
      <c r="AF1285" s="663"/>
      <c r="AG1285" s="663"/>
      <c r="AH1285" s="663"/>
      <c r="AI1285" s="663"/>
      <c r="AJ1285" s="663"/>
      <c r="AK1285" s="663"/>
      <c r="AL1285" s="663"/>
      <c r="AM1285" s="663"/>
      <c r="AN1285" s="663"/>
    </row>
    <row r="1286" spans="2:40" ht="14.45" hidden="1" customHeight="1" x14ac:dyDescent="0.25">
      <c r="B1286" s="936">
        <f>B1220</f>
        <v>39113</v>
      </c>
      <c r="C1286" s="662">
        <f>C549</f>
        <v>0</v>
      </c>
      <c r="D1286" s="662">
        <f>C1286</f>
        <v>0</v>
      </c>
      <c r="E1286" s="662">
        <f t="shared" ref="E1286:L1286" si="2906">D1286</f>
        <v>0</v>
      </c>
      <c r="F1286" s="662">
        <f t="shared" si="2906"/>
        <v>0</v>
      </c>
      <c r="G1286" s="662">
        <f t="shared" si="2906"/>
        <v>0</v>
      </c>
      <c r="H1286" s="662">
        <f t="shared" si="2906"/>
        <v>0</v>
      </c>
      <c r="I1286" s="662">
        <f t="shared" si="2906"/>
        <v>0</v>
      </c>
      <c r="J1286" s="662">
        <f t="shared" si="2906"/>
        <v>0</v>
      </c>
      <c r="K1286" s="662">
        <f t="shared" si="2906"/>
        <v>0</v>
      </c>
      <c r="L1286" s="662">
        <f t="shared" si="2906"/>
        <v>0</v>
      </c>
      <c r="U1286" s="663"/>
      <c r="Z1286" s="663"/>
      <c r="AA1286" s="663"/>
      <c r="AB1286" s="663"/>
      <c r="AC1286" s="663"/>
      <c r="AD1286" s="663"/>
      <c r="AE1286" s="663"/>
      <c r="AF1286" s="663"/>
      <c r="AG1286" s="663"/>
      <c r="AH1286" s="663"/>
      <c r="AI1286" s="663"/>
      <c r="AJ1286" s="663"/>
      <c r="AK1286" s="663"/>
      <c r="AL1286" s="663"/>
      <c r="AM1286" s="663"/>
      <c r="AN1286" s="663"/>
    </row>
    <row r="1287" spans="2:40" ht="14.45" hidden="1" customHeight="1" x14ac:dyDescent="0.25">
      <c r="B1287" s="936">
        <f t="shared" ref="B1287:B1296" si="2907">B1221</f>
        <v>39478</v>
      </c>
      <c r="C1287" s="662">
        <f t="shared" ref="C1287:C1295" si="2908">C550</f>
        <v>0</v>
      </c>
      <c r="D1287" s="662">
        <f t="shared" ref="D1287:L1295" si="2909">C1287</f>
        <v>0</v>
      </c>
      <c r="E1287" s="662">
        <f t="shared" si="2909"/>
        <v>0</v>
      </c>
      <c r="F1287" s="662">
        <f t="shared" si="2909"/>
        <v>0</v>
      </c>
      <c r="G1287" s="662">
        <f t="shared" si="2909"/>
        <v>0</v>
      </c>
      <c r="H1287" s="662">
        <f t="shared" si="2909"/>
        <v>0</v>
      </c>
      <c r="I1287" s="662">
        <f t="shared" si="2909"/>
        <v>0</v>
      </c>
      <c r="J1287" s="662">
        <f t="shared" si="2909"/>
        <v>0</v>
      </c>
      <c r="K1287" s="662">
        <f t="shared" si="2909"/>
        <v>0</v>
      </c>
      <c r="L1287" s="662">
        <f t="shared" si="2909"/>
        <v>0</v>
      </c>
      <c r="U1287" s="663"/>
      <c r="Z1287" s="663"/>
      <c r="AA1287" s="663"/>
      <c r="AB1287" s="663"/>
      <c r="AC1287" s="663"/>
      <c r="AD1287" s="663"/>
      <c r="AE1287" s="663"/>
      <c r="AF1287" s="663"/>
      <c r="AG1287" s="663"/>
      <c r="AH1287" s="663"/>
      <c r="AI1287" s="663"/>
      <c r="AJ1287" s="663"/>
      <c r="AK1287" s="663"/>
      <c r="AL1287" s="663"/>
      <c r="AM1287" s="663"/>
      <c r="AN1287" s="663"/>
    </row>
    <row r="1288" spans="2:40" ht="14.45" hidden="1" customHeight="1" x14ac:dyDescent="0.25">
      <c r="B1288" s="936">
        <f t="shared" si="2907"/>
        <v>39843</v>
      </c>
      <c r="C1288" s="662">
        <f t="shared" si="2908"/>
        <v>-2500000</v>
      </c>
      <c r="D1288" s="662">
        <f t="shared" si="2909"/>
        <v>-2500000</v>
      </c>
      <c r="E1288" s="662">
        <f t="shared" si="2909"/>
        <v>-2500000</v>
      </c>
      <c r="F1288" s="662">
        <f t="shared" si="2909"/>
        <v>-2500000</v>
      </c>
      <c r="G1288" s="662">
        <f t="shared" si="2909"/>
        <v>-2500000</v>
      </c>
      <c r="H1288" s="662">
        <f t="shared" si="2909"/>
        <v>-2500000</v>
      </c>
      <c r="I1288" s="662">
        <f t="shared" si="2909"/>
        <v>-2500000</v>
      </c>
      <c r="J1288" s="662">
        <f t="shared" si="2909"/>
        <v>-2500000</v>
      </c>
      <c r="K1288" s="662">
        <f t="shared" si="2909"/>
        <v>-2500000</v>
      </c>
      <c r="L1288" s="662">
        <f t="shared" si="2909"/>
        <v>-2500000</v>
      </c>
      <c r="U1288" s="663"/>
      <c r="Z1288" s="663"/>
      <c r="AA1288" s="663"/>
      <c r="AB1288" s="663"/>
      <c r="AC1288" s="663"/>
      <c r="AD1288" s="663"/>
      <c r="AE1288" s="663"/>
      <c r="AF1288" s="663"/>
      <c r="AG1288" s="663"/>
      <c r="AH1288" s="663"/>
      <c r="AI1288" s="663"/>
      <c r="AJ1288" s="663"/>
      <c r="AK1288" s="663"/>
      <c r="AL1288" s="663"/>
      <c r="AM1288" s="663"/>
      <c r="AN1288" s="663"/>
    </row>
    <row r="1289" spans="2:40" ht="14.45" hidden="1" customHeight="1" x14ac:dyDescent="0.25">
      <c r="B1289" s="936">
        <f t="shared" si="2907"/>
        <v>39843</v>
      </c>
      <c r="C1289" s="662">
        <f t="shared" si="2908"/>
        <v>-6666666.666666667</v>
      </c>
      <c r="D1289" s="662">
        <f t="shared" si="2909"/>
        <v>-6666666.666666667</v>
      </c>
      <c r="E1289" s="662">
        <f t="shared" si="2909"/>
        <v>-6666666.666666667</v>
      </c>
      <c r="F1289" s="662">
        <f t="shared" si="2909"/>
        <v>-6666666.666666667</v>
      </c>
      <c r="G1289" s="662">
        <f t="shared" si="2909"/>
        <v>-6666666.666666667</v>
      </c>
      <c r="H1289" s="662">
        <f t="shared" si="2909"/>
        <v>-6666666.666666667</v>
      </c>
      <c r="I1289" s="662">
        <f t="shared" si="2909"/>
        <v>-6666666.666666667</v>
      </c>
      <c r="J1289" s="662">
        <f t="shared" si="2909"/>
        <v>-6666666.666666667</v>
      </c>
      <c r="K1289" s="662">
        <f t="shared" si="2909"/>
        <v>-6666666.666666667</v>
      </c>
      <c r="L1289" s="662">
        <f t="shared" si="2909"/>
        <v>-6666666.666666667</v>
      </c>
      <c r="U1289" s="663"/>
      <c r="Z1289" s="663"/>
      <c r="AA1289" s="663"/>
      <c r="AB1289" s="663"/>
      <c r="AC1289" s="663"/>
      <c r="AD1289" s="663"/>
      <c r="AE1289" s="663"/>
      <c r="AF1289" s="663"/>
      <c r="AG1289" s="663"/>
      <c r="AH1289" s="663"/>
      <c r="AI1289" s="663"/>
      <c r="AJ1289" s="663"/>
      <c r="AK1289" s="663"/>
      <c r="AL1289" s="663"/>
      <c r="AM1289" s="663"/>
      <c r="AN1289" s="663"/>
    </row>
    <row r="1290" spans="2:40" ht="14.45" hidden="1" customHeight="1" x14ac:dyDescent="0.25">
      <c r="B1290" s="936">
        <f t="shared" si="2907"/>
        <v>39843</v>
      </c>
      <c r="C1290" s="662">
        <f t="shared" si="2908"/>
        <v>0</v>
      </c>
      <c r="D1290" s="662">
        <f t="shared" si="2909"/>
        <v>0</v>
      </c>
      <c r="E1290" s="662">
        <f t="shared" si="2909"/>
        <v>0</v>
      </c>
      <c r="F1290" s="662">
        <f t="shared" si="2909"/>
        <v>0</v>
      </c>
      <c r="G1290" s="662">
        <f t="shared" si="2909"/>
        <v>0</v>
      </c>
      <c r="H1290" s="662">
        <f t="shared" si="2909"/>
        <v>0</v>
      </c>
      <c r="I1290" s="662">
        <f t="shared" si="2909"/>
        <v>0</v>
      </c>
      <c r="J1290" s="662">
        <f t="shared" si="2909"/>
        <v>0</v>
      </c>
      <c r="K1290" s="662">
        <f t="shared" si="2909"/>
        <v>0</v>
      </c>
      <c r="L1290" s="662">
        <f t="shared" si="2909"/>
        <v>0</v>
      </c>
      <c r="U1290" s="663"/>
      <c r="Z1290" s="663"/>
      <c r="AA1290" s="663"/>
      <c r="AB1290" s="663"/>
      <c r="AC1290" s="663"/>
      <c r="AD1290" s="663"/>
      <c r="AE1290" s="663"/>
      <c r="AF1290" s="663"/>
      <c r="AG1290" s="663"/>
      <c r="AH1290" s="663"/>
      <c r="AI1290" s="663"/>
      <c r="AJ1290" s="663"/>
      <c r="AK1290" s="663"/>
      <c r="AL1290" s="663"/>
      <c r="AM1290" s="663"/>
      <c r="AN1290" s="663"/>
    </row>
    <row r="1291" spans="2:40" ht="14.45" hidden="1" customHeight="1" x14ac:dyDescent="0.25">
      <c r="B1291" s="936">
        <f t="shared" si="2907"/>
        <v>39843</v>
      </c>
      <c r="C1291" s="662">
        <f t="shared" si="2908"/>
        <v>0</v>
      </c>
      <c r="D1291" s="662">
        <f t="shared" si="2909"/>
        <v>0</v>
      </c>
      <c r="E1291" s="662">
        <f t="shared" si="2909"/>
        <v>0</v>
      </c>
      <c r="F1291" s="662">
        <f t="shared" si="2909"/>
        <v>0</v>
      </c>
      <c r="G1291" s="662">
        <f t="shared" si="2909"/>
        <v>0</v>
      </c>
      <c r="H1291" s="662">
        <f t="shared" si="2909"/>
        <v>0</v>
      </c>
      <c r="I1291" s="662">
        <f t="shared" si="2909"/>
        <v>0</v>
      </c>
      <c r="J1291" s="662">
        <f t="shared" si="2909"/>
        <v>0</v>
      </c>
      <c r="K1291" s="662">
        <f t="shared" si="2909"/>
        <v>0</v>
      </c>
      <c r="L1291" s="662">
        <f t="shared" si="2909"/>
        <v>0</v>
      </c>
      <c r="U1291" s="663"/>
      <c r="Z1291" s="663"/>
      <c r="AA1291" s="663"/>
      <c r="AB1291" s="663"/>
      <c r="AC1291" s="663"/>
      <c r="AD1291" s="663"/>
      <c r="AE1291" s="663"/>
      <c r="AF1291" s="663"/>
      <c r="AG1291" s="663"/>
      <c r="AH1291" s="663"/>
      <c r="AI1291" s="663"/>
      <c r="AJ1291" s="663"/>
      <c r="AK1291" s="663"/>
      <c r="AL1291" s="663"/>
      <c r="AM1291" s="663"/>
      <c r="AN1291" s="663"/>
    </row>
    <row r="1292" spans="2:40" ht="14.45" hidden="1" customHeight="1" x14ac:dyDescent="0.25">
      <c r="B1292" s="936">
        <f t="shared" si="2907"/>
        <v>39843</v>
      </c>
      <c r="C1292" s="662">
        <f t="shared" si="2908"/>
        <v>0</v>
      </c>
      <c r="D1292" s="662">
        <f t="shared" si="2909"/>
        <v>0</v>
      </c>
      <c r="E1292" s="662">
        <f t="shared" si="2909"/>
        <v>0</v>
      </c>
      <c r="F1292" s="662">
        <f t="shared" si="2909"/>
        <v>0</v>
      </c>
      <c r="G1292" s="662">
        <f t="shared" si="2909"/>
        <v>0</v>
      </c>
      <c r="H1292" s="662">
        <f t="shared" si="2909"/>
        <v>0</v>
      </c>
      <c r="I1292" s="662">
        <f t="shared" si="2909"/>
        <v>0</v>
      </c>
      <c r="J1292" s="662">
        <f t="shared" si="2909"/>
        <v>0</v>
      </c>
      <c r="K1292" s="662">
        <f t="shared" si="2909"/>
        <v>0</v>
      </c>
      <c r="L1292" s="662">
        <f t="shared" si="2909"/>
        <v>0</v>
      </c>
      <c r="U1292" s="663"/>
      <c r="Z1292" s="663"/>
      <c r="AA1292" s="663"/>
      <c r="AB1292" s="663"/>
      <c r="AC1292" s="663"/>
      <c r="AD1292" s="663"/>
      <c r="AE1292" s="663"/>
      <c r="AF1292" s="663"/>
      <c r="AG1292" s="663"/>
      <c r="AH1292" s="663"/>
      <c r="AI1292" s="663"/>
      <c r="AJ1292" s="663"/>
      <c r="AK1292" s="663"/>
      <c r="AL1292" s="663"/>
      <c r="AM1292" s="663"/>
      <c r="AN1292" s="663"/>
    </row>
    <row r="1293" spans="2:40" ht="14.45" hidden="1" customHeight="1" x14ac:dyDescent="0.25">
      <c r="B1293" s="936">
        <f t="shared" si="2907"/>
        <v>39843</v>
      </c>
      <c r="C1293" s="662">
        <f t="shared" si="2908"/>
        <v>0</v>
      </c>
      <c r="D1293" s="662">
        <f t="shared" si="2909"/>
        <v>0</v>
      </c>
      <c r="E1293" s="662">
        <f t="shared" si="2909"/>
        <v>0</v>
      </c>
      <c r="F1293" s="662">
        <f t="shared" si="2909"/>
        <v>0</v>
      </c>
      <c r="G1293" s="662">
        <f t="shared" si="2909"/>
        <v>0</v>
      </c>
      <c r="H1293" s="662">
        <f t="shared" si="2909"/>
        <v>0</v>
      </c>
      <c r="I1293" s="662">
        <f t="shared" si="2909"/>
        <v>0</v>
      </c>
      <c r="J1293" s="662">
        <f t="shared" si="2909"/>
        <v>0</v>
      </c>
      <c r="K1293" s="662">
        <f t="shared" si="2909"/>
        <v>0</v>
      </c>
      <c r="L1293" s="662">
        <f t="shared" si="2909"/>
        <v>0</v>
      </c>
      <c r="U1293" s="663"/>
      <c r="Z1293" s="663"/>
      <c r="AA1293" s="663"/>
      <c r="AB1293" s="663"/>
      <c r="AC1293" s="663"/>
      <c r="AD1293" s="663"/>
      <c r="AE1293" s="663"/>
      <c r="AF1293" s="663"/>
      <c r="AG1293" s="663"/>
      <c r="AH1293" s="663"/>
      <c r="AI1293" s="663"/>
      <c r="AJ1293" s="663"/>
      <c r="AK1293" s="663"/>
      <c r="AL1293" s="663"/>
      <c r="AM1293" s="663"/>
      <c r="AN1293" s="663"/>
    </row>
    <row r="1294" spans="2:40" ht="14.45" hidden="1" customHeight="1" x14ac:dyDescent="0.25">
      <c r="B1294" s="936">
        <f t="shared" si="2907"/>
        <v>39843</v>
      </c>
      <c r="C1294" s="662">
        <f t="shared" si="2908"/>
        <v>0</v>
      </c>
      <c r="D1294" s="662">
        <f t="shared" si="2909"/>
        <v>0</v>
      </c>
      <c r="E1294" s="662">
        <f t="shared" si="2909"/>
        <v>0</v>
      </c>
      <c r="F1294" s="662">
        <f t="shared" si="2909"/>
        <v>0</v>
      </c>
      <c r="G1294" s="662">
        <f t="shared" si="2909"/>
        <v>0</v>
      </c>
      <c r="H1294" s="662">
        <f t="shared" si="2909"/>
        <v>0</v>
      </c>
      <c r="I1294" s="662">
        <f t="shared" si="2909"/>
        <v>0</v>
      </c>
      <c r="J1294" s="662">
        <f t="shared" si="2909"/>
        <v>0</v>
      </c>
      <c r="K1294" s="662">
        <f t="shared" si="2909"/>
        <v>0</v>
      </c>
      <c r="L1294" s="662">
        <f t="shared" si="2909"/>
        <v>0</v>
      </c>
      <c r="U1294" s="663"/>
      <c r="Z1294" s="663"/>
      <c r="AA1294" s="663"/>
      <c r="AB1294" s="663"/>
      <c r="AC1294" s="663"/>
      <c r="AD1294" s="663"/>
      <c r="AE1294" s="663"/>
      <c r="AF1294" s="663"/>
      <c r="AG1294" s="663"/>
      <c r="AH1294" s="663"/>
      <c r="AI1294" s="663"/>
      <c r="AJ1294" s="663"/>
      <c r="AK1294" s="663"/>
      <c r="AL1294" s="663"/>
      <c r="AM1294" s="663"/>
      <c r="AN1294" s="663"/>
    </row>
    <row r="1295" spans="2:40" ht="14.45" hidden="1" customHeight="1" x14ac:dyDescent="0.25">
      <c r="B1295" s="936">
        <f t="shared" si="2907"/>
        <v>39843</v>
      </c>
      <c r="C1295" s="662">
        <f t="shared" si="2908"/>
        <v>0</v>
      </c>
      <c r="D1295" s="662">
        <f t="shared" si="2909"/>
        <v>0</v>
      </c>
      <c r="E1295" s="662">
        <f t="shared" si="2909"/>
        <v>0</v>
      </c>
      <c r="F1295" s="662">
        <f t="shared" si="2909"/>
        <v>0</v>
      </c>
      <c r="G1295" s="662">
        <f t="shared" si="2909"/>
        <v>0</v>
      </c>
      <c r="H1295" s="662">
        <f t="shared" si="2909"/>
        <v>0</v>
      </c>
      <c r="I1295" s="662">
        <f t="shared" si="2909"/>
        <v>0</v>
      </c>
      <c r="J1295" s="662">
        <f t="shared" si="2909"/>
        <v>0</v>
      </c>
      <c r="K1295" s="662">
        <f t="shared" si="2909"/>
        <v>0</v>
      </c>
      <c r="L1295" s="662">
        <f t="shared" si="2909"/>
        <v>0</v>
      </c>
      <c r="U1295" s="663"/>
      <c r="Z1295" s="663"/>
      <c r="AA1295" s="663"/>
      <c r="AB1295" s="663"/>
      <c r="AC1295" s="663"/>
      <c r="AD1295" s="663"/>
      <c r="AE1295" s="663"/>
      <c r="AF1295" s="663"/>
      <c r="AG1295" s="663"/>
      <c r="AH1295" s="663"/>
      <c r="AI1295" s="663"/>
      <c r="AJ1295" s="663"/>
      <c r="AK1295" s="663"/>
      <c r="AL1295" s="663"/>
      <c r="AM1295" s="663"/>
      <c r="AN1295" s="663"/>
    </row>
    <row r="1296" spans="2:40" ht="14.45" hidden="1" customHeight="1" x14ac:dyDescent="0.25">
      <c r="B1296" s="936">
        <f t="shared" si="2907"/>
        <v>41179</v>
      </c>
      <c r="C1296" s="662">
        <f>C1710</f>
        <v>4078815.2610441777</v>
      </c>
      <c r="D1296" s="662">
        <f t="shared" ref="D1296:L1296" si="2910">D1710</f>
        <v>6118222.8915662663</v>
      </c>
      <c r="E1296" s="662">
        <f t="shared" si="2910"/>
        <v>8157630.5220883554</v>
      </c>
      <c r="F1296" s="662">
        <f t="shared" si="2910"/>
        <v>10197038.152610444</v>
      </c>
      <c r="G1296" s="662">
        <f t="shared" si="2910"/>
        <v>12236445.783132533</v>
      </c>
      <c r="H1296" s="662">
        <f t="shared" si="2910"/>
        <v>14275853.413654622</v>
      </c>
      <c r="I1296" s="662">
        <f t="shared" si="2910"/>
        <v>16315261.044176711</v>
      </c>
      <c r="J1296" s="662">
        <f t="shared" si="2910"/>
        <v>18354668.6746988</v>
      </c>
      <c r="K1296" s="662">
        <f t="shared" si="2910"/>
        <v>20394076.305220887</v>
      </c>
      <c r="L1296" s="662">
        <f t="shared" si="2910"/>
        <v>22433483.935742974</v>
      </c>
      <c r="U1296" s="663"/>
      <c r="Z1296" s="663"/>
      <c r="AA1296" s="663"/>
      <c r="AB1296" s="663"/>
      <c r="AC1296" s="663"/>
      <c r="AD1296" s="663"/>
      <c r="AE1296" s="663"/>
      <c r="AF1296" s="663"/>
      <c r="AG1296" s="663"/>
      <c r="AH1296" s="663"/>
      <c r="AI1296" s="663"/>
      <c r="AJ1296" s="663"/>
      <c r="AK1296" s="663"/>
      <c r="AL1296" s="663"/>
      <c r="AM1296" s="663"/>
      <c r="AN1296" s="663"/>
    </row>
    <row r="1297" spans="2:40" ht="14.45" hidden="1" customHeight="1" x14ac:dyDescent="0.25">
      <c r="C1297" s="882" t="str">
        <f ca="1">IF(ISERROR(XIRR(INDIRECT(C1299):C1296,INDIRECT($B1299):$B1296,-20%)),XIRR(INDIRECT(C1299):C1296,INDIRECT($B1299):$B1296,20%),"N/A")</f>
        <v>N/A</v>
      </c>
      <c r="D1297" s="882" t="str">
        <f ca="1">IF(ISERROR(XIRR(INDIRECT(D1299):D1296,INDIRECT($B1299):$B1296,-20%)),XIRR(INDIRECT(D1299):D1296,INDIRECT($B1299):$B1296,20%),"N/A")</f>
        <v>N/A</v>
      </c>
      <c r="E1297" s="882" t="str">
        <f ca="1">IF(ISERROR(XIRR(INDIRECT(E1299):E1296,INDIRECT($B1299):$B1296,-20%)),XIRR(INDIRECT(E1299):E1296,INDIRECT($B1299):$B1296,20%),"N/A")</f>
        <v>N/A</v>
      </c>
      <c r="F1297" s="882">
        <f ca="1">IF(ISERROR(XIRR(INDIRECT(F1299):F1296,INDIRECT($B1299):$B1296,-20%)),XIRR(INDIRECT(F1299):F1296,INDIRECT($B1299):$B1296,20%),"N/A")</f>
        <v>2.9530248045921331E-2</v>
      </c>
      <c r="G1297" s="882">
        <f ca="1">IF(ISERROR(XIRR(INDIRECT(G1299):G1296,INDIRECT($B1299):$B1296,-20%)),XIRR(INDIRECT(G1299):G1296,INDIRECT($B1299):$B1296,20%),"N/A")</f>
        <v>8.2110747694969177E-2</v>
      </c>
      <c r="H1297" s="882">
        <f ca="1">IF(ISERROR(XIRR(INDIRECT(H1299):H1296,INDIRECT($B1299):$B1296,-20%)),XIRR(INDIRECT(H1299):H1296,INDIRECT($B1299):$B1296,20%),"N/A")</f>
        <v>0.12865657210350037</v>
      </c>
      <c r="I1297" s="882">
        <f ca="1">IF(ISERROR(XIRR(INDIRECT(I1299):I1296,INDIRECT($B1299):$B1296,-20%)),XIRR(INDIRECT(I1299):I1296,INDIRECT($B1299):$B1296,20%),"N/A")</f>
        <v>0.17059164643287658</v>
      </c>
      <c r="J1297" s="882">
        <f ca="1">IF(ISERROR(XIRR(INDIRECT(J1299):J1296,INDIRECT($B1299):$B1296,-20%)),XIRR(INDIRECT(J1299):J1296,INDIRECT($B1299):$B1296,20%),"N/A")</f>
        <v>0.20887243151664736</v>
      </c>
      <c r="K1297" s="882">
        <f ca="1">IF(ISERROR(XIRR(INDIRECT(K1299):K1296,INDIRECT($B1299):$B1296,-20%)),XIRR(INDIRECT(K1299):K1296,INDIRECT($B1299):$B1296,20%),"N/A")</f>
        <v>0.24417533278465273</v>
      </c>
      <c r="L1297" s="882">
        <f ca="1">IF(ISERROR(XIRR(INDIRECT(L1299):L1296,INDIRECT($B1299):$B1296,-20%)),XIRR(INDIRECT(L1299):L1296,INDIRECT($B1299):$B1296,20%),"N/A")</f>
        <v>0.27699800133705144</v>
      </c>
      <c r="U1297" s="663"/>
      <c r="Z1297" s="663"/>
      <c r="AA1297" s="663"/>
      <c r="AB1297" s="663"/>
      <c r="AC1297" s="663"/>
      <c r="AD1297" s="663"/>
      <c r="AE1297" s="663"/>
      <c r="AF1297" s="663"/>
      <c r="AG1297" s="663"/>
      <c r="AH1297" s="663"/>
      <c r="AI1297" s="663"/>
      <c r="AJ1297" s="663"/>
      <c r="AK1297" s="663"/>
      <c r="AL1297" s="663"/>
      <c r="AM1297" s="663"/>
      <c r="AN1297" s="663"/>
    </row>
    <row r="1298" spans="2:40" ht="14.45" hidden="1" customHeight="1" x14ac:dyDescent="0.25">
      <c r="B1298" s="898">
        <f>IF(C1286&lt;&gt;0,ROW(C1286),IF(C1287&lt;&gt;0,ROW(C1287),IF(C1288&lt;&gt;0,ROW(C1288),IF(C1289&lt;&gt;0,ROW(C1289),IF(C1290&lt;&gt;0,ROW(C1290),IF(C1291&lt;&gt;0,ROW(C1291),IF(C1292&lt;&gt;0,ROW(C1292),IF(C1293&lt;&gt;0,ROW(C1293),IF(C1294&lt;&gt;0,ROW(C1294),IF(C1295&lt;&gt;0,ROW(C1295)))))))))))</f>
        <v>1288</v>
      </c>
      <c r="C1298" s="882"/>
      <c r="U1298" s="663"/>
      <c r="Z1298" s="663"/>
      <c r="AA1298" s="663"/>
      <c r="AB1298" s="663"/>
      <c r="AC1298" s="663"/>
      <c r="AD1298" s="663"/>
      <c r="AE1298" s="663"/>
      <c r="AF1298" s="663"/>
      <c r="AG1298" s="663"/>
      <c r="AH1298" s="663"/>
      <c r="AI1298" s="663"/>
      <c r="AJ1298" s="663"/>
      <c r="AK1298" s="663"/>
      <c r="AL1298" s="663"/>
      <c r="AM1298" s="663"/>
      <c r="AN1298" s="663"/>
    </row>
    <row r="1299" spans="2:40" ht="14.45" hidden="1" customHeight="1" x14ac:dyDescent="0.25">
      <c r="B1299" s="899" t="str">
        <f>CONCATENATE(IF(COLUMN(B1298)&lt;=26,CHAR(96+COLUMN(B1298)),(CHAR(96+(ROUNDDOWN((COLUMN(B1298)-1)/26,0)))&amp;CHAR(96+IF(MOD(COLUMN(B1298),26)=0,26,MOD(COLUMN(B1298),26))))),B1298)</f>
        <v>b1288</v>
      </c>
      <c r="C1299" s="899" t="str">
        <f>CONCATENATE(IF(COLUMN(C1297)&lt;=26,CHAR(96+COLUMN(C1297)),(CHAR(96+(ROUNDDOWN((COLUMN(C1297)-1)/26,0)))&amp;CHAR(96+IF(MOD(COLUMN(C1297),26)=0,26,MOD(COLUMN(C1297),26))))),$B1298)</f>
        <v>c1288</v>
      </c>
      <c r="D1299" s="899" t="str">
        <f t="shared" ref="D1299" si="2911">CONCATENATE(IF(COLUMN(D1297)&lt;=26,CHAR(96+COLUMN(D1297)),(CHAR(96+(ROUNDDOWN((COLUMN(D1297)-1)/26,0)))&amp;CHAR(96+IF(MOD(COLUMN(D1297),26)=0,26,MOD(COLUMN(D1297),26))))),$B1298)</f>
        <v>d1288</v>
      </c>
      <c r="E1299" s="899" t="str">
        <f t="shared" ref="E1299" si="2912">CONCATENATE(IF(COLUMN(E1297)&lt;=26,CHAR(96+COLUMN(E1297)),(CHAR(96+(ROUNDDOWN((COLUMN(E1297)-1)/26,0)))&amp;CHAR(96+IF(MOD(COLUMN(E1297),26)=0,26,MOD(COLUMN(E1297),26))))),$B1298)</f>
        <v>e1288</v>
      </c>
      <c r="F1299" s="899" t="str">
        <f t="shared" ref="F1299" si="2913">CONCATENATE(IF(COLUMN(F1297)&lt;=26,CHAR(96+COLUMN(F1297)),(CHAR(96+(ROUNDDOWN((COLUMN(F1297)-1)/26,0)))&amp;CHAR(96+IF(MOD(COLUMN(F1297),26)=0,26,MOD(COLUMN(F1297),26))))),$B1298)</f>
        <v>f1288</v>
      </c>
      <c r="G1299" s="899" t="str">
        <f t="shared" ref="G1299" si="2914">CONCATENATE(IF(COLUMN(G1297)&lt;=26,CHAR(96+COLUMN(G1297)),(CHAR(96+(ROUNDDOWN((COLUMN(G1297)-1)/26,0)))&amp;CHAR(96+IF(MOD(COLUMN(G1297),26)=0,26,MOD(COLUMN(G1297),26))))),$B1298)</f>
        <v>g1288</v>
      </c>
      <c r="H1299" s="899" t="str">
        <f t="shared" ref="H1299" si="2915">CONCATENATE(IF(COLUMN(H1297)&lt;=26,CHAR(96+COLUMN(H1297)),(CHAR(96+(ROUNDDOWN((COLUMN(H1297)-1)/26,0)))&amp;CHAR(96+IF(MOD(COLUMN(H1297),26)=0,26,MOD(COLUMN(H1297),26))))),$B1298)</f>
        <v>h1288</v>
      </c>
      <c r="I1299" s="899" t="str">
        <f t="shared" ref="I1299" si="2916">CONCATENATE(IF(COLUMN(I1297)&lt;=26,CHAR(96+COLUMN(I1297)),(CHAR(96+(ROUNDDOWN((COLUMN(I1297)-1)/26,0)))&amp;CHAR(96+IF(MOD(COLUMN(I1297),26)=0,26,MOD(COLUMN(I1297),26))))),$B1298)</f>
        <v>i1288</v>
      </c>
      <c r="J1299" s="899" t="str">
        <f t="shared" ref="J1299" si="2917">CONCATENATE(IF(COLUMN(J1297)&lt;=26,CHAR(96+COLUMN(J1297)),(CHAR(96+(ROUNDDOWN((COLUMN(J1297)-1)/26,0)))&amp;CHAR(96+IF(MOD(COLUMN(J1297),26)=0,26,MOD(COLUMN(J1297),26))))),$B1298)</f>
        <v>j1288</v>
      </c>
      <c r="K1299" s="899" t="str">
        <f t="shared" ref="K1299" si="2918">CONCATENATE(IF(COLUMN(K1297)&lt;=26,CHAR(96+COLUMN(K1297)),(CHAR(96+(ROUNDDOWN((COLUMN(K1297)-1)/26,0)))&amp;CHAR(96+IF(MOD(COLUMN(K1297),26)=0,26,MOD(COLUMN(K1297),26))))),$B1298)</f>
        <v>k1288</v>
      </c>
      <c r="L1299" s="899" t="str">
        <f t="shared" ref="L1299" si="2919">CONCATENATE(IF(COLUMN(L1297)&lt;=26,CHAR(96+COLUMN(L1297)),(CHAR(96+(ROUNDDOWN((COLUMN(L1297)-1)/26,0)))&amp;CHAR(96+IF(MOD(COLUMN(L1297),26)=0,26,MOD(COLUMN(L1297),26))))),$B1298)</f>
        <v>l1288</v>
      </c>
      <c r="U1299" s="663"/>
      <c r="Z1299" s="663"/>
      <c r="AA1299" s="663"/>
      <c r="AB1299" s="663"/>
      <c r="AC1299" s="663"/>
      <c r="AD1299" s="663"/>
      <c r="AE1299" s="663"/>
      <c r="AF1299" s="663"/>
      <c r="AG1299" s="663"/>
      <c r="AH1299" s="663"/>
      <c r="AI1299" s="663"/>
      <c r="AJ1299" s="663"/>
      <c r="AK1299" s="663"/>
      <c r="AL1299" s="663"/>
      <c r="AM1299" s="663"/>
      <c r="AN1299" s="663"/>
    </row>
    <row r="1300" spans="2:40" ht="14.45" hidden="1" customHeight="1" x14ac:dyDescent="0.25">
      <c r="B1300" s="661"/>
      <c r="C1300" s="662"/>
      <c r="U1300" s="663"/>
      <c r="Z1300" s="663"/>
      <c r="AA1300" s="663"/>
      <c r="AB1300" s="663"/>
      <c r="AC1300" s="663"/>
      <c r="AD1300" s="663"/>
      <c r="AE1300" s="663"/>
      <c r="AF1300" s="663"/>
      <c r="AG1300" s="663"/>
      <c r="AH1300" s="663"/>
      <c r="AI1300" s="663"/>
      <c r="AJ1300" s="663"/>
      <c r="AK1300" s="663"/>
      <c r="AL1300" s="663"/>
      <c r="AM1300" s="663"/>
      <c r="AN1300" s="663"/>
    </row>
    <row r="1301" spans="2:40" ht="14.45" hidden="1" customHeight="1" x14ac:dyDescent="0.25">
      <c r="B1301" s="661"/>
      <c r="C1301" s="662"/>
      <c r="U1301" s="663"/>
      <c r="Z1301" s="663"/>
      <c r="AA1301" s="663"/>
      <c r="AB1301" s="663"/>
      <c r="AC1301" s="663"/>
      <c r="AD1301" s="663"/>
      <c r="AE1301" s="663"/>
      <c r="AF1301" s="663"/>
      <c r="AG1301" s="663"/>
      <c r="AH1301" s="663"/>
      <c r="AI1301" s="663"/>
      <c r="AJ1301" s="663"/>
      <c r="AK1301" s="663"/>
      <c r="AL1301" s="663"/>
      <c r="AM1301" s="663"/>
      <c r="AN1301" s="663"/>
    </row>
    <row r="1302" spans="2:40" ht="14.45" hidden="1" customHeight="1" x14ac:dyDescent="0.25">
      <c r="B1302" s="936">
        <f>B1286</f>
        <v>39113</v>
      </c>
      <c r="C1302" s="662">
        <f>C1286</f>
        <v>0</v>
      </c>
      <c r="D1302" s="662">
        <f t="shared" ref="D1302:L1302" si="2920">D1286</f>
        <v>0</v>
      </c>
      <c r="E1302" s="662">
        <f t="shared" si="2920"/>
        <v>0</v>
      </c>
      <c r="F1302" s="662">
        <f t="shared" si="2920"/>
        <v>0</v>
      </c>
      <c r="G1302" s="662">
        <f t="shared" si="2920"/>
        <v>0</v>
      </c>
      <c r="H1302" s="662">
        <f t="shared" si="2920"/>
        <v>0</v>
      </c>
      <c r="I1302" s="662">
        <f t="shared" si="2920"/>
        <v>0</v>
      </c>
      <c r="J1302" s="662">
        <f t="shared" si="2920"/>
        <v>0</v>
      </c>
      <c r="K1302" s="662">
        <f t="shared" si="2920"/>
        <v>0</v>
      </c>
      <c r="L1302" s="662">
        <f t="shared" si="2920"/>
        <v>0</v>
      </c>
      <c r="U1302" s="663"/>
      <c r="Z1302" s="663"/>
      <c r="AA1302" s="663"/>
      <c r="AB1302" s="663"/>
      <c r="AC1302" s="663"/>
      <c r="AD1302" s="663"/>
      <c r="AE1302" s="663"/>
      <c r="AF1302" s="663"/>
      <c r="AG1302" s="663"/>
      <c r="AH1302" s="663"/>
      <c r="AI1302" s="663"/>
      <c r="AJ1302" s="663"/>
      <c r="AK1302" s="663"/>
      <c r="AL1302" s="663"/>
      <c r="AM1302" s="663"/>
      <c r="AN1302" s="663"/>
    </row>
    <row r="1303" spans="2:40" ht="14.45" hidden="1" customHeight="1" x14ac:dyDescent="0.25">
      <c r="B1303" s="936">
        <f t="shared" ref="B1303:L1303" si="2921">B1287</f>
        <v>39478</v>
      </c>
      <c r="C1303" s="662">
        <f t="shared" si="2921"/>
        <v>0</v>
      </c>
      <c r="D1303" s="662">
        <f t="shared" si="2921"/>
        <v>0</v>
      </c>
      <c r="E1303" s="662">
        <f t="shared" si="2921"/>
        <v>0</v>
      </c>
      <c r="F1303" s="662">
        <f t="shared" si="2921"/>
        <v>0</v>
      </c>
      <c r="G1303" s="662">
        <f t="shared" si="2921"/>
        <v>0</v>
      </c>
      <c r="H1303" s="662">
        <f t="shared" si="2921"/>
        <v>0</v>
      </c>
      <c r="I1303" s="662">
        <f t="shared" si="2921"/>
        <v>0</v>
      </c>
      <c r="J1303" s="662">
        <f t="shared" si="2921"/>
        <v>0</v>
      </c>
      <c r="K1303" s="662">
        <f t="shared" si="2921"/>
        <v>0</v>
      </c>
      <c r="L1303" s="662">
        <f t="shared" si="2921"/>
        <v>0</v>
      </c>
      <c r="U1303" s="663"/>
      <c r="Z1303" s="663"/>
      <c r="AA1303" s="663"/>
      <c r="AB1303" s="663"/>
      <c r="AC1303" s="663"/>
      <c r="AD1303" s="663"/>
      <c r="AE1303" s="663"/>
      <c r="AF1303" s="663"/>
      <c r="AG1303" s="663"/>
      <c r="AH1303" s="663"/>
      <c r="AI1303" s="663"/>
      <c r="AJ1303" s="663"/>
      <c r="AK1303" s="663"/>
      <c r="AL1303" s="663"/>
      <c r="AM1303" s="663"/>
      <c r="AN1303" s="663"/>
    </row>
    <row r="1304" spans="2:40" ht="14.45" hidden="1" customHeight="1" x14ac:dyDescent="0.25">
      <c r="B1304" s="936">
        <f t="shared" ref="B1304:L1304" si="2922">B1288</f>
        <v>39843</v>
      </c>
      <c r="C1304" s="662">
        <f t="shared" si="2922"/>
        <v>-2500000</v>
      </c>
      <c r="D1304" s="662">
        <f t="shared" si="2922"/>
        <v>-2500000</v>
      </c>
      <c r="E1304" s="662">
        <f t="shared" si="2922"/>
        <v>-2500000</v>
      </c>
      <c r="F1304" s="662">
        <f t="shared" si="2922"/>
        <v>-2500000</v>
      </c>
      <c r="G1304" s="662">
        <f t="shared" si="2922"/>
        <v>-2500000</v>
      </c>
      <c r="H1304" s="662">
        <f t="shared" si="2922"/>
        <v>-2500000</v>
      </c>
      <c r="I1304" s="662">
        <f t="shared" si="2922"/>
        <v>-2500000</v>
      </c>
      <c r="J1304" s="662">
        <f t="shared" si="2922"/>
        <v>-2500000</v>
      </c>
      <c r="K1304" s="662">
        <f t="shared" si="2922"/>
        <v>-2500000</v>
      </c>
      <c r="L1304" s="662">
        <f t="shared" si="2922"/>
        <v>-2500000</v>
      </c>
      <c r="U1304" s="663"/>
      <c r="Z1304" s="663"/>
      <c r="AA1304" s="663"/>
      <c r="AB1304" s="663"/>
      <c r="AC1304" s="663"/>
      <c r="AD1304" s="663"/>
      <c r="AE1304" s="663"/>
      <c r="AF1304" s="663"/>
      <c r="AG1304" s="663"/>
      <c r="AH1304" s="663"/>
      <c r="AI1304" s="663"/>
      <c r="AJ1304" s="663"/>
      <c r="AK1304" s="663"/>
      <c r="AL1304" s="663"/>
      <c r="AM1304" s="663"/>
      <c r="AN1304" s="663"/>
    </row>
    <row r="1305" spans="2:40" ht="14.45" hidden="1" customHeight="1" x14ac:dyDescent="0.25">
      <c r="B1305" s="936">
        <f t="shared" ref="B1305:L1305" si="2923">B1289</f>
        <v>39843</v>
      </c>
      <c r="C1305" s="662">
        <f t="shared" si="2923"/>
        <v>-6666666.666666667</v>
      </c>
      <c r="D1305" s="662">
        <f t="shared" si="2923"/>
        <v>-6666666.666666667</v>
      </c>
      <c r="E1305" s="662">
        <f t="shared" si="2923"/>
        <v>-6666666.666666667</v>
      </c>
      <c r="F1305" s="662">
        <f t="shared" si="2923"/>
        <v>-6666666.666666667</v>
      </c>
      <c r="G1305" s="662">
        <f t="shared" si="2923"/>
        <v>-6666666.666666667</v>
      </c>
      <c r="H1305" s="662">
        <f t="shared" si="2923"/>
        <v>-6666666.666666667</v>
      </c>
      <c r="I1305" s="662">
        <f t="shared" si="2923"/>
        <v>-6666666.666666667</v>
      </c>
      <c r="J1305" s="662">
        <f t="shared" si="2923"/>
        <v>-6666666.666666667</v>
      </c>
      <c r="K1305" s="662">
        <f t="shared" si="2923"/>
        <v>-6666666.666666667</v>
      </c>
      <c r="L1305" s="662">
        <f t="shared" si="2923"/>
        <v>-6666666.666666667</v>
      </c>
      <c r="U1305" s="663"/>
      <c r="Z1305" s="663"/>
      <c r="AA1305" s="663"/>
      <c r="AB1305" s="663"/>
      <c r="AC1305" s="663"/>
      <c r="AD1305" s="663"/>
      <c r="AE1305" s="663"/>
      <c r="AF1305" s="663"/>
      <c r="AG1305" s="663"/>
      <c r="AH1305" s="663"/>
      <c r="AI1305" s="663"/>
      <c r="AJ1305" s="663"/>
      <c r="AK1305" s="663"/>
      <c r="AL1305" s="663"/>
      <c r="AM1305" s="663"/>
      <c r="AN1305" s="663"/>
    </row>
    <row r="1306" spans="2:40" ht="14.45" hidden="1" customHeight="1" x14ac:dyDescent="0.25">
      <c r="B1306" s="936">
        <f t="shared" ref="B1306:L1306" si="2924">B1290</f>
        <v>39843</v>
      </c>
      <c r="C1306" s="662">
        <f t="shared" si="2924"/>
        <v>0</v>
      </c>
      <c r="D1306" s="662">
        <f t="shared" si="2924"/>
        <v>0</v>
      </c>
      <c r="E1306" s="662">
        <f t="shared" si="2924"/>
        <v>0</v>
      </c>
      <c r="F1306" s="662">
        <f t="shared" si="2924"/>
        <v>0</v>
      </c>
      <c r="G1306" s="662">
        <f t="shared" si="2924"/>
        <v>0</v>
      </c>
      <c r="H1306" s="662">
        <f t="shared" si="2924"/>
        <v>0</v>
      </c>
      <c r="I1306" s="662">
        <f t="shared" si="2924"/>
        <v>0</v>
      </c>
      <c r="J1306" s="662">
        <f t="shared" si="2924"/>
        <v>0</v>
      </c>
      <c r="K1306" s="662">
        <f t="shared" si="2924"/>
        <v>0</v>
      </c>
      <c r="L1306" s="662">
        <f t="shared" si="2924"/>
        <v>0</v>
      </c>
      <c r="U1306" s="663"/>
      <c r="Z1306" s="663"/>
      <c r="AA1306" s="663"/>
      <c r="AB1306" s="663"/>
      <c r="AC1306" s="663"/>
      <c r="AD1306" s="663"/>
      <c r="AE1306" s="663"/>
      <c r="AF1306" s="663"/>
      <c r="AG1306" s="663"/>
      <c r="AH1306" s="663"/>
      <c r="AI1306" s="663"/>
      <c r="AJ1306" s="663"/>
      <c r="AK1306" s="663"/>
      <c r="AL1306" s="663"/>
      <c r="AM1306" s="663"/>
      <c r="AN1306" s="663"/>
    </row>
    <row r="1307" spans="2:40" ht="14.45" hidden="1" customHeight="1" x14ac:dyDescent="0.25">
      <c r="B1307" s="936">
        <f t="shared" ref="B1307:L1307" si="2925">B1291</f>
        <v>39843</v>
      </c>
      <c r="C1307" s="662">
        <f t="shared" si="2925"/>
        <v>0</v>
      </c>
      <c r="D1307" s="662">
        <f t="shared" si="2925"/>
        <v>0</v>
      </c>
      <c r="E1307" s="662">
        <f t="shared" si="2925"/>
        <v>0</v>
      </c>
      <c r="F1307" s="662">
        <f t="shared" si="2925"/>
        <v>0</v>
      </c>
      <c r="G1307" s="662">
        <f t="shared" si="2925"/>
        <v>0</v>
      </c>
      <c r="H1307" s="662">
        <f t="shared" si="2925"/>
        <v>0</v>
      </c>
      <c r="I1307" s="662">
        <f t="shared" si="2925"/>
        <v>0</v>
      </c>
      <c r="J1307" s="662">
        <f t="shared" si="2925"/>
        <v>0</v>
      </c>
      <c r="K1307" s="662">
        <f t="shared" si="2925"/>
        <v>0</v>
      </c>
      <c r="L1307" s="662">
        <f t="shared" si="2925"/>
        <v>0</v>
      </c>
      <c r="U1307" s="663"/>
      <c r="Z1307" s="663"/>
      <c r="AA1307" s="663"/>
      <c r="AB1307" s="663"/>
      <c r="AC1307" s="663"/>
      <c r="AD1307" s="663"/>
      <c r="AE1307" s="663"/>
      <c r="AF1307" s="663"/>
      <c r="AG1307" s="663"/>
      <c r="AH1307" s="663"/>
      <c r="AI1307" s="663"/>
      <c r="AJ1307" s="663"/>
      <c r="AK1307" s="663"/>
      <c r="AL1307" s="663"/>
      <c r="AM1307" s="663"/>
      <c r="AN1307" s="663"/>
    </row>
    <row r="1308" spans="2:40" ht="14.45" hidden="1" customHeight="1" x14ac:dyDescent="0.25">
      <c r="B1308" s="936">
        <f t="shared" ref="B1308:L1308" si="2926">B1292</f>
        <v>39843</v>
      </c>
      <c r="C1308" s="662">
        <f t="shared" si="2926"/>
        <v>0</v>
      </c>
      <c r="D1308" s="662">
        <f t="shared" si="2926"/>
        <v>0</v>
      </c>
      <c r="E1308" s="662">
        <f t="shared" si="2926"/>
        <v>0</v>
      </c>
      <c r="F1308" s="662">
        <f t="shared" si="2926"/>
        <v>0</v>
      </c>
      <c r="G1308" s="662">
        <f t="shared" si="2926"/>
        <v>0</v>
      </c>
      <c r="H1308" s="662">
        <f t="shared" si="2926"/>
        <v>0</v>
      </c>
      <c r="I1308" s="662">
        <f t="shared" si="2926"/>
        <v>0</v>
      </c>
      <c r="J1308" s="662">
        <f t="shared" si="2926"/>
        <v>0</v>
      </c>
      <c r="K1308" s="662">
        <f t="shared" si="2926"/>
        <v>0</v>
      </c>
      <c r="L1308" s="662">
        <f t="shared" si="2926"/>
        <v>0</v>
      </c>
      <c r="U1308" s="663"/>
      <c r="Z1308" s="663"/>
      <c r="AA1308" s="663"/>
      <c r="AB1308" s="663"/>
      <c r="AC1308" s="663"/>
      <c r="AD1308" s="663"/>
      <c r="AE1308" s="663"/>
      <c r="AF1308" s="663"/>
      <c r="AG1308" s="663"/>
      <c r="AH1308" s="663"/>
      <c r="AI1308" s="663"/>
      <c r="AJ1308" s="663"/>
      <c r="AK1308" s="663"/>
      <c r="AL1308" s="663"/>
      <c r="AM1308" s="663"/>
      <c r="AN1308" s="663"/>
    </row>
    <row r="1309" spans="2:40" ht="14.45" hidden="1" customHeight="1" x14ac:dyDescent="0.25">
      <c r="B1309" s="936">
        <f t="shared" ref="B1309:L1309" si="2927">B1293</f>
        <v>39843</v>
      </c>
      <c r="C1309" s="662">
        <f t="shared" si="2927"/>
        <v>0</v>
      </c>
      <c r="D1309" s="662">
        <f t="shared" si="2927"/>
        <v>0</v>
      </c>
      <c r="E1309" s="662">
        <f t="shared" si="2927"/>
        <v>0</v>
      </c>
      <c r="F1309" s="662">
        <f t="shared" si="2927"/>
        <v>0</v>
      </c>
      <c r="G1309" s="662">
        <f t="shared" si="2927"/>
        <v>0</v>
      </c>
      <c r="H1309" s="662">
        <f t="shared" si="2927"/>
        <v>0</v>
      </c>
      <c r="I1309" s="662">
        <f t="shared" si="2927"/>
        <v>0</v>
      </c>
      <c r="J1309" s="662">
        <f t="shared" si="2927"/>
        <v>0</v>
      </c>
      <c r="K1309" s="662">
        <f t="shared" si="2927"/>
        <v>0</v>
      </c>
      <c r="L1309" s="662">
        <f t="shared" si="2927"/>
        <v>0</v>
      </c>
      <c r="U1309" s="663"/>
      <c r="Z1309" s="663"/>
      <c r="AA1309" s="663"/>
      <c r="AB1309" s="663"/>
      <c r="AC1309" s="663"/>
      <c r="AD1309" s="663"/>
      <c r="AE1309" s="663"/>
      <c r="AF1309" s="663"/>
      <c r="AG1309" s="663"/>
      <c r="AH1309" s="663"/>
      <c r="AI1309" s="663"/>
      <c r="AJ1309" s="663"/>
      <c r="AK1309" s="663"/>
      <c r="AL1309" s="663"/>
      <c r="AM1309" s="663"/>
      <c r="AN1309" s="663"/>
    </row>
    <row r="1310" spans="2:40" ht="14.45" hidden="1" customHeight="1" x14ac:dyDescent="0.25">
      <c r="B1310" s="936">
        <f t="shared" ref="B1310:L1310" si="2928">B1294</f>
        <v>39843</v>
      </c>
      <c r="C1310" s="662">
        <f t="shared" si="2928"/>
        <v>0</v>
      </c>
      <c r="D1310" s="662">
        <f t="shared" si="2928"/>
        <v>0</v>
      </c>
      <c r="E1310" s="662">
        <f t="shared" si="2928"/>
        <v>0</v>
      </c>
      <c r="F1310" s="662">
        <f t="shared" si="2928"/>
        <v>0</v>
      </c>
      <c r="G1310" s="662">
        <f t="shared" si="2928"/>
        <v>0</v>
      </c>
      <c r="H1310" s="662">
        <f t="shared" si="2928"/>
        <v>0</v>
      </c>
      <c r="I1310" s="662">
        <f t="shared" si="2928"/>
        <v>0</v>
      </c>
      <c r="J1310" s="662">
        <f t="shared" si="2928"/>
        <v>0</v>
      </c>
      <c r="K1310" s="662">
        <f t="shared" si="2928"/>
        <v>0</v>
      </c>
      <c r="L1310" s="662">
        <f t="shared" si="2928"/>
        <v>0</v>
      </c>
      <c r="U1310" s="663"/>
      <c r="Z1310" s="663"/>
      <c r="AA1310" s="663"/>
      <c r="AB1310" s="663"/>
      <c r="AC1310" s="663"/>
      <c r="AD1310" s="663"/>
      <c r="AE1310" s="663"/>
      <c r="AF1310" s="663"/>
      <c r="AG1310" s="663"/>
      <c r="AH1310" s="663"/>
      <c r="AI1310" s="663"/>
      <c r="AJ1310" s="663"/>
      <c r="AK1310" s="663"/>
      <c r="AL1310" s="663"/>
      <c r="AM1310" s="663"/>
      <c r="AN1310" s="663"/>
    </row>
    <row r="1311" spans="2:40" ht="14.45" hidden="1" customHeight="1" x14ac:dyDescent="0.25">
      <c r="B1311" s="936">
        <f t="shared" ref="B1311:L1311" si="2929">B1295</f>
        <v>39843</v>
      </c>
      <c r="C1311" s="662">
        <f t="shared" si="2929"/>
        <v>0</v>
      </c>
      <c r="D1311" s="662">
        <f t="shared" si="2929"/>
        <v>0</v>
      </c>
      <c r="E1311" s="662">
        <f t="shared" si="2929"/>
        <v>0</v>
      </c>
      <c r="F1311" s="662">
        <f t="shared" si="2929"/>
        <v>0</v>
      </c>
      <c r="G1311" s="662">
        <f t="shared" si="2929"/>
        <v>0</v>
      </c>
      <c r="H1311" s="662">
        <f t="shared" si="2929"/>
        <v>0</v>
      </c>
      <c r="I1311" s="662">
        <f t="shared" si="2929"/>
        <v>0</v>
      </c>
      <c r="J1311" s="662">
        <f t="shared" si="2929"/>
        <v>0</v>
      </c>
      <c r="K1311" s="662">
        <f t="shared" si="2929"/>
        <v>0</v>
      </c>
      <c r="L1311" s="662">
        <f t="shared" si="2929"/>
        <v>0</v>
      </c>
      <c r="U1311" s="663"/>
      <c r="Z1311" s="663"/>
      <c r="AA1311" s="663"/>
      <c r="AB1311" s="663"/>
      <c r="AC1311" s="663"/>
      <c r="AD1311" s="663"/>
      <c r="AE1311" s="663"/>
      <c r="AF1311" s="663"/>
      <c r="AG1311" s="663"/>
      <c r="AH1311" s="663"/>
      <c r="AI1311" s="663"/>
      <c r="AJ1311" s="663"/>
      <c r="AK1311" s="663"/>
      <c r="AL1311" s="663"/>
      <c r="AM1311" s="663"/>
      <c r="AN1311" s="663"/>
    </row>
    <row r="1312" spans="2:40" ht="14.45" hidden="1" customHeight="1" x14ac:dyDescent="0.25">
      <c r="B1312" s="936">
        <f>B1246</f>
        <v>41359</v>
      </c>
      <c r="C1312" s="662">
        <f t="shared" ref="C1312:L1312" si="2930">C1296</f>
        <v>4078815.2610441777</v>
      </c>
      <c r="D1312" s="662">
        <f t="shared" si="2930"/>
        <v>6118222.8915662663</v>
      </c>
      <c r="E1312" s="662">
        <f t="shared" si="2930"/>
        <v>8157630.5220883554</v>
      </c>
      <c r="F1312" s="662">
        <f t="shared" si="2930"/>
        <v>10197038.152610444</v>
      </c>
      <c r="G1312" s="662">
        <f t="shared" si="2930"/>
        <v>12236445.783132533</v>
      </c>
      <c r="H1312" s="662">
        <f t="shared" si="2930"/>
        <v>14275853.413654622</v>
      </c>
      <c r="I1312" s="662">
        <f t="shared" si="2930"/>
        <v>16315261.044176711</v>
      </c>
      <c r="J1312" s="662">
        <f t="shared" si="2930"/>
        <v>18354668.6746988</v>
      </c>
      <c r="K1312" s="662">
        <f t="shared" si="2930"/>
        <v>20394076.305220887</v>
      </c>
      <c r="L1312" s="662">
        <f t="shared" si="2930"/>
        <v>22433483.935742974</v>
      </c>
      <c r="U1312" s="663"/>
      <c r="Z1312" s="663"/>
      <c r="AA1312" s="663"/>
      <c r="AB1312" s="663"/>
      <c r="AC1312" s="663"/>
      <c r="AD1312" s="663"/>
      <c r="AE1312" s="663"/>
      <c r="AF1312" s="663"/>
      <c r="AG1312" s="663"/>
      <c r="AH1312" s="663"/>
      <c r="AI1312" s="663"/>
      <c r="AJ1312" s="663"/>
      <c r="AK1312" s="663"/>
      <c r="AL1312" s="663"/>
      <c r="AM1312" s="663"/>
      <c r="AN1312" s="663"/>
    </row>
    <row r="1313" spans="2:40" ht="14.45" hidden="1" customHeight="1" x14ac:dyDescent="0.25">
      <c r="C1313" s="882" t="str">
        <f ca="1">IF(ISERROR(XIRR(INDIRECT(C1315):C1312,INDIRECT($B1315):$B1312,-20%)),XIRR(INDIRECT(C1315):C1312,INDIRECT($B1315):$B1312,20%),"N/A")</f>
        <v>N/A</v>
      </c>
      <c r="D1313" s="882" t="str">
        <f ca="1">IF(ISERROR(XIRR(INDIRECT(D1315):D1312,INDIRECT($B1315):$B1312,-20%)),XIRR(INDIRECT(D1315):D1312,INDIRECT($B1315):$B1312,20%),"N/A")</f>
        <v>N/A</v>
      </c>
      <c r="E1313" s="882" t="str">
        <f ca="1">IF(ISERROR(XIRR(INDIRECT(E1315):E1312,INDIRECT($B1315):$B1312,-20%)),XIRR(INDIRECT(E1315):E1312,INDIRECT($B1315):$B1312,20%),"N/A")</f>
        <v>N/A</v>
      </c>
      <c r="F1313" s="882">
        <f ca="1">IF(ISERROR(XIRR(INDIRECT(F1315):F1312,INDIRECT($B1315):$B1312,-20%)),XIRR(INDIRECT(F1315):F1312,INDIRECT($B1315):$B1312,20%),"N/A")</f>
        <v>2.597889006137848E-2</v>
      </c>
      <c r="G1313" s="882">
        <f ca="1">IF(ISERROR(XIRR(INDIRECT(G1315):G1312,INDIRECT($B1315):$B1312,-20%)),XIRR(INDIRECT(G1315):G1312,INDIRECT($B1315):$B1312,20%),"N/A")</f>
        <v>7.2019067406654383E-2</v>
      </c>
      <c r="H1313" s="882">
        <f ca="1">IF(ISERROR(XIRR(INDIRECT(H1315):H1312,INDIRECT($B1315):$B1312,-20%)),XIRR(INDIRECT(H1315):H1312,INDIRECT($B1315):$B1312,20%),"N/A")</f>
        <v>0.11255366206169126</v>
      </c>
      <c r="I1313" s="882">
        <f ca="1">IF(ISERROR(XIRR(INDIRECT(I1315):I1312,INDIRECT($B1315):$B1312,-20%)),XIRR(INDIRECT(I1315):I1312,INDIRECT($B1315):$B1312,20%),"N/A")</f>
        <v>0.14890311360359193</v>
      </c>
      <c r="J1313" s="882">
        <f ca="1">IF(ISERROR(XIRR(INDIRECT(J1315):J1312,INDIRECT($B1315):$B1312,-20%)),XIRR(INDIRECT(J1315):J1312,INDIRECT($B1315):$B1312,20%),"N/A")</f>
        <v>0.18195013403892521</v>
      </c>
      <c r="K1313" s="882">
        <f ca="1">IF(ISERROR(XIRR(INDIRECT(K1315):K1312,INDIRECT($B1315):$B1312,-20%)),XIRR(INDIRECT(K1315):K1312,INDIRECT($B1315):$B1312,20%),"N/A")</f>
        <v>0.21231635212898259</v>
      </c>
      <c r="L1313" s="882">
        <f ca="1">IF(ISERROR(XIRR(INDIRECT(L1315):L1312,INDIRECT($B1315):$B1312,-20%)),XIRR(INDIRECT(L1315):L1312,INDIRECT($B1315):$B1312,20%),"N/A")</f>
        <v>0.24045746922492978</v>
      </c>
      <c r="U1313" s="663"/>
      <c r="Z1313" s="663"/>
      <c r="AA1313" s="663"/>
      <c r="AB1313" s="663"/>
      <c r="AC1313" s="663"/>
      <c r="AD1313" s="663"/>
      <c r="AE1313" s="663"/>
      <c r="AF1313" s="663"/>
      <c r="AG1313" s="663"/>
      <c r="AH1313" s="663"/>
      <c r="AI1313" s="663"/>
      <c r="AJ1313" s="663"/>
      <c r="AK1313" s="663"/>
      <c r="AL1313" s="663"/>
      <c r="AM1313" s="663"/>
      <c r="AN1313" s="663"/>
    </row>
    <row r="1314" spans="2:40" ht="14.45" hidden="1" customHeight="1" x14ac:dyDescent="0.25">
      <c r="B1314" s="898">
        <f>IF(C1302&lt;&gt;0,ROW(C1302),IF(C1303&lt;&gt;0,ROW(C1303),IF(C1304&lt;&gt;0,ROW(C1304),IF(C1305&lt;&gt;0,ROW(C1305),IF(C1306&lt;&gt;0,ROW(C1306),IF(C1307&lt;&gt;0,ROW(C1307),IF(C1308&lt;&gt;0,ROW(C1308),IF(C1309&lt;&gt;0,ROW(C1309),IF(C1310&lt;&gt;0,ROW(C1310),IF(C1311&lt;&gt;0,ROW(C1311)))))))))))</f>
        <v>1304</v>
      </c>
      <c r="C1314" s="882"/>
      <c r="U1314" s="663"/>
      <c r="Z1314" s="663"/>
      <c r="AA1314" s="663"/>
      <c r="AB1314" s="663"/>
      <c r="AC1314" s="663"/>
      <c r="AD1314" s="663"/>
      <c r="AE1314" s="663"/>
      <c r="AF1314" s="663"/>
      <c r="AG1314" s="663"/>
      <c r="AH1314" s="663"/>
      <c r="AI1314" s="663"/>
      <c r="AJ1314" s="663"/>
      <c r="AK1314" s="663"/>
      <c r="AL1314" s="663"/>
      <c r="AM1314" s="663"/>
      <c r="AN1314" s="663"/>
    </row>
    <row r="1315" spans="2:40" ht="14.45" hidden="1" customHeight="1" x14ac:dyDescent="0.25">
      <c r="B1315" s="899" t="str">
        <f>CONCATENATE(IF(COLUMN(B1314)&lt;=26,CHAR(96+COLUMN(B1314)),(CHAR(96+(ROUNDDOWN((COLUMN(B1314)-1)/26,0)))&amp;CHAR(96+IF(MOD(COLUMN(B1314),26)=0,26,MOD(COLUMN(B1314),26))))),B1314)</f>
        <v>b1304</v>
      </c>
      <c r="C1315" s="899" t="str">
        <f>CONCATENATE(IF(COLUMN(C1313)&lt;=26,CHAR(96+COLUMN(C1313)),(CHAR(96+(ROUNDDOWN((COLUMN(C1313)-1)/26,0)))&amp;CHAR(96+IF(MOD(COLUMN(C1313),26)=0,26,MOD(COLUMN(C1313),26))))),$B1314)</f>
        <v>c1304</v>
      </c>
      <c r="D1315" s="899" t="str">
        <f t="shared" ref="D1315" si="2931">CONCATENATE(IF(COLUMN(D1313)&lt;=26,CHAR(96+COLUMN(D1313)),(CHAR(96+(ROUNDDOWN((COLUMN(D1313)-1)/26,0)))&amp;CHAR(96+IF(MOD(COLUMN(D1313),26)=0,26,MOD(COLUMN(D1313),26))))),$B1314)</f>
        <v>d1304</v>
      </c>
      <c r="E1315" s="899" t="str">
        <f t="shared" ref="E1315" si="2932">CONCATENATE(IF(COLUMN(E1313)&lt;=26,CHAR(96+COLUMN(E1313)),(CHAR(96+(ROUNDDOWN((COLUMN(E1313)-1)/26,0)))&amp;CHAR(96+IF(MOD(COLUMN(E1313),26)=0,26,MOD(COLUMN(E1313),26))))),$B1314)</f>
        <v>e1304</v>
      </c>
      <c r="F1315" s="899" t="str">
        <f t="shared" ref="F1315" si="2933">CONCATENATE(IF(COLUMN(F1313)&lt;=26,CHAR(96+COLUMN(F1313)),(CHAR(96+(ROUNDDOWN((COLUMN(F1313)-1)/26,0)))&amp;CHAR(96+IF(MOD(COLUMN(F1313),26)=0,26,MOD(COLUMN(F1313),26))))),$B1314)</f>
        <v>f1304</v>
      </c>
      <c r="G1315" s="899" t="str">
        <f t="shared" ref="G1315" si="2934">CONCATENATE(IF(COLUMN(G1313)&lt;=26,CHAR(96+COLUMN(G1313)),(CHAR(96+(ROUNDDOWN((COLUMN(G1313)-1)/26,0)))&amp;CHAR(96+IF(MOD(COLUMN(G1313),26)=0,26,MOD(COLUMN(G1313),26))))),$B1314)</f>
        <v>g1304</v>
      </c>
      <c r="H1315" s="899" t="str">
        <f t="shared" ref="H1315" si="2935">CONCATENATE(IF(COLUMN(H1313)&lt;=26,CHAR(96+COLUMN(H1313)),(CHAR(96+(ROUNDDOWN((COLUMN(H1313)-1)/26,0)))&amp;CHAR(96+IF(MOD(COLUMN(H1313),26)=0,26,MOD(COLUMN(H1313),26))))),$B1314)</f>
        <v>h1304</v>
      </c>
      <c r="I1315" s="899" t="str">
        <f t="shared" ref="I1315" si="2936">CONCATENATE(IF(COLUMN(I1313)&lt;=26,CHAR(96+COLUMN(I1313)),(CHAR(96+(ROUNDDOWN((COLUMN(I1313)-1)/26,0)))&amp;CHAR(96+IF(MOD(COLUMN(I1313),26)=0,26,MOD(COLUMN(I1313),26))))),$B1314)</f>
        <v>i1304</v>
      </c>
      <c r="J1315" s="899" t="str">
        <f t="shared" ref="J1315" si="2937">CONCATENATE(IF(COLUMN(J1313)&lt;=26,CHAR(96+COLUMN(J1313)),(CHAR(96+(ROUNDDOWN((COLUMN(J1313)-1)/26,0)))&amp;CHAR(96+IF(MOD(COLUMN(J1313),26)=0,26,MOD(COLUMN(J1313),26))))),$B1314)</f>
        <v>j1304</v>
      </c>
      <c r="K1315" s="899" t="str">
        <f t="shared" ref="K1315" si="2938">CONCATENATE(IF(COLUMN(K1313)&lt;=26,CHAR(96+COLUMN(K1313)),(CHAR(96+(ROUNDDOWN((COLUMN(K1313)-1)/26,0)))&amp;CHAR(96+IF(MOD(COLUMN(K1313),26)=0,26,MOD(COLUMN(K1313),26))))),$B1314)</f>
        <v>k1304</v>
      </c>
      <c r="L1315" s="899" t="str">
        <f t="shared" ref="L1315" si="2939">CONCATENATE(IF(COLUMN(L1313)&lt;=26,CHAR(96+COLUMN(L1313)),(CHAR(96+(ROUNDDOWN((COLUMN(L1313)-1)/26,0)))&amp;CHAR(96+IF(MOD(COLUMN(L1313),26)=0,26,MOD(COLUMN(L1313),26))))),$B1314)</f>
        <v>l1304</v>
      </c>
      <c r="U1315" s="663"/>
      <c r="Z1315" s="663"/>
      <c r="AA1315" s="663"/>
      <c r="AB1315" s="663"/>
      <c r="AC1315" s="663"/>
      <c r="AD1315" s="663"/>
      <c r="AE1315" s="663"/>
      <c r="AF1315" s="663"/>
      <c r="AG1315" s="663"/>
      <c r="AH1315" s="663"/>
      <c r="AI1315" s="663"/>
      <c r="AJ1315" s="663"/>
      <c r="AK1315" s="663"/>
      <c r="AL1315" s="663"/>
      <c r="AM1315" s="663"/>
      <c r="AN1315" s="663"/>
    </row>
    <row r="1316" spans="2:40" ht="14.45" hidden="1" customHeight="1" x14ac:dyDescent="0.25">
      <c r="C1316" s="662"/>
      <c r="U1316" s="663"/>
      <c r="Z1316" s="663"/>
      <c r="AA1316" s="663"/>
      <c r="AB1316" s="663"/>
      <c r="AC1316" s="663"/>
      <c r="AD1316" s="663"/>
      <c r="AE1316" s="663"/>
      <c r="AF1316" s="663"/>
      <c r="AG1316" s="663"/>
      <c r="AH1316" s="663"/>
      <c r="AI1316" s="663"/>
      <c r="AJ1316" s="663"/>
      <c r="AK1316" s="663"/>
      <c r="AL1316" s="663"/>
      <c r="AM1316" s="663"/>
      <c r="AN1316" s="663"/>
    </row>
    <row r="1317" spans="2:40" ht="14.45" hidden="1" customHeight="1" x14ac:dyDescent="0.25">
      <c r="C1317" s="662"/>
      <c r="U1317" s="663"/>
      <c r="Z1317" s="663"/>
      <c r="AA1317" s="663"/>
      <c r="AB1317" s="663"/>
      <c r="AC1317" s="663"/>
      <c r="AD1317" s="663"/>
      <c r="AE1317" s="663"/>
      <c r="AF1317" s="663"/>
      <c r="AG1317" s="663"/>
      <c r="AH1317" s="663"/>
      <c r="AI1317" s="663"/>
      <c r="AJ1317" s="663"/>
      <c r="AK1317" s="663"/>
      <c r="AL1317" s="663"/>
      <c r="AM1317" s="663"/>
      <c r="AN1317" s="663"/>
    </row>
    <row r="1318" spans="2:40" ht="14.45" hidden="1" customHeight="1" x14ac:dyDescent="0.25">
      <c r="B1318" s="936">
        <f>B1302</f>
        <v>39113</v>
      </c>
      <c r="C1318" s="662">
        <f>C1302</f>
        <v>0</v>
      </c>
      <c r="D1318" s="662">
        <f t="shared" ref="D1318:L1318" si="2940">D1302</f>
        <v>0</v>
      </c>
      <c r="E1318" s="662">
        <f t="shared" si="2940"/>
        <v>0</v>
      </c>
      <c r="F1318" s="662">
        <f t="shared" si="2940"/>
        <v>0</v>
      </c>
      <c r="G1318" s="662">
        <f t="shared" si="2940"/>
        <v>0</v>
      </c>
      <c r="H1318" s="662">
        <f t="shared" si="2940"/>
        <v>0</v>
      </c>
      <c r="I1318" s="662">
        <f t="shared" si="2940"/>
        <v>0</v>
      </c>
      <c r="J1318" s="662">
        <f t="shared" si="2940"/>
        <v>0</v>
      </c>
      <c r="K1318" s="662">
        <f t="shared" si="2940"/>
        <v>0</v>
      </c>
      <c r="L1318" s="662">
        <f t="shared" si="2940"/>
        <v>0</v>
      </c>
      <c r="U1318" s="663"/>
      <c r="Z1318" s="663"/>
      <c r="AA1318" s="663"/>
      <c r="AB1318" s="663"/>
      <c r="AC1318" s="663"/>
      <c r="AD1318" s="663"/>
      <c r="AE1318" s="663"/>
      <c r="AF1318" s="663"/>
      <c r="AG1318" s="663"/>
      <c r="AH1318" s="663"/>
      <c r="AI1318" s="663"/>
      <c r="AJ1318" s="663"/>
      <c r="AK1318" s="663"/>
      <c r="AL1318" s="663"/>
      <c r="AM1318" s="663"/>
      <c r="AN1318" s="663"/>
    </row>
    <row r="1319" spans="2:40" ht="14.45" hidden="1" customHeight="1" x14ac:dyDescent="0.25">
      <c r="B1319" s="936">
        <f t="shared" ref="B1319:L1319" si="2941">B1303</f>
        <v>39478</v>
      </c>
      <c r="C1319" s="662">
        <f t="shared" si="2941"/>
        <v>0</v>
      </c>
      <c r="D1319" s="662">
        <f t="shared" si="2941"/>
        <v>0</v>
      </c>
      <c r="E1319" s="662">
        <f t="shared" si="2941"/>
        <v>0</v>
      </c>
      <c r="F1319" s="662">
        <f t="shared" si="2941"/>
        <v>0</v>
      </c>
      <c r="G1319" s="662">
        <f t="shared" si="2941"/>
        <v>0</v>
      </c>
      <c r="H1319" s="662">
        <f t="shared" si="2941"/>
        <v>0</v>
      </c>
      <c r="I1319" s="662">
        <f t="shared" si="2941"/>
        <v>0</v>
      </c>
      <c r="J1319" s="662">
        <f t="shared" si="2941"/>
        <v>0</v>
      </c>
      <c r="K1319" s="662">
        <f t="shared" si="2941"/>
        <v>0</v>
      </c>
      <c r="L1319" s="662">
        <f t="shared" si="2941"/>
        <v>0</v>
      </c>
      <c r="U1319" s="663"/>
      <c r="Z1319" s="663"/>
      <c r="AA1319" s="663"/>
      <c r="AB1319" s="663"/>
      <c r="AC1319" s="663"/>
      <c r="AD1319" s="663"/>
      <c r="AE1319" s="663"/>
      <c r="AF1319" s="663"/>
      <c r="AG1319" s="663"/>
      <c r="AH1319" s="663"/>
      <c r="AI1319" s="663"/>
      <c r="AJ1319" s="663"/>
      <c r="AK1319" s="663"/>
      <c r="AL1319" s="663"/>
      <c r="AM1319" s="663"/>
      <c r="AN1319" s="663"/>
    </row>
    <row r="1320" spans="2:40" ht="14.45" hidden="1" customHeight="1" x14ac:dyDescent="0.25">
      <c r="B1320" s="936">
        <f t="shared" ref="B1320:L1320" si="2942">B1304</f>
        <v>39843</v>
      </c>
      <c r="C1320" s="662">
        <f t="shared" si="2942"/>
        <v>-2500000</v>
      </c>
      <c r="D1320" s="662">
        <f t="shared" si="2942"/>
        <v>-2500000</v>
      </c>
      <c r="E1320" s="662">
        <f t="shared" si="2942"/>
        <v>-2500000</v>
      </c>
      <c r="F1320" s="662">
        <f t="shared" si="2942"/>
        <v>-2500000</v>
      </c>
      <c r="G1320" s="662">
        <f t="shared" si="2942"/>
        <v>-2500000</v>
      </c>
      <c r="H1320" s="662">
        <f t="shared" si="2942"/>
        <v>-2500000</v>
      </c>
      <c r="I1320" s="662">
        <f t="shared" si="2942"/>
        <v>-2500000</v>
      </c>
      <c r="J1320" s="662">
        <f t="shared" si="2942"/>
        <v>-2500000</v>
      </c>
      <c r="K1320" s="662">
        <f t="shared" si="2942"/>
        <v>-2500000</v>
      </c>
      <c r="L1320" s="662">
        <f t="shared" si="2942"/>
        <v>-2500000</v>
      </c>
      <c r="U1320" s="663"/>
      <c r="Z1320" s="663"/>
      <c r="AA1320" s="663"/>
      <c r="AB1320" s="663"/>
      <c r="AC1320" s="663"/>
      <c r="AD1320" s="663"/>
      <c r="AE1320" s="663"/>
      <c r="AF1320" s="663"/>
      <c r="AG1320" s="663"/>
      <c r="AH1320" s="663"/>
      <c r="AI1320" s="663"/>
      <c r="AJ1320" s="663"/>
      <c r="AK1320" s="663"/>
      <c r="AL1320" s="663"/>
      <c r="AM1320" s="663"/>
      <c r="AN1320" s="663"/>
    </row>
    <row r="1321" spans="2:40" ht="14.45" hidden="1" customHeight="1" x14ac:dyDescent="0.25">
      <c r="B1321" s="936">
        <f t="shared" ref="B1321:L1321" si="2943">B1305</f>
        <v>39843</v>
      </c>
      <c r="C1321" s="662">
        <f t="shared" si="2943"/>
        <v>-6666666.666666667</v>
      </c>
      <c r="D1321" s="662">
        <f t="shared" si="2943"/>
        <v>-6666666.666666667</v>
      </c>
      <c r="E1321" s="662">
        <f t="shared" si="2943"/>
        <v>-6666666.666666667</v>
      </c>
      <c r="F1321" s="662">
        <f t="shared" si="2943"/>
        <v>-6666666.666666667</v>
      </c>
      <c r="G1321" s="662">
        <f t="shared" si="2943"/>
        <v>-6666666.666666667</v>
      </c>
      <c r="H1321" s="662">
        <f t="shared" si="2943"/>
        <v>-6666666.666666667</v>
      </c>
      <c r="I1321" s="662">
        <f t="shared" si="2943"/>
        <v>-6666666.666666667</v>
      </c>
      <c r="J1321" s="662">
        <f t="shared" si="2943"/>
        <v>-6666666.666666667</v>
      </c>
      <c r="K1321" s="662">
        <f t="shared" si="2943"/>
        <v>-6666666.666666667</v>
      </c>
      <c r="L1321" s="662">
        <f t="shared" si="2943"/>
        <v>-6666666.666666667</v>
      </c>
      <c r="U1321" s="663"/>
      <c r="Z1321" s="663"/>
      <c r="AA1321" s="663"/>
      <c r="AB1321" s="663"/>
      <c r="AC1321" s="663"/>
      <c r="AD1321" s="663"/>
      <c r="AE1321" s="663"/>
      <c r="AF1321" s="663"/>
      <c r="AG1321" s="663"/>
      <c r="AH1321" s="663"/>
      <c r="AI1321" s="663"/>
      <c r="AJ1321" s="663"/>
      <c r="AK1321" s="663"/>
      <c r="AL1321" s="663"/>
      <c r="AM1321" s="663"/>
      <c r="AN1321" s="663"/>
    </row>
    <row r="1322" spans="2:40" ht="14.45" hidden="1" customHeight="1" x14ac:dyDescent="0.25">
      <c r="B1322" s="936">
        <f t="shared" ref="B1322:L1322" si="2944">B1306</f>
        <v>39843</v>
      </c>
      <c r="C1322" s="662">
        <f t="shared" si="2944"/>
        <v>0</v>
      </c>
      <c r="D1322" s="662">
        <f t="shared" si="2944"/>
        <v>0</v>
      </c>
      <c r="E1322" s="662">
        <f t="shared" si="2944"/>
        <v>0</v>
      </c>
      <c r="F1322" s="662">
        <f t="shared" si="2944"/>
        <v>0</v>
      </c>
      <c r="G1322" s="662">
        <f t="shared" si="2944"/>
        <v>0</v>
      </c>
      <c r="H1322" s="662">
        <f t="shared" si="2944"/>
        <v>0</v>
      </c>
      <c r="I1322" s="662">
        <f t="shared" si="2944"/>
        <v>0</v>
      </c>
      <c r="J1322" s="662">
        <f t="shared" si="2944"/>
        <v>0</v>
      </c>
      <c r="K1322" s="662">
        <f t="shared" si="2944"/>
        <v>0</v>
      </c>
      <c r="L1322" s="662">
        <f t="shared" si="2944"/>
        <v>0</v>
      </c>
      <c r="U1322" s="663"/>
      <c r="Z1322" s="663"/>
      <c r="AA1322" s="663"/>
      <c r="AB1322" s="663"/>
      <c r="AC1322" s="663"/>
      <c r="AD1322" s="663"/>
      <c r="AE1322" s="663"/>
      <c r="AF1322" s="663"/>
      <c r="AG1322" s="663"/>
      <c r="AH1322" s="663"/>
      <c r="AI1322" s="663"/>
      <c r="AJ1322" s="663"/>
      <c r="AK1322" s="663"/>
      <c r="AL1322" s="663"/>
      <c r="AM1322" s="663"/>
      <c r="AN1322" s="663"/>
    </row>
    <row r="1323" spans="2:40" ht="14.45" hidden="1" customHeight="1" x14ac:dyDescent="0.25">
      <c r="B1323" s="936">
        <f t="shared" ref="B1323:L1323" si="2945">B1307</f>
        <v>39843</v>
      </c>
      <c r="C1323" s="662">
        <f t="shared" si="2945"/>
        <v>0</v>
      </c>
      <c r="D1323" s="662">
        <f t="shared" si="2945"/>
        <v>0</v>
      </c>
      <c r="E1323" s="662">
        <f t="shared" si="2945"/>
        <v>0</v>
      </c>
      <c r="F1323" s="662">
        <f t="shared" si="2945"/>
        <v>0</v>
      </c>
      <c r="G1323" s="662">
        <f t="shared" si="2945"/>
        <v>0</v>
      </c>
      <c r="H1323" s="662">
        <f t="shared" si="2945"/>
        <v>0</v>
      </c>
      <c r="I1323" s="662">
        <f t="shared" si="2945"/>
        <v>0</v>
      </c>
      <c r="J1323" s="662">
        <f t="shared" si="2945"/>
        <v>0</v>
      </c>
      <c r="K1323" s="662">
        <f t="shared" si="2945"/>
        <v>0</v>
      </c>
      <c r="L1323" s="662">
        <f t="shared" si="2945"/>
        <v>0</v>
      </c>
      <c r="U1323" s="663"/>
      <c r="Z1323" s="663"/>
      <c r="AA1323" s="663"/>
      <c r="AB1323" s="663"/>
      <c r="AC1323" s="663"/>
      <c r="AD1323" s="663"/>
      <c r="AE1323" s="663"/>
      <c r="AF1323" s="663"/>
      <c r="AG1323" s="663"/>
      <c r="AH1323" s="663"/>
      <c r="AI1323" s="663"/>
      <c r="AJ1323" s="663"/>
      <c r="AK1323" s="663"/>
      <c r="AL1323" s="663"/>
      <c r="AM1323" s="663"/>
      <c r="AN1323" s="663"/>
    </row>
    <row r="1324" spans="2:40" ht="14.45" hidden="1" customHeight="1" x14ac:dyDescent="0.25">
      <c r="B1324" s="936">
        <f t="shared" ref="B1324:L1324" si="2946">B1308</f>
        <v>39843</v>
      </c>
      <c r="C1324" s="662">
        <f t="shared" si="2946"/>
        <v>0</v>
      </c>
      <c r="D1324" s="662">
        <f t="shared" si="2946"/>
        <v>0</v>
      </c>
      <c r="E1324" s="662">
        <f t="shared" si="2946"/>
        <v>0</v>
      </c>
      <c r="F1324" s="662">
        <f t="shared" si="2946"/>
        <v>0</v>
      </c>
      <c r="G1324" s="662">
        <f t="shared" si="2946"/>
        <v>0</v>
      </c>
      <c r="H1324" s="662">
        <f t="shared" si="2946"/>
        <v>0</v>
      </c>
      <c r="I1324" s="662">
        <f t="shared" si="2946"/>
        <v>0</v>
      </c>
      <c r="J1324" s="662">
        <f t="shared" si="2946"/>
        <v>0</v>
      </c>
      <c r="K1324" s="662">
        <f t="shared" si="2946"/>
        <v>0</v>
      </c>
      <c r="L1324" s="662">
        <f t="shared" si="2946"/>
        <v>0</v>
      </c>
      <c r="U1324" s="663"/>
      <c r="Z1324" s="663"/>
      <c r="AA1324" s="663"/>
      <c r="AB1324" s="663"/>
      <c r="AC1324" s="663"/>
      <c r="AD1324" s="663"/>
      <c r="AE1324" s="663"/>
      <c r="AF1324" s="663"/>
      <c r="AG1324" s="663"/>
      <c r="AH1324" s="663"/>
      <c r="AI1324" s="663"/>
      <c r="AJ1324" s="663"/>
      <c r="AK1324" s="663"/>
      <c r="AL1324" s="663"/>
      <c r="AM1324" s="663"/>
      <c r="AN1324" s="663"/>
    </row>
    <row r="1325" spans="2:40" ht="14.45" hidden="1" customHeight="1" x14ac:dyDescent="0.25">
      <c r="B1325" s="936">
        <f t="shared" ref="B1325:L1325" si="2947">B1309</f>
        <v>39843</v>
      </c>
      <c r="C1325" s="662">
        <f t="shared" si="2947"/>
        <v>0</v>
      </c>
      <c r="D1325" s="662">
        <f t="shared" si="2947"/>
        <v>0</v>
      </c>
      <c r="E1325" s="662">
        <f t="shared" si="2947"/>
        <v>0</v>
      </c>
      <c r="F1325" s="662">
        <f t="shared" si="2947"/>
        <v>0</v>
      </c>
      <c r="G1325" s="662">
        <f t="shared" si="2947"/>
        <v>0</v>
      </c>
      <c r="H1325" s="662">
        <f t="shared" si="2947"/>
        <v>0</v>
      </c>
      <c r="I1325" s="662">
        <f t="shared" si="2947"/>
        <v>0</v>
      </c>
      <c r="J1325" s="662">
        <f t="shared" si="2947"/>
        <v>0</v>
      </c>
      <c r="K1325" s="662">
        <f t="shared" si="2947"/>
        <v>0</v>
      </c>
      <c r="L1325" s="662">
        <f t="shared" si="2947"/>
        <v>0</v>
      </c>
      <c r="U1325" s="663"/>
      <c r="Z1325" s="663"/>
      <c r="AA1325" s="663"/>
      <c r="AB1325" s="663"/>
      <c r="AC1325" s="663"/>
      <c r="AD1325" s="663"/>
      <c r="AE1325" s="663"/>
      <c r="AF1325" s="663"/>
      <c r="AG1325" s="663"/>
      <c r="AH1325" s="663"/>
      <c r="AI1325" s="663"/>
      <c r="AJ1325" s="663"/>
      <c r="AK1325" s="663"/>
      <c r="AL1325" s="663"/>
      <c r="AM1325" s="663"/>
      <c r="AN1325" s="663"/>
    </row>
    <row r="1326" spans="2:40" ht="14.45" hidden="1" customHeight="1" x14ac:dyDescent="0.25">
      <c r="B1326" s="936">
        <f t="shared" ref="B1326:L1326" si="2948">B1310</f>
        <v>39843</v>
      </c>
      <c r="C1326" s="662">
        <f t="shared" si="2948"/>
        <v>0</v>
      </c>
      <c r="D1326" s="662">
        <f t="shared" si="2948"/>
        <v>0</v>
      </c>
      <c r="E1326" s="662">
        <f t="shared" si="2948"/>
        <v>0</v>
      </c>
      <c r="F1326" s="662">
        <f t="shared" si="2948"/>
        <v>0</v>
      </c>
      <c r="G1326" s="662">
        <f t="shared" si="2948"/>
        <v>0</v>
      </c>
      <c r="H1326" s="662">
        <f t="shared" si="2948"/>
        <v>0</v>
      </c>
      <c r="I1326" s="662">
        <f t="shared" si="2948"/>
        <v>0</v>
      </c>
      <c r="J1326" s="662">
        <f t="shared" si="2948"/>
        <v>0</v>
      </c>
      <c r="K1326" s="662">
        <f t="shared" si="2948"/>
        <v>0</v>
      </c>
      <c r="L1326" s="662">
        <f t="shared" si="2948"/>
        <v>0</v>
      </c>
      <c r="U1326" s="663"/>
      <c r="Z1326" s="663"/>
      <c r="AA1326" s="663"/>
      <c r="AB1326" s="663"/>
      <c r="AC1326" s="663"/>
      <c r="AD1326" s="663"/>
      <c r="AE1326" s="663"/>
      <c r="AF1326" s="663"/>
      <c r="AG1326" s="663"/>
      <c r="AH1326" s="663"/>
      <c r="AI1326" s="663"/>
      <c r="AJ1326" s="663"/>
      <c r="AK1326" s="663"/>
      <c r="AL1326" s="663"/>
      <c r="AM1326" s="663"/>
      <c r="AN1326" s="663"/>
    </row>
    <row r="1327" spans="2:40" ht="14.45" hidden="1" customHeight="1" x14ac:dyDescent="0.25">
      <c r="B1327" s="936">
        <f t="shared" ref="B1327:L1327" si="2949">B1311</f>
        <v>39843</v>
      </c>
      <c r="C1327" s="662">
        <f t="shared" si="2949"/>
        <v>0</v>
      </c>
      <c r="D1327" s="662">
        <f t="shared" si="2949"/>
        <v>0</v>
      </c>
      <c r="E1327" s="662">
        <f t="shared" si="2949"/>
        <v>0</v>
      </c>
      <c r="F1327" s="662">
        <f t="shared" si="2949"/>
        <v>0</v>
      </c>
      <c r="G1327" s="662">
        <f t="shared" si="2949"/>
        <v>0</v>
      </c>
      <c r="H1327" s="662">
        <f t="shared" si="2949"/>
        <v>0</v>
      </c>
      <c r="I1327" s="662">
        <f t="shared" si="2949"/>
        <v>0</v>
      </c>
      <c r="J1327" s="662">
        <f t="shared" si="2949"/>
        <v>0</v>
      </c>
      <c r="K1327" s="662">
        <f t="shared" si="2949"/>
        <v>0</v>
      </c>
      <c r="L1327" s="662">
        <f t="shared" si="2949"/>
        <v>0</v>
      </c>
      <c r="U1327" s="663"/>
      <c r="Z1327" s="663"/>
      <c r="AA1327" s="663"/>
      <c r="AB1327" s="663"/>
      <c r="AC1327" s="663"/>
      <c r="AD1327" s="663"/>
      <c r="AE1327" s="663"/>
      <c r="AF1327" s="663"/>
      <c r="AG1327" s="663"/>
      <c r="AH1327" s="663"/>
      <c r="AI1327" s="663"/>
      <c r="AJ1327" s="663"/>
      <c r="AK1327" s="663"/>
      <c r="AL1327" s="663"/>
      <c r="AM1327" s="663"/>
      <c r="AN1327" s="663"/>
    </row>
    <row r="1328" spans="2:40" ht="14.45" hidden="1" customHeight="1" x14ac:dyDescent="0.25">
      <c r="B1328" s="936">
        <f>B1262</f>
        <v>41539</v>
      </c>
      <c r="C1328" s="662">
        <f t="shared" ref="C1328:L1328" si="2950">C1312</f>
        <v>4078815.2610441777</v>
      </c>
      <c r="D1328" s="662">
        <f t="shared" si="2950"/>
        <v>6118222.8915662663</v>
      </c>
      <c r="E1328" s="662">
        <f t="shared" si="2950"/>
        <v>8157630.5220883554</v>
      </c>
      <c r="F1328" s="662">
        <f t="shared" si="2950"/>
        <v>10197038.152610444</v>
      </c>
      <c r="G1328" s="662">
        <f t="shared" si="2950"/>
        <v>12236445.783132533</v>
      </c>
      <c r="H1328" s="662">
        <f t="shared" si="2950"/>
        <v>14275853.413654622</v>
      </c>
      <c r="I1328" s="662">
        <f t="shared" si="2950"/>
        <v>16315261.044176711</v>
      </c>
      <c r="J1328" s="662">
        <f t="shared" si="2950"/>
        <v>18354668.6746988</v>
      </c>
      <c r="K1328" s="662">
        <f t="shared" si="2950"/>
        <v>20394076.305220887</v>
      </c>
      <c r="L1328" s="662">
        <f t="shared" si="2950"/>
        <v>22433483.935742974</v>
      </c>
      <c r="U1328" s="663"/>
      <c r="Z1328" s="663"/>
      <c r="AA1328" s="663"/>
      <c r="AB1328" s="663"/>
      <c r="AC1328" s="663"/>
      <c r="AD1328" s="663"/>
      <c r="AE1328" s="663"/>
      <c r="AF1328" s="663"/>
      <c r="AG1328" s="663"/>
      <c r="AH1328" s="663"/>
      <c r="AI1328" s="663"/>
      <c r="AJ1328" s="663"/>
      <c r="AK1328" s="663"/>
      <c r="AL1328" s="663"/>
      <c r="AM1328" s="663"/>
      <c r="AN1328" s="663"/>
    </row>
    <row r="1329" spans="2:40" ht="14.45" hidden="1" customHeight="1" x14ac:dyDescent="0.25">
      <c r="C1329" s="882" t="str">
        <f ca="1">IF(ISERROR(XIRR(INDIRECT(C1331):C1328,INDIRECT($B1331):$B1328,-20%)),XIRR(INDIRECT(C1331):C1328,INDIRECT($B1331):$B1328,20%),"N/A")</f>
        <v>N/A</v>
      </c>
      <c r="D1329" s="882" t="str">
        <f ca="1">IF(ISERROR(XIRR(INDIRECT(D1331):D1328,INDIRECT($B1331):$B1328,-20%)),XIRR(INDIRECT(D1331):D1328,INDIRECT($B1331):$B1328,20%),"N/A")</f>
        <v>N/A</v>
      </c>
      <c r="E1329" s="882" t="str">
        <f ca="1">IF(ISERROR(XIRR(INDIRECT(E1331):E1328,INDIRECT($B1331):$B1328,-20%)),XIRR(INDIRECT(E1331):E1328,INDIRECT($B1331):$B1328,20%),"N/A")</f>
        <v>N/A</v>
      </c>
      <c r="F1329" s="882">
        <f ca="1">IF(ISERROR(XIRR(INDIRECT(F1331):F1328,INDIRECT($B1331):$B1328,-20%)),XIRR(INDIRECT(F1331):F1328,INDIRECT($B1331):$B1328,20%),"N/A")</f>
        <v>2.3189982771873476E-2</v>
      </c>
      <c r="G1329" s="882">
        <f ca="1">IF(ISERROR(XIRR(INDIRECT(G1331):G1328,INDIRECT($B1331):$B1328,-20%)),XIRR(INDIRECT(G1331):G1328,INDIRECT($B1331):$B1328,20%),"N/A")</f>
        <v>6.4135804772377E-2</v>
      </c>
      <c r="H1329" s="882">
        <f ca="1">IF(ISERROR(XIRR(INDIRECT(H1331):H1328,INDIRECT($B1331):$B1328,-20%)),XIRR(INDIRECT(H1331):H1328,INDIRECT($B1331):$B1328,20%),"N/A")</f>
        <v>0.10003075003623962</v>
      </c>
      <c r="I1329" s="882">
        <f ca="1">IF(ISERROR(XIRR(INDIRECT(I1331):I1328,INDIRECT($B1331):$B1328,-20%)),XIRR(INDIRECT(I1331):I1328,INDIRECT($B1331):$B1328,20%),"N/A")</f>
        <v>0.13210160136222837</v>
      </c>
      <c r="J1329" s="882">
        <f ca="1">IF(ISERROR(XIRR(INDIRECT(J1331):J1328,INDIRECT($B1331):$B1328,-20%)),XIRR(INDIRECT(J1331):J1328,INDIRECT($B1331):$B1328,20%),"N/A")</f>
        <v>0.16116531491279609</v>
      </c>
      <c r="K1329" s="882">
        <f ca="1">IF(ISERROR(XIRR(INDIRECT(K1331):K1328,INDIRECT($B1331):$B1328,-20%)),XIRR(INDIRECT(K1331):K1328,INDIRECT($B1331):$B1328,20%),"N/A")</f>
        <v>0.18779537081718448</v>
      </c>
      <c r="L1329" s="882">
        <f ca="1">IF(ISERROR(XIRR(INDIRECT(L1331):L1328,INDIRECT($B1331):$B1328,-20%)),XIRR(INDIRECT(L1331):L1328,INDIRECT($B1331):$B1328,20%),"N/A")</f>
        <v>0.21241092085838323</v>
      </c>
      <c r="U1329" s="663"/>
      <c r="Z1329" s="663"/>
      <c r="AA1329" s="663"/>
      <c r="AB1329" s="663"/>
      <c r="AC1329" s="663"/>
      <c r="AD1329" s="663"/>
      <c r="AE1329" s="663"/>
      <c r="AF1329" s="663"/>
      <c r="AG1329" s="663"/>
      <c r="AH1329" s="663"/>
      <c r="AI1329" s="663"/>
      <c r="AJ1329" s="663"/>
      <c r="AK1329" s="663"/>
      <c r="AL1329" s="663"/>
      <c r="AM1329" s="663"/>
      <c r="AN1329" s="663"/>
    </row>
    <row r="1330" spans="2:40" ht="14.45" hidden="1" customHeight="1" x14ac:dyDescent="0.25">
      <c r="B1330" s="898">
        <f>IF(C1318&lt;&gt;0,ROW(C1318),IF(C1319&lt;&gt;0,ROW(C1319),IF(C1320&lt;&gt;0,ROW(C1320),IF(C1321&lt;&gt;0,ROW(C1321),IF(C1322&lt;&gt;0,ROW(C1322),IF(C1323&lt;&gt;0,ROW(C1323),IF(C1324&lt;&gt;0,ROW(C1324),IF(C1325&lt;&gt;0,ROW(C1325),IF(C1326&lt;&gt;0,ROW(C1326),IF(C1327&lt;&gt;0,ROW(C1327)))))))))))</f>
        <v>1320</v>
      </c>
      <c r="C1330" s="882"/>
      <c r="U1330" s="663"/>
      <c r="Z1330" s="663"/>
      <c r="AA1330" s="663"/>
      <c r="AB1330" s="663"/>
      <c r="AC1330" s="663"/>
      <c r="AD1330" s="663"/>
      <c r="AE1330" s="663"/>
      <c r="AF1330" s="663"/>
      <c r="AG1330" s="663"/>
      <c r="AH1330" s="663"/>
      <c r="AI1330" s="663"/>
      <c r="AJ1330" s="663"/>
      <c r="AK1330" s="663"/>
      <c r="AL1330" s="663"/>
      <c r="AM1330" s="663"/>
      <c r="AN1330" s="663"/>
    </row>
    <row r="1331" spans="2:40" ht="14.45" hidden="1" customHeight="1" x14ac:dyDescent="0.25">
      <c r="B1331" s="899" t="str">
        <f>CONCATENATE(IF(COLUMN(B1330)&lt;=26,CHAR(96+COLUMN(B1330)),(CHAR(96+(ROUNDDOWN((COLUMN(B1330)-1)/26,0)))&amp;CHAR(96+IF(MOD(COLUMN(B1330),26)=0,26,MOD(COLUMN(B1330),26))))),B1330)</f>
        <v>b1320</v>
      </c>
      <c r="C1331" s="899" t="str">
        <f>CONCATENATE(IF(COLUMN(C1329)&lt;=26,CHAR(96+COLUMN(C1329)),(CHAR(96+(ROUNDDOWN((COLUMN(C1329)-1)/26,0)))&amp;CHAR(96+IF(MOD(COLUMN(C1329),26)=0,26,MOD(COLUMN(C1329),26))))),$B1330)</f>
        <v>c1320</v>
      </c>
      <c r="D1331" s="899" t="str">
        <f t="shared" ref="D1331" si="2951">CONCATENATE(IF(COLUMN(D1329)&lt;=26,CHAR(96+COLUMN(D1329)),(CHAR(96+(ROUNDDOWN((COLUMN(D1329)-1)/26,0)))&amp;CHAR(96+IF(MOD(COLUMN(D1329),26)=0,26,MOD(COLUMN(D1329),26))))),$B1330)</f>
        <v>d1320</v>
      </c>
      <c r="E1331" s="899" t="str">
        <f t="shared" ref="E1331" si="2952">CONCATENATE(IF(COLUMN(E1329)&lt;=26,CHAR(96+COLUMN(E1329)),(CHAR(96+(ROUNDDOWN((COLUMN(E1329)-1)/26,0)))&amp;CHAR(96+IF(MOD(COLUMN(E1329),26)=0,26,MOD(COLUMN(E1329),26))))),$B1330)</f>
        <v>e1320</v>
      </c>
      <c r="F1331" s="899" t="str">
        <f t="shared" ref="F1331" si="2953">CONCATENATE(IF(COLUMN(F1329)&lt;=26,CHAR(96+COLUMN(F1329)),(CHAR(96+(ROUNDDOWN((COLUMN(F1329)-1)/26,0)))&amp;CHAR(96+IF(MOD(COLUMN(F1329),26)=0,26,MOD(COLUMN(F1329),26))))),$B1330)</f>
        <v>f1320</v>
      </c>
      <c r="G1331" s="899" t="str">
        <f t="shared" ref="G1331" si="2954">CONCATENATE(IF(COLUMN(G1329)&lt;=26,CHAR(96+COLUMN(G1329)),(CHAR(96+(ROUNDDOWN((COLUMN(G1329)-1)/26,0)))&amp;CHAR(96+IF(MOD(COLUMN(G1329),26)=0,26,MOD(COLUMN(G1329),26))))),$B1330)</f>
        <v>g1320</v>
      </c>
      <c r="H1331" s="899" t="str">
        <f t="shared" ref="H1331" si="2955">CONCATENATE(IF(COLUMN(H1329)&lt;=26,CHAR(96+COLUMN(H1329)),(CHAR(96+(ROUNDDOWN((COLUMN(H1329)-1)/26,0)))&amp;CHAR(96+IF(MOD(COLUMN(H1329),26)=0,26,MOD(COLUMN(H1329),26))))),$B1330)</f>
        <v>h1320</v>
      </c>
      <c r="I1331" s="899" t="str">
        <f t="shared" ref="I1331" si="2956">CONCATENATE(IF(COLUMN(I1329)&lt;=26,CHAR(96+COLUMN(I1329)),(CHAR(96+(ROUNDDOWN((COLUMN(I1329)-1)/26,0)))&amp;CHAR(96+IF(MOD(COLUMN(I1329),26)=0,26,MOD(COLUMN(I1329),26))))),$B1330)</f>
        <v>i1320</v>
      </c>
      <c r="J1331" s="899" t="str">
        <f t="shared" ref="J1331" si="2957">CONCATENATE(IF(COLUMN(J1329)&lt;=26,CHAR(96+COLUMN(J1329)),(CHAR(96+(ROUNDDOWN((COLUMN(J1329)-1)/26,0)))&amp;CHAR(96+IF(MOD(COLUMN(J1329),26)=0,26,MOD(COLUMN(J1329),26))))),$B1330)</f>
        <v>j1320</v>
      </c>
      <c r="K1331" s="899" t="str">
        <f t="shared" ref="K1331" si="2958">CONCATENATE(IF(COLUMN(K1329)&lt;=26,CHAR(96+COLUMN(K1329)),(CHAR(96+(ROUNDDOWN((COLUMN(K1329)-1)/26,0)))&amp;CHAR(96+IF(MOD(COLUMN(K1329),26)=0,26,MOD(COLUMN(K1329),26))))),$B1330)</f>
        <v>k1320</v>
      </c>
      <c r="L1331" s="899" t="str">
        <f t="shared" ref="L1331" si="2959">CONCATENATE(IF(COLUMN(L1329)&lt;=26,CHAR(96+COLUMN(L1329)),(CHAR(96+(ROUNDDOWN((COLUMN(L1329)-1)/26,0)))&amp;CHAR(96+IF(MOD(COLUMN(L1329),26)=0,26,MOD(COLUMN(L1329),26))))),$B1330)</f>
        <v>l1320</v>
      </c>
      <c r="U1331" s="663"/>
      <c r="Z1331" s="663"/>
      <c r="AA1331" s="663"/>
      <c r="AB1331" s="663"/>
      <c r="AC1331" s="663"/>
      <c r="AD1331" s="663"/>
      <c r="AE1331" s="663"/>
      <c r="AF1331" s="663"/>
      <c r="AG1331" s="663"/>
      <c r="AH1331" s="663"/>
      <c r="AI1331" s="663"/>
      <c r="AJ1331" s="663"/>
      <c r="AK1331" s="663"/>
      <c r="AL1331" s="663"/>
      <c r="AM1331" s="663"/>
      <c r="AN1331" s="663"/>
    </row>
    <row r="1332" spans="2:40" ht="14.45" hidden="1" customHeight="1" x14ac:dyDescent="0.25">
      <c r="C1332" s="662"/>
      <c r="U1332" s="663"/>
      <c r="Z1332" s="663"/>
      <c r="AA1332" s="663"/>
      <c r="AB1332" s="663"/>
      <c r="AC1332" s="663"/>
      <c r="AD1332" s="663"/>
      <c r="AE1332" s="663"/>
      <c r="AF1332" s="663"/>
      <c r="AG1332" s="663"/>
      <c r="AH1332" s="663"/>
      <c r="AI1332" s="663"/>
      <c r="AJ1332" s="663"/>
      <c r="AK1332" s="663"/>
      <c r="AL1332" s="663"/>
      <c r="AM1332" s="663"/>
      <c r="AN1332" s="663"/>
    </row>
    <row r="1333" spans="2:40" ht="14.45" hidden="1" customHeight="1" x14ac:dyDescent="0.25">
      <c r="C1333" s="662"/>
      <c r="U1333" s="663"/>
      <c r="Z1333" s="663"/>
      <c r="AA1333" s="663"/>
      <c r="AB1333" s="663"/>
      <c r="AC1333" s="663"/>
      <c r="AD1333" s="663"/>
      <c r="AE1333" s="663"/>
      <c r="AF1333" s="663"/>
      <c r="AG1333" s="663"/>
      <c r="AH1333" s="663"/>
      <c r="AI1333" s="663"/>
      <c r="AJ1333" s="663"/>
      <c r="AK1333" s="663"/>
      <c r="AL1333" s="663"/>
      <c r="AM1333" s="663"/>
      <c r="AN1333" s="663"/>
    </row>
    <row r="1334" spans="2:40" ht="14.45" hidden="1" customHeight="1" x14ac:dyDescent="0.25">
      <c r="B1334" s="936">
        <f>B1318</f>
        <v>39113</v>
      </c>
      <c r="C1334" s="662">
        <f>C1318</f>
        <v>0</v>
      </c>
      <c r="D1334" s="662">
        <f t="shared" ref="D1334:L1334" si="2960">D1318</f>
        <v>0</v>
      </c>
      <c r="E1334" s="662">
        <f t="shared" si="2960"/>
        <v>0</v>
      </c>
      <c r="F1334" s="662">
        <f t="shared" si="2960"/>
        <v>0</v>
      </c>
      <c r="G1334" s="662">
        <f t="shared" si="2960"/>
        <v>0</v>
      </c>
      <c r="H1334" s="662">
        <f t="shared" si="2960"/>
        <v>0</v>
      </c>
      <c r="I1334" s="662">
        <f t="shared" si="2960"/>
        <v>0</v>
      </c>
      <c r="J1334" s="662">
        <f t="shared" si="2960"/>
        <v>0</v>
      </c>
      <c r="K1334" s="662">
        <f t="shared" si="2960"/>
        <v>0</v>
      </c>
      <c r="L1334" s="662">
        <f t="shared" si="2960"/>
        <v>0</v>
      </c>
      <c r="U1334" s="663"/>
      <c r="Z1334" s="663"/>
      <c r="AA1334" s="663"/>
      <c r="AB1334" s="663"/>
      <c r="AC1334" s="663"/>
      <c r="AD1334" s="663"/>
      <c r="AE1334" s="663"/>
      <c r="AF1334" s="663"/>
      <c r="AG1334" s="663"/>
      <c r="AH1334" s="663"/>
      <c r="AI1334" s="663"/>
      <c r="AJ1334" s="663"/>
      <c r="AK1334" s="663"/>
      <c r="AL1334" s="663"/>
      <c r="AM1334" s="663"/>
      <c r="AN1334" s="663"/>
    </row>
    <row r="1335" spans="2:40" ht="14.45" hidden="1" customHeight="1" x14ac:dyDescent="0.25">
      <c r="B1335" s="936">
        <f t="shared" ref="B1335:L1335" si="2961">B1319</f>
        <v>39478</v>
      </c>
      <c r="C1335" s="662">
        <f t="shared" si="2961"/>
        <v>0</v>
      </c>
      <c r="D1335" s="662">
        <f t="shared" si="2961"/>
        <v>0</v>
      </c>
      <c r="E1335" s="662">
        <f t="shared" si="2961"/>
        <v>0</v>
      </c>
      <c r="F1335" s="662">
        <f t="shared" si="2961"/>
        <v>0</v>
      </c>
      <c r="G1335" s="662">
        <f t="shared" si="2961"/>
        <v>0</v>
      </c>
      <c r="H1335" s="662">
        <f t="shared" si="2961"/>
        <v>0</v>
      </c>
      <c r="I1335" s="662">
        <f t="shared" si="2961"/>
        <v>0</v>
      </c>
      <c r="J1335" s="662">
        <f t="shared" si="2961"/>
        <v>0</v>
      </c>
      <c r="K1335" s="662">
        <f t="shared" si="2961"/>
        <v>0</v>
      </c>
      <c r="L1335" s="662">
        <f t="shared" si="2961"/>
        <v>0</v>
      </c>
      <c r="U1335" s="663"/>
      <c r="Z1335" s="663"/>
      <c r="AA1335" s="663"/>
      <c r="AB1335" s="663"/>
      <c r="AC1335" s="663"/>
      <c r="AD1335" s="663"/>
      <c r="AE1335" s="663"/>
      <c r="AF1335" s="663"/>
      <c r="AG1335" s="663"/>
      <c r="AH1335" s="663"/>
      <c r="AI1335" s="663"/>
      <c r="AJ1335" s="663"/>
      <c r="AK1335" s="663"/>
      <c r="AL1335" s="663"/>
      <c r="AM1335" s="663"/>
      <c r="AN1335" s="663"/>
    </row>
    <row r="1336" spans="2:40" ht="14.45" hidden="1" customHeight="1" x14ac:dyDescent="0.25">
      <c r="B1336" s="936">
        <f t="shared" ref="B1336:L1336" si="2962">B1320</f>
        <v>39843</v>
      </c>
      <c r="C1336" s="662">
        <f t="shared" si="2962"/>
        <v>-2500000</v>
      </c>
      <c r="D1336" s="662">
        <f t="shared" si="2962"/>
        <v>-2500000</v>
      </c>
      <c r="E1336" s="662">
        <f t="shared" si="2962"/>
        <v>-2500000</v>
      </c>
      <c r="F1336" s="662">
        <f t="shared" si="2962"/>
        <v>-2500000</v>
      </c>
      <c r="G1336" s="662">
        <f t="shared" si="2962"/>
        <v>-2500000</v>
      </c>
      <c r="H1336" s="662">
        <f t="shared" si="2962"/>
        <v>-2500000</v>
      </c>
      <c r="I1336" s="662">
        <f t="shared" si="2962"/>
        <v>-2500000</v>
      </c>
      <c r="J1336" s="662">
        <f t="shared" si="2962"/>
        <v>-2500000</v>
      </c>
      <c r="K1336" s="662">
        <f t="shared" si="2962"/>
        <v>-2500000</v>
      </c>
      <c r="L1336" s="662">
        <f t="shared" si="2962"/>
        <v>-2500000</v>
      </c>
      <c r="U1336" s="663"/>
      <c r="Z1336" s="663"/>
      <c r="AA1336" s="663"/>
      <c r="AB1336" s="663"/>
      <c r="AC1336" s="663"/>
      <c r="AD1336" s="663"/>
      <c r="AE1336" s="663"/>
      <c r="AF1336" s="663"/>
      <c r="AG1336" s="663"/>
      <c r="AH1336" s="663"/>
      <c r="AI1336" s="663"/>
      <c r="AJ1336" s="663"/>
      <c r="AK1336" s="663"/>
      <c r="AL1336" s="663"/>
      <c r="AM1336" s="663"/>
      <c r="AN1336" s="663"/>
    </row>
    <row r="1337" spans="2:40" ht="14.45" hidden="1" customHeight="1" x14ac:dyDescent="0.25">
      <c r="B1337" s="936">
        <f t="shared" ref="B1337:L1337" si="2963">B1321</f>
        <v>39843</v>
      </c>
      <c r="C1337" s="662">
        <f t="shared" si="2963"/>
        <v>-6666666.666666667</v>
      </c>
      <c r="D1337" s="662">
        <f t="shared" si="2963"/>
        <v>-6666666.666666667</v>
      </c>
      <c r="E1337" s="662">
        <f t="shared" si="2963"/>
        <v>-6666666.666666667</v>
      </c>
      <c r="F1337" s="662">
        <f t="shared" si="2963"/>
        <v>-6666666.666666667</v>
      </c>
      <c r="G1337" s="662">
        <f t="shared" si="2963"/>
        <v>-6666666.666666667</v>
      </c>
      <c r="H1337" s="662">
        <f t="shared" si="2963"/>
        <v>-6666666.666666667</v>
      </c>
      <c r="I1337" s="662">
        <f t="shared" si="2963"/>
        <v>-6666666.666666667</v>
      </c>
      <c r="J1337" s="662">
        <f t="shared" si="2963"/>
        <v>-6666666.666666667</v>
      </c>
      <c r="K1337" s="662">
        <f t="shared" si="2963"/>
        <v>-6666666.666666667</v>
      </c>
      <c r="L1337" s="662">
        <f t="shared" si="2963"/>
        <v>-6666666.666666667</v>
      </c>
      <c r="U1337" s="663"/>
      <c r="Z1337" s="663"/>
      <c r="AA1337" s="663"/>
      <c r="AB1337" s="663"/>
      <c r="AC1337" s="663"/>
      <c r="AD1337" s="663"/>
      <c r="AE1337" s="663"/>
      <c r="AF1337" s="663"/>
      <c r="AG1337" s="663"/>
      <c r="AH1337" s="663"/>
      <c r="AI1337" s="663"/>
      <c r="AJ1337" s="663"/>
      <c r="AK1337" s="663"/>
      <c r="AL1337" s="663"/>
      <c r="AM1337" s="663"/>
      <c r="AN1337" s="663"/>
    </row>
    <row r="1338" spans="2:40" ht="14.45" hidden="1" customHeight="1" x14ac:dyDescent="0.25">
      <c r="B1338" s="936">
        <f t="shared" ref="B1338:L1338" si="2964">B1322</f>
        <v>39843</v>
      </c>
      <c r="C1338" s="662">
        <f t="shared" si="2964"/>
        <v>0</v>
      </c>
      <c r="D1338" s="662">
        <f t="shared" si="2964"/>
        <v>0</v>
      </c>
      <c r="E1338" s="662">
        <f t="shared" si="2964"/>
        <v>0</v>
      </c>
      <c r="F1338" s="662">
        <f t="shared" si="2964"/>
        <v>0</v>
      </c>
      <c r="G1338" s="662">
        <f t="shared" si="2964"/>
        <v>0</v>
      </c>
      <c r="H1338" s="662">
        <f t="shared" si="2964"/>
        <v>0</v>
      </c>
      <c r="I1338" s="662">
        <f t="shared" si="2964"/>
        <v>0</v>
      </c>
      <c r="J1338" s="662">
        <f t="shared" si="2964"/>
        <v>0</v>
      </c>
      <c r="K1338" s="662">
        <f t="shared" si="2964"/>
        <v>0</v>
      </c>
      <c r="L1338" s="662">
        <f t="shared" si="2964"/>
        <v>0</v>
      </c>
      <c r="U1338" s="663"/>
      <c r="Z1338" s="663"/>
      <c r="AA1338" s="663"/>
      <c r="AB1338" s="663"/>
      <c r="AC1338" s="663"/>
      <c r="AD1338" s="663"/>
      <c r="AE1338" s="663"/>
      <c r="AF1338" s="663"/>
      <c r="AG1338" s="663"/>
      <c r="AH1338" s="663"/>
      <c r="AI1338" s="663"/>
      <c r="AJ1338" s="663"/>
      <c r="AK1338" s="663"/>
      <c r="AL1338" s="663"/>
      <c r="AM1338" s="663"/>
      <c r="AN1338" s="663"/>
    </row>
    <row r="1339" spans="2:40" ht="14.45" hidden="1" customHeight="1" x14ac:dyDescent="0.25">
      <c r="B1339" s="936">
        <f t="shared" ref="B1339:L1339" si="2965">B1323</f>
        <v>39843</v>
      </c>
      <c r="C1339" s="662">
        <f t="shared" si="2965"/>
        <v>0</v>
      </c>
      <c r="D1339" s="662">
        <f t="shared" si="2965"/>
        <v>0</v>
      </c>
      <c r="E1339" s="662">
        <f t="shared" si="2965"/>
        <v>0</v>
      </c>
      <c r="F1339" s="662">
        <f t="shared" si="2965"/>
        <v>0</v>
      </c>
      <c r="G1339" s="662">
        <f t="shared" si="2965"/>
        <v>0</v>
      </c>
      <c r="H1339" s="662">
        <f t="shared" si="2965"/>
        <v>0</v>
      </c>
      <c r="I1339" s="662">
        <f t="shared" si="2965"/>
        <v>0</v>
      </c>
      <c r="J1339" s="662">
        <f t="shared" si="2965"/>
        <v>0</v>
      </c>
      <c r="K1339" s="662">
        <f t="shared" si="2965"/>
        <v>0</v>
      </c>
      <c r="L1339" s="662">
        <f t="shared" si="2965"/>
        <v>0</v>
      </c>
      <c r="U1339" s="663"/>
      <c r="Z1339" s="663"/>
      <c r="AA1339" s="663"/>
      <c r="AB1339" s="663"/>
      <c r="AC1339" s="663"/>
      <c r="AD1339" s="663"/>
      <c r="AE1339" s="663"/>
      <c r="AF1339" s="663"/>
      <c r="AG1339" s="663"/>
      <c r="AH1339" s="663"/>
      <c r="AI1339" s="663"/>
      <c r="AJ1339" s="663"/>
      <c r="AK1339" s="663"/>
      <c r="AL1339" s="663"/>
      <c r="AM1339" s="663"/>
      <c r="AN1339" s="663"/>
    </row>
    <row r="1340" spans="2:40" ht="14.45" hidden="1" customHeight="1" x14ac:dyDescent="0.25">
      <c r="B1340" s="936">
        <f t="shared" ref="B1340:L1340" si="2966">B1324</f>
        <v>39843</v>
      </c>
      <c r="C1340" s="662">
        <f t="shared" si="2966"/>
        <v>0</v>
      </c>
      <c r="D1340" s="662">
        <f t="shared" si="2966"/>
        <v>0</v>
      </c>
      <c r="E1340" s="662">
        <f t="shared" si="2966"/>
        <v>0</v>
      </c>
      <c r="F1340" s="662">
        <f t="shared" si="2966"/>
        <v>0</v>
      </c>
      <c r="G1340" s="662">
        <f t="shared" si="2966"/>
        <v>0</v>
      </c>
      <c r="H1340" s="662">
        <f t="shared" si="2966"/>
        <v>0</v>
      </c>
      <c r="I1340" s="662">
        <f t="shared" si="2966"/>
        <v>0</v>
      </c>
      <c r="J1340" s="662">
        <f t="shared" si="2966"/>
        <v>0</v>
      </c>
      <c r="K1340" s="662">
        <f t="shared" si="2966"/>
        <v>0</v>
      </c>
      <c r="L1340" s="662">
        <f t="shared" si="2966"/>
        <v>0</v>
      </c>
      <c r="U1340" s="663"/>
      <c r="Z1340" s="663"/>
      <c r="AA1340" s="663"/>
      <c r="AB1340" s="663"/>
      <c r="AC1340" s="663"/>
      <c r="AD1340" s="663"/>
      <c r="AE1340" s="663"/>
      <c r="AF1340" s="663"/>
      <c r="AG1340" s="663"/>
      <c r="AH1340" s="663"/>
      <c r="AI1340" s="663"/>
      <c r="AJ1340" s="663"/>
      <c r="AK1340" s="663"/>
      <c r="AL1340" s="663"/>
      <c r="AM1340" s="663"/>
      <c r="AN1340" s="663"/>
    </row>
    <row r="1341" spans="2:40" ht="14.45" hidden="1" customHeight="1" x14ac:dyDescent="0.25">
      <c r="B1341" s="936">
        <f t="shared" ref="B1341:L1341" si="2967">B1325</f>
        <v>39843</v>
      </c>
      <c r="C1341" s="662">
        <f t="shared" si="2967"/>
        <v>0</v>
      </c>
      <c r="D1341" s="662">
        <f t="shared" si="2967"/>
        <v>0</v>
      </c>
      <c r="E1341" s="662">
        <f t="shared" si="2967"/>
        <v>0</v>
      </c>
      <c r="F1341" s="662">
        <f t="shared" si="2967"/>
        <v>0</v>
      </c>
      <c r="G1341" s="662">
        <f t="shared" si="2967"/>
        <v>0</v>
      </c>
      <c r="H1341" s="662">
        <f t="shared" si="2967"/>
        <v>0</v>
      </c>
      <c r="I1341" s="662">
        <f t="shared" si="2967"/>
        <v>0</v>
      </c>
      <c r="J1341" s="662">
        <f t="shared" si="2967"/>
        <v>0</v>
      </c>
      <c r="K1341" s="662">
        <f t="shared" si="2967"/>
        <v>0</v>
      </c>
      <c r="L1341" s="662">
        <f t="shared" si="2967"/>
        <v>0</v>
      </c>
      <c r="U1341" s="663"/>
      <c r="Z1341" s="663"/>
      <c r="AA1341" s="663"/>
      <c r="AB1341" s="663"/>
      <c r="AC1341" s="663"/>
      <c r="AD1341" s="663"/>
      <c r="AE1341" s="663"/>
      <c r="AF1341" s="663"/>
      <c r="AG1341" s="663"/>
      <c r="AH1341" s="663"/>
      <c r="AI1341" s="663"/>
      <c r="AJ1341" s="663"/>
      <c r="AK1341" s="663"/>
      <c r="AL1341" s="663"/>
      <c r="AM1341" s="663"/>
      <c r="AN1341" s="663"/>
    </row>
    <row r="1342" spans="2:40" ht="14.45" hidden="1" customHeight="1" x14ac:dyDescent="0.25">
      <c r="B1342" s="936">
        <f t="shared" ref="B1342:L1342" si="2968">B1326</f>
        <v>39843</v>
      </c>
      <c r="C1342" s="662">
        <f t="shared" si="2968"/>
        <v>0</v>
      </c>
      <c r="D1342" s="662">
        <f t="shared" si="2968"/>
        <v>0</v>
      </c>
      <c r="E1342" s="662">
        <f t="shared" si="2968"/>
        <v>0</v>
      </c>
      <c r="F1342" s="662">
        <f t="shared" si="2968"/>
        <v>0</v>
      </c>
      <c r="G1342" s="662">
        <f t="shared" si="2968"/>
        <v>0</v>
      </c>
      <c r="H1342" s="662">
        <f t="shared" si="2968"/>
        <v>0</v>
      </c>
      <c r="I1342" s="662">
        <f t="shared" si="2968"/>
        <v>0</v>
      </c>
      <c r="J1342" s="662">
        <f t="shared" si="2968"/>
        <v>0</v>
      </c>
      <c r="K1342" s="662">
        <f t="shared" si="2968"/>
        <v>0</v>
      </c>
      <c r="L1342" s="662">
        <f t="shared" si="2968"/>
        <v>0</v>
      </c>
      <c r="U1342" s="663"/>
      <c r="Z1342" s="663"/>
      <c r="AA1342" s="663"/>
      <c r="AB1342" s="663"/>
      <c r="AC1342" s="663"/>
      <c r="AD1342" s="663"/>
      <c r="AE1342" s="663"/>
      <c r="AF1342" s="663"/>
      <c r="AG1342" s="663"/>
      <c r="AH1342" s="663"/>
      <c r="AI1342" s="663"/>
      <c r="AJ1342" s="663"/>
      <c r="AK1342" s="663"/>
      <c r="AL1342" s="663"/>
      <c r="AM1342" s="663"/>
      <c r="AN1342" s="663"/>
    </row>
    <row r="1343" spans="2:40" ht="14.45" hidden="1" customHeight="1" x14ac:dyDescent="0.25">
      <c r="B1343" s="936">
        <f t="shared" ref="B1343:L1343" si="2969">B1327</f>
        <v>39843</v>
      </c>
      <c r="C1343" s="662">
        <f t="shared" si="2969"/>
        <v>0</v>
      </c>
      <c r="D1343" s="662">
        <f t="shared" si="2969"/>
        <v>0</v>
      </c>
      <c r="E1343" s="662">
        <f t="shared" si="2969"/>
        <v>0</v>
      </c>
      <c r="F1343" s="662">
        <f t="shared" si="2969"/>
        <v>0</v>
      </c>
      <c r="G1343" s="662">
        <f t="shared" si="2969"/>
        <v>0</v>
      </c>
      <c r="H1343" s="662">
        <f t="shared" si="2969"/>
        <v>0</v>
      </c>
      <c r="I1343" s="662">
        <f t="shared" si="2969"/>
        <v>0</v>
      </c>
      <c r="J1343" s="662">
        <f t="shared" si="2969"/>
        <v>0</v>
      </c>
      <c r="K1343" s="662">
        <f t="shared" si="2969"/>
        <v>0</v>
      </c>
      <c r="L1343" s="662">
        <f t="shared" si="2969"/>
        <v>0</v>
      </c>
      <c r="U1343" s="663"/>
      <c r="Z1343" s="663"/>
      <c r="AA1343" s="663"/>
      <c r="AB1343" s="663"/>
      <c r="AC1343" s="663"/>
      <c r="AD1343" s="663"/>
      <c r="AE1343" s="663"/>
      <c r="AF1343" s="663"/>
      <c r="AG1343" s="663"/>
      <c r="AH1343" s="663"/>
      <c r="AI1343" s="663"/>
      <c r="AJ1343" s="663"/>
      <c r="AK1343" s="663"/>
      <c r="AL1343" s="663"/>
      <c r="AM1343" s="663"/>
      <c r="AN1343" s="663"/>
    </row>
    <row r="1344" spans="2:40" ht="14.45" hidden="1" customHeight="1" x14ac:dyDescent="0.25">
      <c r="B1344" s="936">
        <f>B1278</f>
        <v>41719</v>
      </c>
      <c r="C1344" s="662">
        <f t="shared" ref="C1344:L1344" si="2970">C1328</f>
        <v>4078815.2610441777</v>
      </c>
      <c r="D1344" s="662">
        <f t="shared" si="2970"/>
        <v>6118222.8915662663</v>
      </c>
      <c r="E1344" s="662">
        <f t="shared" si="2970"/>
        <v>8157630.5220883554</v>
      </c>
      <c r="F1344" s="662">
        <f t="shared" si="2970"/>
        <v>10197038.152610444</v>
      </c>
      <c r="G1344" s="662">
        <f t="shared" si="2970"/>
        <v>12236445.783132533</v>
      </c>
      <c r="H1344" s="662">
        <f t="shared" si="2970"/>
        <v>14275853.413654622</v>
      </c>
      <c r="I1344" s="662">
        <f t="shared" si="2970"/>
        <v>16315261.044176711</v>
      </c>
      <c r="J1344" s="662">
        <f t="shared" si="2970"/>
        <v>18354668.6746988</v>
      </c>
      <c r="K1344" s="662">
        <f t="shared" si="2970"/>
        <v>20394076.305220887</v>
      </c>
      <c r="L1344" s="662">
        <f t="shared" si="2970"/>
        <v>22433483.935742974</v>
      </c>
      <c r="U1344" s="663"/>
      <c r="Z1344" s="663"/>
      <c r="AA1344" s="663"/>
      <c r="AB1344" s="663"/>
      <c r="AC1344" s="663"/>
      <c r="AD1344" s="663"/>
      <c r="AE1344" s="663"/>
      <c r="AF1344" s="663"/>
      <c r="AG1344" s="663"/>
      <c r="AH1344" s="663"/>
      <c r="AI1344" s="663"/>
      <c r="AJ1344" s="663"/>
      <c r="AK1344" s="663"/>
      <c r="AL1344" s="663"/>
      <c r="AM1344" s="663"/>
      <c r="AN1344" s="663"/>
    </row>
    <row r="1345" spans="2:40" ht="14.45" hidden="1" customHeight="1" x14ac:dyDescent="0.25">
      <c r="C1345" s="882" t="str">
        <f ca="1">IF(ISERROR(XIRR(INDIRECT(C1347):C1344,INDIRECT($B1347):$B1344,-20%)),XIRR(INDIRECT(C1347):C1344,INDIRECT($B1347):$B1344,20%),"N/A")</f>
        <v>N/A</v>
      </c>
      <c r="D1345" s="882" t="str">
        <f ca="1">IF(ISERROR(XIRR(INDIRECT(D1347):D1344,INDIRECT($B1347):$B1344,-20%)),XIRR(INDIRECT(D1347):D1344,INDIRECT($B1347):$B1344,20%),"N/A")</f>
        <v>N/A</v>
      </c>
      <c r="E1345" s="882" t="str">
        <f ca="1">IF(ISERROR(XIRR(INDIRECT(E1347):E1344,INDIRECT($B1347):$B1344,-20%)),XIRR(INDIRECT(E1347):E1344,INDIRECT($B1347):$B1344,20%),"N/A")</f>
        <v>N/A</v>
      </c>
      <c r="F1345" s="882">
        <f ca="1">IF(ISERROR(XIRR(INDIRECT(F1347):F1344,INDIRECT($B1347):$B1344,-20%)),XIRR(INDIRECT(F1347):F1344,INDIRECT($B1347):$B1344,20%),"N/A")</f>
        <v>2.0941802859306333E-2</v>
      </c>
      <c r="G1345" s="882">
        <f ca="1">IF(ISERROR(XIRR(INDIRECT(G1347):G1344,INDIRECT($B1347):$B1344,-20%)),XIRR(INDIRECT(G1347):G1344,INDIRECT($B1347):$B1344,20%),"N/A")</f>
        <v>5.780768692493439E-2</v>
      </c>
      <c r="H1345" s="882">
        <f ca="1">IF(ISERROR(XIRR(INDIRECT(H1347):H1344,INDIRECT($B1347):$B1344,-20%)),XIRR(INDIRECT(H1347):H1344,INDIRECT($B1347):$B1344,20%),"N/A")</f>
        <v>9.0014013648033145E-2</v>
      </c>
      <c r="I1345" s="882">
        <f ca="1">IF(ISERROR(XIRR(INDIRECT(I1347):I1344,INDIRECT($B1347):$B1344,-20%)),XIRR(INDIRECT(I1347):I1344,INDIRECT($B1347):$B1344,20%),"N/A")</f>
        <v>0.1187039315700531</v>
      </c>
      <c r="J1345" s="882">
        <f ca="1">IF(ISERROR(XIRR(INDIRECT(J1347):J1344,INDIRECT($B1347):$B1344,-20%)),XIRR(INDIRECT(J1347):J1344,INDIRECT($B1347):$B1344,20%),"N/A")</f>
        <v>0.14463638663291931</v>
      </c>
      <c r="K1345" s="882">
        <f ca="1">IF(ISERROR(XIRR(INDIRECT(K1347):K1344,INDIRECT($B1347):$B1344,-20%)),XIRR(INDIRECT(K1347):K1344,INDIRECT($B1347):$B1344,20%),"N/A")</f>
        <v>0.16834271550178528</v>
      </c>
      <c r="L1345" s="882">
        <f ca="1">IF(ISERROR(XIRR(INDIRECT(L1347):L1344,INDIRECT($B1347):$B1344,-20%)),XIRR(INDIRECT(L1347):L1344,INDIRECT($B1347):$B1344,20%),"N/A")</f>
        <v>0.19021038413047789</v>
      </c>
      <c r="U1345" s="663"/>
      <c r="Z1345" s="663"/>
      <c r="AA1345" s="663"/>
      <c r="AB1345" s="663"/>
      <c r="AC1345" s="663"/>
      <c r="AD1345" s="663"/>
      <c r="AE1345" s="663"/>
      <c r="AF1345" s="663"/>
      <c r="AG1345" s="663"/>
      <c r="AH1345" s="663"/>
      <c r="AI1345" s="663"/>
      <c r="AJ1345" s="663"/>
      <c r="AK1345" s="663"/>
      <c r="AL1345" s="663"/>
      <c r="AM1345" s="663"/>
      <c r="AN1345" s="663"/>
    </row>
    <row r="1346" spans="2:40" ht="14.45" hidden="1" customHeight="1" x14ac:dyDescent="0.25">
      <c r="B1346" s="898">
        <f>IF(C1334&lt;&gt;0,ROW(C1334),IF(C1335&lt;&gt;0,ROW(C1335),IF(C1336&lt;&gt;0,ROW(C1336),IF(C1337&lt;&gt;0,ROW(C1337),IF(C1338&lt;&gt;0,ROW(C1338),IF(C1339&lt;&gt;0,ROW(C1339),IF(C1340&lt;&gt;0,ROW(C1340),IF(C1341&lt;&gt;0,ROW(C1341),IF(C1342&lt;&gt;0,ROW(C1342),IF(C1343&lt;&gt;0,ROW(C1343)))))))))))</f>
        <v>1336</v>
      </c>
      <c r="C1346" s="882"/>
      <c r="U1346" s="663"/>
      <c r="Z1346" s="663"/>
      <c r="AA1346" s="663"/>
      <c r="AB1346" s="663"/>
      <c r="AC1346" s="663"/>
      <c r="AD1346" s="663"/>
      <c r="AE1346" s="663"/>
      <c r="AF1346" s="663"/>
      <c r="AG1346" s="663"/>
      <c r="AH1346" s="663"/>
      <c r="AI1346" s="663"/>
      <c r="AJ1346" s="663"/>
      <c r="AK1346" s="663"/>
      <c r="AL1346" s="663"/>
      <c r="AM1346" s="663"/>
      <c r="AN1346" s="663"/>
    </row>
    <row r="1347" spans="2:40" ht="14.45" hidden="1" customHeight="1" x14ac:dyDescent="0.25">
      <c r="B1347" s="899" t="str">
        <f>CONCATENATE(IF(COLUMN(B1346)&lt;=26,CHAR(96+COLUMN(B1346)),(CHAR(96+(ROUNDDOWN((COLUMN(B1346)-1)/26,0)))&amp;CHAR(96+IF(MOD(COLUMN(B1346),26)=0,26,MOD(COLUMN(B1346),26))))),B1346)</f>
        <v>b1336</v>
      </c>
      <c r="C1347" s="899" t="str">
        <f>CONCATENATE(IF(COLUMN(C1345)&lt;=26,CHAR(96+COLUMN(C1345)),(CHAR(96+(ROUNDDOWN((COLUMN(C1345)-1)/26,0)))&amp;CHAR(96+IF(MOD(COLUMN(C1345),26)=0,26,MOD(COLUMN(C1345),26))))),$B1346)</f>
        <v>c1336</v>
      </c>
      <c r="D1347" s="899" t="str">
        <f t="shared" ref="D1347" si="2971">CONCATENATE(IF(COLUMN(D1345)&lt;=26,CHAR(96+COLUMN(D1345)),(CHAR(96+(ROUNDDOWN((COLUMN(D1345)-1)/26,0)))&amp;CHAR(96+IF(MOD(COLUMN(D1345),26)=0,26,MOD(COLUMN(D1345),26))))),$B1346)</f>
        <v>d1336</v>
      </c>
      <c r="E1347" s="899" t="str">
        <f t="shared" ref="E1347" si="2972">CONCATENATE(IF(COLUMN(E1345)&lt;=26,CHAR(96+COLUMN(E1345)),(CHAR(96+(ROUNDDOWN((COLUMN(E1345)-1)/26,0)))&amp;CHAR(96+IF(MOD(COLUMN(E1345),26)=0,26,MOD(COLUMN(E1345),26))))),$B1346)</f>
        <v>e1336</v>
      </c>
      <c r="F1347" s="899" t="str">
        <f t="shared" ref="F1347" si="2973">CONCATENATE(IF(COLUMN(F1345)&lt;=26,CHAR(96+COLUMN(F1345)),(CHAR(96+(ROUNDDOWN((COLUMN(F1345)-1)/26,0)))&amp;CHAR(96+IF(MOD(COLUMN(F1345),26)=0,26,MOD(COLUMN(F1345),26))))),$B1346)</f>
        <v>f1336</v>
      </c>
      <c r="G1347" s="899" t="str">
        <f t="shared" ref="G1347" si="2974">CONCATENATE(IF(COLUMN(G1345)&lt;=26,CHAR(96+COLUMN(G1345)),(CHAR(96+(ROUNDDOWN((COLUMN(G1345)-1)/26,0)))&amp;CHAR(96+IF(MOD(COLUMN(G1345),26)=0,26,MOD(COLUMN(G1345),26))))),$B1346)</f>
        <v>g1336</v>
      </c>
      <c r="H1347" s="899" t="str">
        <f t="shared" ref="H1347" si="2975">CONCATENATE(IF(COLUMN(H1345)&lt;=26,CHAR(96+COLUMN(H1345)),(CHAR(96+(ROUNDDOWN((COLUMN(H1345)-1)/26,0)))&amp;CHAR(96+IF(MOD(COLUMN(H1345),26)=0,26,MOD(COLUMN(H1345),26))))),$B1346)</f>
        <v>h1336</v>
      </c>
      <c r="I1347" s="899" t="str">
        <f t="shared" ref="I1347" si="2976">CONCATENATE(IF(COLUMN(I1345)&lt;=26,CHAR(96+COLUMN(I1345)),(CHAR(96+(ROUNDDOWN((COLUMN(I1345)-1)/26,0)))&amp;CHAR(96+IF(MOD(COLUMN(I1345),26)=0,26,MOD(COLUMN(I1345),26))))),$B1346)</f>
        <v>i1336</v>
      </c>
      <c r="J1347" s="899" t="str">
        <f t="shared" ref="J1347" si="2977">CONCATENATE(IF(COLUMN(J1345)&lt;=26,CHAR(96+COLUMN(J1345)),(CHAR(96+(ROUNDDOWN((COLUMN(J1345)-1)/26,0)))&amp;CHAR(96+IF(MOD(COLUMN(J1345),26)=0,26,MOD(COLUMN(J1345),26))))),$B1346)</f>
        <v>j1336</v>
      </c>
      <c r="K1347" s="899" t="str">
        <f t="shared" ref="K1347" si="2978">CONCATENATE(IF(COLUMN(K1345)&lt;=26,CHAR(96+COLUMN(K1345)),(CHAR(96+(ROUNDDOWN((COLUMN(K1345)-1)/26,0)))&amp;CHAR(96+IF(MOD(COLUMN(K1345),26)=0,26,MOD(COLUMN(K1345),26))))),$B1346)</f>
        <v>k1336</v>
      </c>
      <c r="L1347" s="899" t="str">
        <f t="shared" ref="L1347" si="2979">CONCATENATE(IF(COLUMN(L1345)&lt;=26,CHAR(96+COLUMN(L1345)),(CHAR(96+(ROUNDDOWN((COLUMN(L1345)-1)/26,0)))&amp;CHAR(96+IF(MOD(COLUMN(L1345),26)=0,26,MOD(COLUMN(L1345),26))))),$B1346)</f>
        <v>l1336</v>
      </c>
      <c r="U1347" s="663"/>
      <c r="Z1347" s="663"/>
      <c r="AA1347" s="663"/>
      <c r="AB1347" s="663"/>
      <c r="AC1347" s="663"/>
      <c r="AD1347" s="663"/>
      <c r="AE1347" s="663"/>
      <c r="AF1347" s="663"/>
      <c r="AG1347" s="663"/>
      <c r="AH1347" s="663"/>
      <c r="AI1347" s="663"/>
      <c r="AJ1347" s="663"/>
      <c r="AK1347" s="663"/>
      <c r="AL1347" s="663"/>
      <c r="AM1347" s="663"/>
      <c r="AN1347" s="663"/>
    </row>
    <row r="1348" spans="2:40" ht="14.45" hidden="1" customHeight="1" x14ac:dyDescent="0.25">
      <c r="B1348" s="661"/>
      <c r="C1348" s="662"/>
      <c r="U1348" s="663"/>
      <c r="Z1348" s="663"/>
      <c r="AA1348" s="663"/>
      <c r="AB1348" s="663"/>
      <c r="AC1348" s="663"/>
      <c r="AD1348" s="663"/>
      <c r="AE1348" s="663"/>
      <c r="AF1348" s="663"/>
      <c r="AG1348" s="663"/>
      <c r="AH1348" s="663"/>
      <c r="AI1348" s="663"/>
      <c r="AJ1348" s="663"/>
      <c r="AK1348" s="663"/>
      <c r="AL1348" s="663"/>
      <c r="AM1348" s="663"/>
      <c r="AN1348" s="663"/>
    </row>
    <row r="1349" spans="2:40" ht="14.45" hidden="1" customHeight="1" x14ac:dyDescent="0.25">
      <c r="B1349" s="661"/>
      <c r="C1349" s="662"/>
      <c r="U1349" s="663"/>
      <c r="Z1349" s="663"/>
      <c r="AA1349" s="663"/>
      <c r="AB1349" s="663"/>
      <c r="AC1349" s="663"/>
      <c r="AD1349" s="663"/>
      <c r="AE1349" s="663"/>
      <c r="AF1349" s="663"/>
      <c r="AG1349" s="663"/>
      <c r="AH1349" s="663"/>
      <c r="AI1349" s="663"/>
      <c r="AJ1349" s="663"/>
      <c r="AK1349" s="663"/>
      <c r="AL1349" s="663"/>
      <c r="AM1349" s="663"/>
      <c r="AN1349" s="663"/>
    </row>
    <row r="1350" spans="2:40" ht="14.45" hidden="1" customHeight="1" x14ac:dyDescent="0.25">
      <c r="B1350" s="661"/>
      <c r="C1350" s="662"/>
      <c r="U1350" s="663"/>
      <c r="Z1350" s="663"/>
      <c r="AA1350" s="663"/>
      <c r="AB1350" s="663"/>
      <c r="AC1350" s="663"/>
      <c r="AD1350" s="663"/>
      <c r="AE1350" s="663"/>
      <c r="AF1350" s="663"/>
      <c r="AG1350" s="663"/>
      <c r="AH1350" s="663"/>
      <c r="AI1350" s="663"/>
      <c r="AJ1350" s="663"/>
      <c r="AK1350" s="663"/>
      <c r="AL1350" s="663"/>
      <c r="AM1350" s="663"/>
      <c r="AN1350" s="663"/>
    </row>
    <row r="1351" spans="2:40" ht="14.45" hidden="1" customHeight="1" x14ac:dyDescent="0.25">
      <c r="B1351" s="661" t="str">
        <f>B1718</f>
        <v>Inv G Gross Return Analysis</v>
      </c>
      <c r="C1351" s="662"/>
      <c r="U1351" s="663"/>
      <c r="Z1351" s="663"/>
      <c r="AA1351" s="663"/>
      <c r="AB1351" s="663"/>
      <c r="AC1351" s="663"/>
      <c r="AD1351" s="663"/>
      <c r="AE1351" s="663"/>
      <c r="AF1351" s="663"/>
      <c r="AG1351" s="663"/>
      <c r="AH1351" s="663"/>
      <c r="AI1351" s="663"/>
      <c r="AJ1351" s="663"/>
      <c r="AK1351" s="663"/>
      <c r="AL1351" s="663"/>
      <c r="AM1351" s="663"/>
      <c r="AN1351" s="663"/>
    </row>
    <row r="1352" spans="2:40" ht="14.45" hidden="1" customHeight="1" x14ac:dyDescent="0.25">
      <c r="B1352" s="936">
        <f>B1286</f>
        <v>39113</v>
      </c>
      <c r="C1352" s="662">
        <f>C613</f>
        <v>0</v>
      </c>
      <c r="D1352" s="662">
        <f>C1352</f>
        <v>0</v>
      </c>
      <c r="E1352" s="662">
        <f t="shared" ref="E1352:L1352" si="2980">D1352</f>
        <v>0</v>
      </c>
      <c r="F1352" s="662">
        <f t="shared" si="2980"/>
        <v>0</v>
      </c>
      <c r="G1352" s="662">
        <f t="shared" si="2980"/>
        <v>0</v>
      </c>
      <c r="H1352" s="662">
        <f t="shared" si="2980"/>
        <v>0</v>
      </c>
      <c r="I1352" s="662">
        <f t="shared" si="2980"/>
        <v>0</v>
      </c>
      <c r="J1352" s="662">
        <f t="shared" si="2980"/>
        <v>0</v>
      </c>
      <c r="K1352" s="662">
        <f t="shared" si="2980"/>
        <v>0</v>
      </c>
      <c r="L1352" s="662">
        <f t="shared" si="2980"/>
        <v>0</v>
      </c>
      <c r="U1352" s="663"/>
      <c r="Z1352" s="663"/>
      <c r="AA1352" s="663"/>
      <c r="AB1352" s="663"/>
      <c r="AC1352" s="663"/>
      <c r="AD1352" s="663"/>
      <c r="AE1352" s="663"/>
      <c r="AF1352" s="663"/>
      <c r="AG1352" s="663"/>
      <c r="AH1352" s="663"/>
      <c r="AI1352" s="663"/>
      <c r="AJ1352" s="663"/>
      <c r="AK1352" s="663"/>
      <c r="AL1352" s="663"/>
      <c r="AM1352" s="663"/>
      <c r="AN1352" s="663"/>
    </row>
    <row r="1353" spans="2:40" ht="14.45" hidden="1" customHeight="1" x14ac:dyDescent="0.25">
      <c r="B1353" s="936">
        <f t="shared" ref="B1353:B1362" si="2981">B1287</f>
        <v>39478</v>
      </c>
      <c r="C1353" s="662">
        <f t="shared" ref="C1353:C1361" si="2982">C614</f>
        <v>0</v>
      </c>
      <c r="D1353" s="662">
        <f t="shared" ref="D1353:L1361" si="2983">C1353</f>
        <v>0</v>
      </c>
      <c r="E1353" s="662">
        <f t="shared" si="2983"/>
        <v>0</v>
      </c>
      <c r="F1353" s="662">
        <f t="shared" si="2983"/>
        <v>0</v>
      </c>
      <c r="G1353" s="662">
        <f t="shared" si="2983"/>
        <v>0</v>
      </c>
      <c r="H1353" s="662">
        <f t="shared" si="2983"/>
        <v>0</v>
      </c>
      <c r="I1353" s="662">
        <f t="shared" si="2983"/>
        <v>0</v>
      </c>
      <c r="J1353" s="662">
        <f t="shared" si="2983"/>
        <v>0</v>
      </c>
      <c r="K1353" s="662">
        <f t="shared" si="2983"/>
        <v>0</v>
      </c>
      <c r="L1353" s="662">
        <f t="shared" si="2983"/>
        <v>0</v>
      </c>
      <c r="U1353" s="663"/>
      <c r="Z1353" s="663"/>
      <c r="AA1353" s="663"/>
      <c r="AB1353" s="663"/>
      <c r="AC1353" s="663"/>
      <c r="AD1353" s="663"/>
      <c r="AE1353" s="663"/>
      <c r="AF1353" s="663"/>
      <c r="AG1353" s="663"/>
      <c r="AH1353" s="663"/>
      <c r="AI1353" s="663"/>
      <c r="AJ1353" s="663"/>
      <c r="AK1353" s="663"/>
      <c r="AL1353" s="663"/>
      <c r="AM1353" s="663"/>
      <c r="AN1353" s="663"/>
    </row>
    <row r="1354" spans="2:40" ht="14.45" hidden="1" customHeight="1" x14ac:dyDescent="0.25">
      <c r="B1354" s="936">
        <f t="shared" si="2981"/>
        <v>39843</v>
      </c>
      <c r="C1354" s="662">
        <f t="shared" si="2982"/>
        <v>-2500000</v>
      </c>
      <c r="D1354" s="662">
        <f t="shared" si="2983"/>
        <v>-2500000</v>
      </c>
      <c r="E1354" s="662">
        <f t="shared" si="2983"/>
        <v>-2500000</v>
      </c>
      <c r="F1354" s="662">
        <f t="shared" si="2983"/>
        <v>-2500000</v>
      </c>
      <c r="G1354" s="662">
        <f t="shared" si="2983"/>
        <v>-2500000</v>
      </c>
      <c r="H1354" s="662">
        <f t="shared" si="2983"/>
        <v>-2500000</v>
      </c>
      <c r="I1354" s="662">
        <f t="shared" si="2983"/>
        <v>-2500000</v>
      </c>
      <c r="J1354" s="662">
        <f t="shared" si="2983"/>
        <v>-2500000</v>
      </c>
      <c r="K1354" s="662">
        <f t="shared" si="2983"/>
        <v>-2500000</v>
      </c>
      <c r="L1354" s="662">
        <f t="shared" si="2983"/>
        <v>-2500000</v>
      </c>
      <c r="U1354" s="663"/>
      <c r="Z1354" s="663"/>
      <c r="AA1354" s="663"/>
      <c r="AB1354" s="663"/>
      <c r="AC1354" s="663"/>
      <c r="AD1354" s="663"/>
      <c r="AE1354" s="663"/>
      <c r="AF1354" s="663"/>
      <c r="AG1354" s="663"/>
      <c r="AH1354" s="663"/>
      <c r="AI1354" s="663"/>
      <c r="AJ1354" s="663"/>
      <c r="AK1354" s="663"/>
      <c r="AL1354" s="663"/>
      <c r="AM1354" s="663"/>
      <c r="AN1354" s="663"/>
    </row>
    <row r="1355" spans="2:40" ht="14.45" hidden="1" customHeight="1" x14ac:dyDescent="0.25">
      <c r="B1355" s="936">
        <f t="shared" si="2981"/>
        <v>39843</v>
      </c>
      <c r="C1355" s="662">
        <f t="shared" si="2982"/>
        <v>-6666666.666666667</v>
      </c>
      <c r="D1355" s="662">
        <f t="shared" si="2983"/>
        <v>-6666666.666666667</v>
      </c>
      <c r="E1355" s="662">
        <f t="shared" si="2983"/>
        <v>-6666666.666666667</v>
      </c>
      <c r="F1355" s="662">
        <f t="shared" si="2983"/>
        <v>-6666666.666666667</v>
      </c>
      <c r="G1355" s="662">
        <f t="shared" si="2983"/>
        <v>-6666666.666666667</v>
      </c>
      <c r="H1355" s="662">
        <f t="shared" si="2983"/>
        <v>-6666666.666666667</v>
      </c>
      <c r="I1355" s="662">
        <f t="shared" si="2983"/>
        <v>-6666666.666666667</v>
      </c>
      <c r="J1355" s="662">
        <f t="shared" si="2983"/>
        <v>-6666666.666666667</v>
      </c>
      <c r="K1355" s="662">
        <f t="shared" si="2983"/>
        <v>-6666666.666666667</v>
      </c>
      <c r="L1355" s="662">
        <f t="shared" si="2983"/>
        <v>-6666666.666666667</v>
      </c>
      <c r="U1355" s="663"/>
      <c r="Z1355" s="663"/>
      <c r="AA1355" s="663"/>
      <c r="AB1355" s="663"/>
      <c r="AC1355" s="663"/>
      <c r="AD1355" s="663"/>
      <c r="AE1355" s="663"/>
      <c r="AF1355" s="663"/>
      <c r="AG1355" s="663"/>
      <c r="AH1355" s="663"/>
      <c r="AI1355" s="663"/>
      <c r="AJ1355" s="663"/>
      <c r="AK1355" s="663"/>
      <c r="AL1355" s="663"/>
      <c r="AM1355" s="663"/>
      <c r="AN1355" s="663"/>
    </row>
    <row r="1356" spans="2:40" ht="14.45" hidden="1" customHeight="1" x14ac:dyDescent="0.25">
      <c r="B1356" s="936">
        <f t="shared" si="2981"/>
        <v>39843</v>
      </c>
      <c r="C1356" s="662">
        <f t="shared" si="2982"/>
        <v>0</v>
      </c>
      <c r="D1356" s="662">
        <f t="shared" si="2983"/>
        <v>0</v>
      </c>
      <c r="E1356" s="662">
        <f t="shared" si="2983"/>
        <v>0</v>
      </c>
      <c r="F1356" s="662">
        <f t="shared" si="2983"/>
        <v>0</v>
      </c>
      <c r="G1356" s="662">
        <f t="shared" si="2983"/>
        <v>0</v>
      </c>
      <c r="H1356" s="662">
        <f t="shared" si="2983"/>
        <v>0</v>
      </c>
      <c r="I1356" s="662">
        <f t="shared" si="2983"/>
        <v>0</v>
      </c>
      <c r="J1356" s="662">
        <f t="shared" si="2983"/>
        <v>0</v>
      </c>
      <c r="K1356" s="662">
        <f t="shared" si="2983"/>
        <v>0</v>
      </c>
      <c r="L1356" s="662">
        <f t="shared" si="2983"/>
        <v>0</v>
      </c>
      <c r="U1356" s="663"/>
      <c r="Z1356" s="663"/>
      <c r="AA1356" s="663"/>
      <c r="AB1356" s="663"/>
      <c r="AC1356" s="663"/>
      <c r="AD1356" s="663"/>
      <c r="AE1356" s="663"/>
      <c r="AF1356" s="663"/>
      <c r="AG1356" s="663"/>
      <c r="AH1356" s="663"/>
      <c r="AI1356" s="663"/>
      <c r="AJ1356" s="663"/>
      <c r="AK1356" s="663"/>
      <c r="AL1356" s="663"/>
      <c r="AM1356" s="663"/>
      <c r="AN1356" s="663"/>
    </row>
    <row r="1357" spans="2:40" ht="14.45" hidden="1" customHeight="1" x14ac:dyDescent="0.25">
      <c r="B1357" s="936">
        <f t="shared" si="2981"/>
        <v>39843</v>
      </c>
      <c r="C1357" s="662">
        <f t="shared" si="2982"/>
        <v>0</v>
      </c>
      <c r="D1357" s="662">
        <f t="shared" si="2983"/>
        <v>0</v>
      </c>
      <c r="E1357" s="662">
        <f t="shared" si="2983"/>
        <v>0</v>
      </c>
      <c r="F1357" s="662">
        <f t="shared" si="2983"/>
        <v>0</v>
      </c>
      <c r="G1357" s="662">
        <f t="shared" si="2983"/>
        <v>0</v>
      </c>
      <c r="H1357" s="662">
        <f t="shared" si="2983"/>
        <v>0</v>
      </c>
      <c r="I1357" s="662">
        <f t="shared" si="2983"/>
        <v>0</v>
      </c>
      <c r="J1357" s="662">
        <f t="shared" si="2983"/>
        <v>0</v>
      </c>
      <c r="K1357" s="662">
        <f t="shared" si="2983"/>
        <v>0</v>
      </c>
      <c r="L1357" s="662">
        <f t="shared" si="2983"/>
        <v>0</v>
      </c>
      <c r="U1357" s="663"/>
      <c r="Z1357" s="663"/>
      <c r="AA1357" s="663"/>
      <c r="AB1357" s="663"/>
      <c r="AC1357" s="663"/>
      <c r="AD1357" s="663"/>
      <c r="AE1357" s="663"/>
      <c r="AF1357" s="663"/>
      <c r="AG1357" s="663"/>
      <c r="AH1357" s="663"/>
      <c r="AI1357" s="663"/>
      <c r="AJ1357" s="663"/>
      <c r="AK1357" s="663"/>
      <c r="AL1357" s="663"/>
      <c r="AM1357" s="663"/>
      <c r="AN1357" s="663"/>
    </row>
    <row r="1358" spans="2:40" ht="14.45" hidden="1" customHeight="1" x14ac:dyDescent="0.25">
      <c r="B1358" s="936">
        <f t="shared" si="2981"/>
        <v>39843</v>
      </c>
      <c r="C1358" s="662">
        <f t="shared" si="2982"/>
        <v>0</v>
      </c>
      <c r="D1358" s="662">
        <f t="shared" si="2983"/>
        <v>0</v>
      </c>
      <c r="E1358" s="662">
        <f t="shared" si="2983"/>
        <v>0</v>
      </c>
      <c r="F1358" s="662">
        <f t="shared" si="2983"/>
        <v>0</v>
      </c>
      <c r="G1358" s="662">
        <f t="shared" si="2983"/>
        <v>0</v>
      </c>
      <c r="H1358" s="662">
        <f t="shared" si="2983"/>
        <v>0</v>
      </c>
      <c r="I1358" s="662">
        <f t="shared" si="2983"/>
        <v>0</v>
      </c>
      <c r="J1358" s="662">
        <f t="shared" si="2983"/>
        <v>0</v>
      </c>
      <c r="K1358" s="662">
        <f t="shared" si="2983"/>
        <v>0</v>
      </c>
      <c r="L1358" s="662">
        <f t="shared" si="2983"/>
        <v>0</v>
      </c>
      <c r="U1358" s="663"/>
      <c r="Z1358" s="663"/>
      <c r="AA1358" s="663"/>
      <c r="AB1358" s="663"/>
      <c r="AC1358" s="663"/>
      <c r="AD1358" s="663"/>
      <c r="AE1358" s="663"/>
      <c r="AF1358" s="663"/>
      <c r="AG1358" s="663"/>
      <c r="AH1358" s="663"/>
      <c r="AI1358" s="663"/>
      <c r="AJ1358" s="663"/>
      <c r="AK1358" s="663"/>
      <c r="AL1358" s="663"/>
      <c r="AM1358" s="663"/>
      <c r="AN1358" s="663"/>
    </row>
    <row r="1359" spans="2:40" ht="14.45" hidden="1" customHeight="1" x14ac:dyDescent="0.25">
      <c r="B1359" s="936">
        <f t="shared" si="2981"/>
        <v>39843</v>
      </c>
      <c r="C1359" s="662">
        <f t="shared" si="2982"/>
        <v>0</v>
      </c>
      <c r="D1359" s="662">
        <f t="shared" si="2983"/>
        <v>0</v>
      </c>
      <c r="E1359" s="662">
        <f t="shared" si="2983"/>
        <v>0</v>
      </c>
      <c r="F1359" s="662">
        <f t="shared" si="2983"/>
        <v>0</v>
      </c>
      <c r="G1359" s="662">
        <f t="shared" si="2983"/>
        <v>0</v>
      </c>
      <c r="H1359" s="662">
        <f t="shared" si="2983"/>
        <v>0</v>
      </c>
      <c r="I1359" s="662">
        <f t="shared" si="2983"/>
        <v>0</v>
      </c>
      <c r="J1359" s="662">
        <f t="shared" si="2983"/>
        <v>0</v>
      </c>
      <c r="K1359" s="662">
        <f t="shared" si="2983"/>
        <v>0</v>
      </c>
      <c r="L1359" s="662">
        <f t="shared" si="2983"/>
        <v>0</v>
      </c>
      <c r="U1359" s="663"/>
      <c r="Z1359" s="663"/>
      <c r="AA1359" s="663"/>
      <c r="AB1359" s="663"/>
      <c r="AC1359" s="663"/>
      <c r="AD1359" s="663"/>
      <c r="AE1359" s="663"/>
      <c r="AF1359" s="663"/>
      <c r="AG1359" s="663"/>
      <c r="AH1359" s="663"/>
      <c r="AI1359" s="663"/>
      <c r="AJ1359" s="663"/>
      <c r="AK1359" s="663"/>
      <c r="AL1359" s="663"/>
      <c r="AM1359" s="663"/>
      <c r="AN1359" s="663"/>
    </row>
    <row r="1360" spans="2:40" ht="14.45" hidden="1" customHeight="1" x14ac:dyDescent="0.25">
      <c r="B1360" s="936">
        <f t="shared" si="2981"/>
        <v>39843</v>
      </c>
      <c r="C1360" s="662">
        <f t="shared" si="2982"/>
        <v>0</v>
      </c>
      <c r="D1360" s="662">
        <f t="shared" si="2983"/>
        <v>0</v>
      </c>
      <c r="E1360" s="662">
        <f t="shared" si="2983"/>
        <v>0</v>
      </c>
      <c r="F1360" s="662">
        <f t="shared" si="2983"/>
        <v>0</v>
      </c>
      <c r="G1360" s="662">
        <f t="shared" si="2983"/>
        <v>0</v>
      </c>
      <c r="H1360" s="662">
        <f t="shared" si="2983"/>
        <v>0</v>
      </c>
      <c r="I1360" s="662">
        <f t="shared" si="2983"/>
        <v>0</v>
      </c>
      <c r="J1360" s="662">
        <f t="shared" si="2983"/>
        <v>0</v>
      </c>
      <c r="K1360" s="662">
        <f t="shared" si="2983"/>
        <v>0</v>
      </c>
      <c r="L1360" s="662">
        <f t="shared" si="2983"/>
        <v>0</v>
      </c>
      <c r="U1360" s="663"/>
      <c r="Z1360" s="663"/>
      <c r="AA1360" s="663"/>
      <c r="AB1360" s="663"/>
      <c r="AC1360" s="663"/>
      <c r="AD1360" s="663"/>
      <c r="AE1360" s="663"/>
      <c r="AF1360" s="663"/>
      <c r="AG1360" s="663"/>
      <c r="AH1360" s="663"/>
      <c r="AI1360" s="663"/>
      <c r="AJ1360" s="663"/>
      <c r="AK1360" s="663"/>
      <c r="AL1360" s="663"/>
      <c r="AM1360" s="663"/>
      <c r="AN1360" s="663"/>
    </row>
    <row r="1361" spans="2:40" ht="14.45" hidden="1" customHeight="1" x14ac:dyDescent="0.25">
      <c r="B1361" s="936">
        <f t="shared" si="2981"/>
        <v>39843</v>
      </c>
      <c r="C1361" s="662">
        <f t="shared" si="2982"/>
        <v>0</v>
      </c>
      <c r="D1361" s="662">
        <f t="shared" si="2983"/>
        <v>0</v>
      </c>
      <c r="E1361" s="662">
        <f t="shared" si="2983"/>
        <v>0</v>
      </c>
      <c r="F1361" s="662">
        <f t="shared" si="2983"/>
        <v>0</v>
      </c>
      <c r="G1361" s="662">
        <f t="shared" si="2983"/>
        <v>0</v>
      </c>
      <c r="H1361" s="662">
        <f t="shared" si="2983"/>
        <v>0</v>
      </c>
      <c r="I1361" s="662">
        <f t="shared" si="2983"/>
        <v>0</v>
      </c>
      <c r="J1361" s="662">
        <f t="shared" si="2983"/>
        <v>0</v>
      </c>
      <c r="K1361" s="662">
        <f t="shared" si="2983"/>
        <v>0</v>
      </c>
      <c r="L1361" s="662">
        <f t="shared" si="2983"/>
        <v>0</v>
      </c>
      <c r="U1361" s="663"/>
      <c r="Z1361" s="663"/>
      <c r="AA1361" s="663"/>
      <c r="AB1361" s="663"/>
      <c r="AC1361" s="663"/>
      <c r="AD1361" s="663"/>
      <c r="AE1361" s="663"/>
      <c r="AF1361" s="663"/>
      <c r="AG1361" s="663"/>
      <c r="AH1361" s="663"/>
      <c r="AI1361" s="663"/>
      <c r="AJ1361" s="663"/>
      <c r="AK1361" s="663"/>
      <c r="AL1361" s="663"/>
      <c r="AM1361" s="663"/>
      <c r="AN1361" s="663"/>
    </row>
    <row r="1362" spans="2:40" ht="14.45" hidden="1" customHeight="1" x14ac:dyDescent="0.25">
      <c r="B1362" s="936">
        <f t="shared" si="2981"/>
        <v>41179</v>
      </c>
      <c r="C1362" s="662">
        <f>C1719</f>
        <v>4078815.2610441777</v>
      </c>
      <c r="D1362" s="662">
        <f t="shared" ref="D1362:L1362" si="2984">D1719</f>
        <v>6118222.8915662663</v>
      </c>
      <c r="E1362" s="662">
        <f t="shared" si="2984"/>
        <v>8157630.5220883554</v>
      </c>
      <c r="F1362" s="662">
        <f t="shared" si="2984"/>
        <v>10197038.152610444</v>
      </c>
      <c r="G1362" s="662">
        <f t="shared" si="2984"/>
        <v>12236445.783132533</v>
      </c>
      <c r="H1362" s="662">
        <f t="shared" si="2984"/>
        <v>14275853.413654622</v>
      </c>
      <c r="I1362" s="662">
        <f t="shared" si="2984"/>
        <v>16315261.044176711</v>
      </c>
      <c r="J1362" s="662">
        <f t="shared" si="2984"/>
        <v>18354668.6746988</v>
      </c>
      <c r="K1362" s="662">
        <f t="shared" si="2984"/>
        <v>20394076.305220887</v>
      </c>
      <c r="L1362" s="662">
        <f t="shared" si="2984"/>
        <v>22433483.935742974</v>
      </c>
      <c r="U1362" s="663"/>
      <c r="Z1362" s="663"/>
      <c r="AA1362" s="663"/>
      <c r="AB1362" s="663"/>
      <c r="AC1362" s="663"/>
      <c r="AD1362" s="663"/>
      <c r="AE1362" s="663"/>
      <c r="AF1362" s="663"/>
      <c r="AG1362" s="663"/>
      <c r="AH1362" s="663"/>
      <c r="AI1362" s="663"/>
      <c r="AJ1362" s="663"/>
      <c r="AK1362" s="663"/>
      <c r="AL1362" s="663"/>
      <c r="AM1362" s="663"/>
      <c r="AN1362" s="663"/>
    </row>
    <row r="1363" spans="2:40" ht="14.45" hidden="1" customHeight="1" x14ac:dyDescent="0.25">
      <c r="C1363" s="882" t="str">
        <f ca="1">IF(ISERROR(XIRR(INDIRECT(C1365):C1362,INDIRECT($B1365):$B1362,-20%)),XIRR(INDIRECT(C1365):C1362,INDIRECT($B1365):$B1362,20%),"N/A")</f>
        <v>N/A</v>
      </c>
      <c r="D1363" s="882" t="str">
        <f ca="1">IF(ISERROR(XIRR(INDIRECT(D1365):D1362,INDIRECT($B1365):$B1362,-20%)),XIRR(INDIRECT(D1365):D1362,INDIRECT($B1365):$B1362,20%),"N/A")</f>
        <v>N/A</v>
      </c>
      <c r="E1363" s="882" t="str">
        <f ca="1">IF(ISERROR(XIRR(INDIRECT(E1365):E1362,INDIRECT($B1365):$B1362,-20%)),XIRR(INDIRECT(E1365):E1362,INDIRECT($B1365):$B1362,20%),"N/A")</f>
        <v>N/A</v>
      </c>
      <c r="F1363" s="882">
        <f ca="1">IF(ISERROR(XIRR(INDIRECT(F1365):F1362,INDIRECT($B1365):$B1362,-20%)),XIRR(INDIRECT(F1365):F1362,INDIRECT($B1365):$B1362,20%),"N/A")</f>
        <v>2.9530248045921331E-2</v>
      </c>
      <c r="G1363" s="882">
        <f ca="1">IF(ISERROR(XIRR(INDIRECT(G1365):G1362,INDIRECT($B1365):$B1362,-20%)),XIRR(INDIRECT(G1365):G1362,INDIRECT($B1365):$B1362,20%),"N/A")</f>
        <v>8.2110747694969177E-2</v>
      </c>
      <c r="H1363" s="882">
        <f ca="1">IF(ISERROR(XIRR(INDIRECT(H1365):H1362,INDIRECT($B1365):$B1362,-20%)),XIRR(INDIRECT(H1365):H1362,INDIRECT($B1365):$B1362,20%),"N/A")</f>
        <v>0.12865657210350037</v>
      </c>
      <c r="I1363" s="882">
        <f ca="1">IF(ISERROR(XIRR(INDIRECT(I1365):I1362,INDIRECT($B1365):$B1362,-20%)),XIRR(INDIRECT(I1365):I1362,INDIRECT($B1365):$B1362,20%),"N/A")</f>
        <v>0.17059164643287658</v>
      </c>
      <c r="J1363" s="882">
        <f ca="1">IF(ISERROR(XIRR(INDIRECT(J1365):J1362,INDIRECT($B1365):$B1362,-20%)),XIRR(INDIRECT(J1365):J1362,INDIRECT($B1365):$B1362,20%),"N/A")</f>
        <v>0.20887243151664736</v>
      </c>
      <c r="K1363" s="882">
        <f ca="1">IF(ISERROR(XIRR(INDIRECT(K1365):K1362,INDIRECT($B1365):$B1362,-20%)),XIRR(INDIRECT(K1365):K1362,INDIRECT($B1365):$B1362,20%),"N/A")</f>
        <v>0.24417533278465273</v>
      </c>
      <c r="L1363" s="882">
        <f ca="1">IF(ISERROR(XIRR(INDIRECT(L1365):L1362,INDIRECT($B1365):$B1362,-20%)),XIRR(INDIRECT(L1365):L1362,INDIRECT($B1365):$B1362,20%),"N/A")</f>
        <v>0.27699800133705144</v>
      </c>
      <c r="U1363" s="663"/>
      <c r="Z1363" s="663"/>
      <c r="AA1363" s="663"/>
      <c r="AB1363" s="663"/>
      <c r="AC1363" s="663"/>
      <c r="AD1363" s="663"/>
      <c r="AE1363" s="663"/>
      <c r="AF1363" s="663"/>
      <c r="AG1363" s="663"/>
      <c r="AH1363" s="663"/>
      <c r="AI1363" s="663"/>
      <c r="AJ1363" s="663"/>
      <c r="AK1363" s="663"/>
      <c r="AL1363" s="663"/>
      <c r="AM1363" s="663"/>
      <c r="AN1363" s="663"/>
    </row>
    <row r="1364" spans="2:40" ht="14.45" hidden="1" customHeight="1" x14ac:dyDescent="0.25">
      <c r="B1364" s="898">
        <f>IF(C1352&lt;&gt;0,ROW(C1352),IF(C1353&lt;&gt;0,ROW(C1353),IF(C1354&lt;&gt;0,ROW(C1354),IF(C1355&lt;&gt;0,ROW(C1355),IF(C1356&lt;&gt;0,ROW(C1356),IF(C1357&lt;&gt;0,ROW(C1357),IF(C1358&lt;&gt;0,ROW(C1358),IF(C1359&lt;&gt;0,ROW(C1359),IF(C1360&lt;&gt;0,ROW(C1360),IF(C1361&lt;&gt;0,ROW(C1361)))))))))))</f>
        <v>1354</v>
      </c>
      <c r="C1364" s="882"/>
      <c r="U1364" s="663"/>
      <c r="Z1364" s="663"/>
      <c r="AA1364" s="663"/>
      <c r="AB1364" s="663"/>
      <c r="AC1364" s="663"/>
      <c r="AD1364" s="663"/>
      <c r="AE1364" s="663"/>
      <c r="AF1364" s="663"/>
      <c r="AG1364" s="663"/>
      <c r="AH1364" s="663"/>
      <c r="AI1364" s="663"/>
      <c r="AJ1364" s="663"/>
      <c r="AK1364" s="663"/>
      <c r="AL1364" s="663"/>
      <c r="AM1364" s="663"/>
      <c r="AN1364" s="663"/>
    </row>
    <row r="1365" spans="2:40" ht="14.45" hidden="1" customHeight="1" x14ac:dyDescent="0.25">
      <c r="B1365" s="899" t="str">
        <f>CONCATENATE(IF(COLUMN(B1364)&lt;=26,CHAR(96+COLUMN(B1364)),(CHAR(96+(ROUNDDOWN((COLUMN(B1364)-1)/26,0)))&amp;CHAR(96+IF(MOD(COLUMN(B1364),26)=0,26,MOD(COLUMN(B1364),26))))),B1364)</f>
        <v>b1354</v>
      </c>
      <c r="C1365" s="899" t="str">
        <f>CONCATENATE(IF(COLUMN(C1363)&lt;=26,CHAR(96+COLUMN(C1363)),(CHAR(96+(ROUNDDOWN((COLUMN(C1363)-1)/26,0)))&amp;CHAR(96+IF(MOD(COLUMN(C1363),26)=0,26,MOD(COLUMN(C1363),26))))),$B1364)</f>
        <v>c1354</v>
      </c>
      <c r="D1365" s="899" t="str">
        <f t="shared" ref="D1365" si="2985">CONCATENATE(IF(COLUMN(D1363)&lt;=26,CHAR(96+COLUMN(D1363)),(CHAR(96+(ROUNDDOWN((COLUMN(D1363)-1)/26,0)))&amp;CHAR(96+IF(MOD(COLUMN(D1363),26)=0,26,MOD(COLUMN(D1363),26))))),$B1364)</f>
        <v>d1354</v>
      </c>
      <c r="E1365" s="899" t="str">
        <f t="shared" ref="E1365" si="2986">CONCATENATE(IF(COLUMN(E1363)&lt;=26,CHAR(96+COLUMN(E1363)),(CHAR(96+(ROUNDDOWN((COLUMN(E1363)-1)/26,0)))&amp;CHAR(96+IF(MOD(COLUMN(E1363),26)=0,26,MOD(COLUMN(E1363),26))))),$B1364)</f>
        <v>e1354</v>
      </c>
      <c r="F1365" s="899" t="str">
        <f t="shared" ref="F1365" si="2987">CONCATENATE(IF(COLUMN(F1363)&lt;=26,CHAR(96+COLUMN(F1363)),(CHAR(96+(ROUNDDOWN((COLUMN(F1363)-1)/26,0)))&amp;CHAR(96+IF(MOD(COLUMN(F1363),26)=0,26,MOD(COLUMN(F1363),26))))),$B1364)</f>
        <v>f1354</v>
      </c>
      <c r="G1365" s="899" t="str">
        <f t="shared" ref="G1365" si="2988">CONCATENATE(IF(COLUMN(G1363)&lt;=26,CHAR(96+COLUMN(G1363)),(CHAR(96+(ROUNDDOWN((COLUMN(G1363)-1)/26,0)))&amp;CHAR(96+IF(MOD(COLUMN(G1363),26)=0,26,MOD(COLUMN(G1363),26))))),$B1364)</f>
        <v>g1354</v>
      </c>
      <c r="H1365" s="899" t="str">
        <f t="shared" ref="H1365" si="2989">CONCATENATE(IF(COLUMN(H1363)&lt;=26,CHAR(96+COLUMN(H1363)),(CHAR(96+(ROUNDDOWN((COLUMN(H1363)-1)/26,0)))&amp;CHAR(96+IF(MOD(COLUMN(H1363),26)=0,26,MOD(COLUMN(H1363),26))))),$B1364)</f>
        <v>h1354</v>
      </c>
      <c r="I1365" s="899" t="str">
        <f t="shared" ref="I1365" si="2990">CONCATENATE(IF(COLUMN(I1363)&lt;=26,CHAR(96+COLUMN(I1363)),(CHAR(96+(ROUNDDOWN((COLUMN(I1363)-1)/26,0)))&amp;CHAR(96+IF(MOD(COLUMN(I1363),26)=0,26,MOD(COLUMN(I1363),26))))),$B1364)</f>
        <v>i1354</v>
      </c>
      <c r="J1365" s="899" t="str">
        <f t="shared" ref="J1365" si="2991">CONCATENATE(IF(COLUMN(J1363)&lt;=26,CHAR(96+COLUMN(J1363)),(CHAR(96+(ROUNDDOWN((COLUMN(J1363)-1)/26,0)))&amp;CHAR(96+IF(MOD(COLUMN(J1363),26)=0,26,MOD(COLUMN(J1363),26))))),$B1364)</f>
        <v>j1354</v>
      </c>
      <c r="K1365" s="899" t="str">
        <f t="shared" ref="K1365" si="2992">CONCATENATE(IF(COLUMN(K1363)&lt;=26,CHAR(96+COLUMN(K1363)),(CHAR(96+(ROUNDDOWN((COLUMN(K1363)-1)/26,0)))&amp;CHAR(96+IF(MOD(COLUMN(K1363),26)=0,26,MOD(COLUMN(K1363),26))))),$B1364)</f>
        <v>k1354</v>
      </c>
      <c r="L1365" s="899" t="str">
        <f t="shared" ref="L1365" si="2993">CONCATENATE(IF(COLUMN(L1363)&lt;=26,CHAR(96+COLUMN(L1363)),(CHAR(96+(ROUNDDOWN((COLUMN(L1363)-1)/26,0)))&amp;CHAR(96+IF(MOD(COLUMN(L1363),26)=0,26,MOD(COLUMN(L1363),26))))),$B1364)</f>
        <v>l1354</v>
      </c>
      <c r="U1365" s="663"/>
      <c r="Z1365" s="663"/>
      <c r="AA1365" s="663"/>
      <c r="AB1365" s="663"/>
      <c r="AC1365" s="663"/>
      <c r="AD1365" s="663"/>
      <c r="AE1365" s="663"/>
      <c r="AF1365" s="663"/>
      <c r="AG1365" s="663"/>
      <c r="AH1365" s="663"/>
      <c r="AI1365" s="663"/>
      <c r="AJ1365" s="663"/>
      <c r="AK1365" s="663"/>
      <c r="AL1365" s="663"/>
      <c r="AM1365" s="663"/>
      <c r="AN1365" s="663"/>
    </row>
    <row r="1366" spans="2:40" ht="14.45" hidden="1" customHeight="1" x14ac:dyDescent="0.25">
      <c r="B1366" s="661"/>
      <c r="C1366" s="662"/>
      <c r="U1366" s="663"/>
      <c r="Z1366" s="663"/>
      <c r="AA1366" s="663"/>
      <c r="AB1366" s="663"/>
      <c r="AC1366" s="663"/>
      <c r="AD1366" s="663"/>
      <c r="AE1366" s="663"/>
      <c r="AF1366" s="663"/>
      <c r="AG1366" s="663"/>
      <c r="AH1366" s="663"/>
      <c r="AI1366" s="663"/>
      <c r="AJ1366" s="663"/>
      <c r="AK1366" s="663"/>
      <c r="AL1366" s="663"/>
      <c r="AM1366" s="663"/>
      <c r="AN1366" s="663"/>
    </row>
    <row r="1367" spans="2:40" ht="14.45" hidden="1" customHeight="1" x14ac:dyDescent="0.25">
      <c r="B1367" s="661"/>
      <c r="C1367" s="662"/>
      <c r="U1367" s="663"/>
      <c r="Z1367" s="663"/>
      <c r="AA1367" s="663"/>
      <c r="AB1367" s="663"/>
      <c r="AC1367" s="663"/>
      <c r="AD1367" s="663"/>
      <c r="AE1367" s="663"/>
      <c r="AF1367" s="663"/>
      <c r="AG1367" s="663"/>
      <c r="AH1367" s="663"/>
      <c r="AI1367" s="663"/>
      <c r="AJ1367" s="663"/>
      <c r="AK1367" s="663"/>
      <c r="AL1367" s="663"/>
      <c r="AM1367" s="663"/>
      <c r="AN1367" s="663"/>
    </row>
    <row r="1368" spans="2:40" ht="14.45" hidden="1" customHeight="1" x14ac:dyDescent="0.25">
      <c r="B1368" s="936">
        <f>B1352</f>
        <v>39113</v>
      </c>
      <c r="C1368" s="662">
        <f>C1352</f>
        <v>0</v>
      </c>
      <c r="D1368" s="662">
        <f t="shared" ref="D1368:L1368" si="2994">D1352</f>
        <v>0</v>
      </c>
      <c r="E1368" s="662">
        <f t="shared" si="2994"/>
        <v>0</v>
      </c>
      <c r="F1368" s="662">
        <f t="shared" si="2994"/>
        <v>0</v>
      </c>
      <c r="G1368" s="662">
        <f t="shared" si="2994"/>
        <v>0</v>
      </c>
      <c r="H1368" s="662">
        <f t="shared" si="2994"/>
        <v>0</v>
      </c>
      <c r="I1368" s="662">
        <f t="shared" si="2994"/>
        <v>0</v>
      </c>
      <c r="J1368" s="662">
        <f t="shared" si="2994"/>
        <v>0</v>
      </c>
      <c r="K1368" s="662">
        <f t="shared" si="2994"/>
        <v>0</v>
      </c>
      <c r="L1368" s="662">
        <f t="shared" si="2994"/>
        <v>0</v>
      </c>
      <c r="U1368" s="663"/>
      <c r="Z1368" s="663"/>
      <c r="AA1368" s="663"/>
      <c r="AB1368" s="663"/>
      <c r="AC1368" s="663"/>
      <c r="AD1368" s="663"/>
      <c r="AE1368" s="663"/>
      <c r="AF1368" s="663"/>
      <c r="AG1368" s="663"/>
      <c r="AH1368" s="663"/>
      <c r="AI1368" s="663"/>
      <c r="AJ1368" s="663"/>
      <c r="AK1368" s="663"/>
      <c r="AL1368" s="663"/>
      <c r="AM1368" s="663"/>
      <c r="AN1368" s="663"/>
    </row>
    <row r="1369" spans="2:40" ht="14.45" hidden="1" customHeight="1" x14ac:dyDescent="0.25">
      <c r="B1369" s="936">
        <f t="shared" ref="B1369:L1369" si="2995">B1353</f>
        <v>39478</v>
      </c>
      <c r="C1369" s="662">
        <f t="shared" si="2995"/>
        <v>0</v>
      </c>
      <c r="D1369" s="662">
        <f t="shared" si="2995"/>
        <v>0</v>
      </c>
      <c r="E1369" s="662">
        <f t="shared" si="2995"/>
        <v>0</v>
      </c>
      <c r="F1369" s="662">
        <f t="shared" si="2995"/>
        <v>0</v>
      </c>
      <c r="G1369" s="662">
        <f t="shared" si="2995"/>
        <v>0</v>
      </c>
      <c r="H1369" s="662">
        <f t="shared" si="2995"/>
        <v>0</v>
      </c>
      <c r="I1369" s="662">
        <f t="shared" si="2995"/>
        <v>0</v>
      </c>
      <c r="J1369" s="662">
        <f t="shared" si="2995"/>
        <v>0</v>
      </c>
      <c r="K1369" s="662">
        <f t="shared" si="2995"/>
        <v>0</v>
      </c>
      <c r="L1369" s="662">
        <f t="shared" si="2995"/>
        <v>0</v>
      </c>
      <c r="U1369" s="663"/>
      <c r="Z1369" s="663"/>
      <c r="AA1369" s="663"/>
      <c r="AB1369" s="663"/>
      <c r="AC1369" s="663"/>
      <c r="AD1369" s="663"/>
      <c r="AE1369" s="663"/>
      <c r="AF1369" s="663"/>
      <c r="AG1369" s="663"/>
      <c r="AH1369" s="663"/>
      <c r="AI1369" s="663"/>
      <c r="AJ1369" s="663"/>
      <c r="AK1369" s="663"/>
      <c r="AL1369" s="663"/>
      <c r="AM1369" s="663"/>
      <c r="AN1369" s="663"/>
    </row>
    <row r="1370" spans="2:40" ht="14.45" hidden="1" customHeight="1" x14ac:dyDescent="0.25">
      <c r="B1370" s="936">
        <f t="shared" ref="B1370:L1370" si="2996">B1354</f>
        <v>39843</v>
      </c>
      <c r="C1370" s="662">
        <f t="shared" si="2996"/>
        <v>-2500000</v>
      </c>
      <c r="D1370" s="662">
        <f t="shared" si="2996"/>
        <v>-2500000</v>
      </c>
      <c r="E1370" s="662">
        <f t="shared" si="2996"/>
        <v>-2500000</v>
      </c>
      <c r="F1370" s="662">
        <f t="shared" si="2996"/>
        <v>-2500000</v>
      </c>
      <c r="G1370" s="662">
        <f t="shared" si="2996"/>
        <v>-2500000</v>
      </c>
      <c r="H1370" s="662">
        <f t="shared" si="2996"/>
        <v>-2500000</v>
      </c>
      <c r="I1370" s="662">
        <f t="shared" si="2996"/>
        <v>-2500000</v>
      </c>
      <c r="J1370" s="662">
        <f t="shared" si="2996"/>
        <v>-2500000</v>
      </c>
      <c r="K1370" s="662">
        <f t="shared" si="2996"/>
        <v>-2500000</v>
      </c>
      <c r="L1370" s="662">
        <f t="shared" si="2996"/>
        <v>-2500000</v>
      </c>
      <c r="U1370" s="663"/>
      <c r="Z1370" s="663"/>
      <c r="AA1370" s="663"/>
      <c r="AB1370" s="663"/>
      <c r="AC1370" s="663"/>
      <c r="AD1370" s="663"/>
      <c r="AE1370" s="663"/>
      <c r="AF1370" s="663"/>
      <c r="AG1370" s="663"/>
      <c r="AH1370" s="663"/>
      <c r="AI1370" s="663"/>
      <c r="AJ1370" s="663"/>
      <c r="AK1370" s="663"/>
      <c r="AL1370" s="663"/>
      <c r="AM1370" s="663"/>
      <c r="AN1370" s="663"/>
    </row>
    <row r="1371" spans="2:40" ht="14.45" hidden="1" customHeight="1" x14ac:dyDescent="0.25">
      <c r="B1371" s="936">
        <f t="shared" ref="B1371:L1371" si="2997">B1355</f>
        <v>39843</v>
      </c>
      <c r="C1371" s="662">
        <f t="shared" si="2997"/>
        <v>-6666666.666666667</v>
      </c>
      <c r="D1371" s="662">
        <f t="shared" si="2997"/>
        <v>-6666666.666666667</v>
      </c>
      <c r="E1371" s="662">
        <f t="shared" si="2997"/>
        <v>-6666666.666666667</v>
      </c>
      <c r="F1371" s="662">
        <f t="shared" si="2997"/>
        <v>-6666666.666666667</v>
      </c>
      <c r="G1371" s="662">
        <f t="shared" si="2997"/>
        <v>-6666666.666666667</v>
      </c>
      <c r="H1371" s="662">
        <f t="shared" si="2997"/>
        <v>-6666666.666666667</v>
      </c>
      <c r="I1371" s="662">
        <f t="shared" si="2997"/>
        <v>-6666666.666666667</v>
      </c>
      <c r="J1371" s="662">
        <f t="shared" si="2997"/>
        <v>-6666666.666666667</v>
      </c>
      <c r="K1371" s="662">
        <f t="shared" si="2997"/>
        <v>-6666666.666666667</v>
      </c>
      <c r="L1371" s="662">
        <f t="shared" si="2997"/>
        <v>-6666666.666666667</v>
      </c>
      <c r="U1371" s="663"/>
      <c r="Z1371" s="663"/>
      <c r="AA1371" s="663"/>
      <c r="AB1371" s="663"/>
      <c r="AC1371" s="663"/>
      <c r="AD1371" s="663"/>
      <c r="AE1371" s="663"/>
      <c r="AF1371" s="663"/>
      <c r="AG1371" s="663"/>
      <c r="AH1371" s="663"/>
      <c r="AI1371" s="663"/>
      <c r="AJ1371" s="663"/>
      <c r="AK1371" s="663"/>
      <c r="AL1371" s="663"/>
      <c r="AM1371" s="663"/>
      <c r="AN1371" s="663"/>
    </row>
    <row r="1372" spans="2:40" ht="14.45" hidden="1" customHeight="1" x14ac:dyDescent="0.25">
      <c r="B1372" s="936">
        <f t="shared" ref="B1372:L1372" si="2998">B1356</f>
        <v>39843</v>
      </c>
      <c r="C1372" s="662">
        <f t="shared" si="2998"/>
        <v>0</v>
      </c>
      <c r="D1372" s="662">
        <f t="shared" si="2998"/>
        <v>0</v>
      </c>
      <c r="E1372" s="662">
        <f t="shared" si="2998"/>
        <v>0</v>
      </c>
      <c r="F1372" s="662">
        <f t="shared" si="2998"/>
        <v>0</v>
      </c>
      <c r="G1372" s="662">
        <f t="shared" si="2998"/>
        <v>0</v>
      </c>
      <c r="H1372" s="662">
        <f t="shared" si="2998"/>
        <v>0</v>
      </c>
      <c r="I1372" s="662">
        <f t="shared" si="2998"/>
        <v>0</v>
      </c>
      <c r="J1372" s="662">
        <f t="shared" si="2998"/>
        <v>0</v>
      </c>
      <c r="K1372" s="662">
        <f t="shared" si="2998"/>
        <v>0</v>
      </c>
      <c r="L1372" s="662">
        <f t="shared" si="2998"/>
        <v>0</v>
      </c>
      <c r="U1372" s="663"/>
      <c r="Z1372" s="663"/>
      <c r="AA1372" s="663"/>
      <c r="AB1372" s="663"/>
      <c r="AC1372" s="663"/>
      <c r="AD1372" s="663"/>
      <c r="AE1372" s="663"/>
      <c r="AF1372" s="663"/>
      <c r="AG1372" s="663"/>
      <c r="AH1372" s="663"/>
      <c r="AI1372" s="663"/>
      <c r="AJ1372" s="663"/>
      <c r="AK1372" s="663"/>
      <c r="AL1372" s="663"/>
      <c r="AM1372" s="663"/>
      <c r="AN1372" s="663"/>
    </row>
    <row r="1373" spans="2:40" ht="14.45" hidden="1" customHeight="1" x14ac:dyDescent="0.25">
      <c r="B1373" s="936">
        <f t="shared" ref="B1373:L1373" si="2999">B1357</f>
        <v>39843</v>
      </c>
      <c r="C1373" s="662">
        <f t="shared" si="2999"/>
        <v>0</v>
      </c>
      <c r="D1373" s="662">
        <f t="shared" si="2999"/>
        <v>0</v>
      </c>
      <c r="E1373" s="662">
        <f t="shared" si="2999"/>
        <v>0</v>
      </c>
      <c r="F1373" s="662">
        <f t="shared" si="2999"/>
        <v>0</v>
      </c>
      <c r="G1373" s="662">
        <f t="shared" si="2999"/>
        <v>0</v>
      </c>
      <c r="H1373" s="662">
        <f t="shared" si="2999"/>
        <v>0</v>
      </c>
      <c r="I1373" s="662">
        <f t="shared" si="2999"/>
        <v>0</v>
      </c>
      <c r="J1373" s="662">
        <f t="shared" si="2999"/>
        <v>0</v>
      </c>
      <c r="K1373" s="662">
        <f t="shared" si="2999"/>
        <v>0</v>
      </c>
      <c r="L1373" s="662">
        <f t="shared" si="2999"/>
        <v>0</v>
      </c>
      <c r="U1373" s="663"/>
      <c r="Z1373" s="663"/>
      <c r="AA1373" s="663"/>
      <c r="AB1373" s="663"/>
      <c r="AC1373" s="663"/>
      <c r="AD1373" s="663"/>
      <c r="AE1373" s="663"/>
      <c r="AF1373" s="663"/>
      <c r="AG1373" s="663"/>
      <c r="AH1373" s="663"/>
      <c r="AI1373" s="663"/>
      <c r="AJ1373" s="663"/>
      <c r="AK1373" s="663"/>
      <c r="AL1373" s="663"/>
      <c r="AM1373" s="663"/>
      <c r="AN1373" s="663"/>
    </row>
    <row r="1374" spans="2:40" ht="14.45" hidden="1" customHeight="1" x14ac:dyDescent="0.25">
      <c r="B1374" s="936">
        <f t="shared" ref="B1374:L1374" si="3000">B1358</f>
        <v>39843</v>
      </c>
      <c r="C1374" s="662">
        <f t="shared" si="3000"/>
        <v>0</v>
      </c>
      <c r="D1374" s="662">
        <f t="shared" si="3000"/>
        <v>0</v>
      </c>
      <c r="E1374" s="662">
        <f t="shared" si="3000"/>
        <v>0</v>
      </c>
      <c r="F1374" s="662">
        <f t="shared" si="3000"/>
        <v>0</v>
      </c>
      <c r="G1374" s="662">
        <f t="shared" si="3000"/>
        <v>0</v>
      </c>
      <c r="H1374" s="662">
        <f t="shared" si="3000"/>
        <v>0</v>
      </c>
      <c r="I1374" s="662">
        <f t="shared" si="3000"/>
        <v>0</v>
      </c>
      <c r="J1374" s="662">
        <f t="shared" si="3000"/>
        <v>0</v>
      </c>
      <c r="K1374" s="662">
        <f t="shared" si="3000"/>
        <v>0</v>
      </c>
      <c r="L1374" s="662">
        <f t="shared" si="3000"/>
        <v>0</v>
      </c>
      <c r="U1374" s="663"/>
      <c r="Z1374" s="663"/>
      <c r="AA1374" s="663"/>
      <c r="AB1374" s="663"/>
      <c r="AC1374" s="663"/>
      <c r="AD1374" s="663"/>
      <c r="AE1374" s="663"/>
      <c r="AF1374" s="663"/>
      <c r="AG1374" s="663"/>
      <c r="AH1374" s="663"/>
      <c r="AI1374" s="663"/>
      <c r="AJ1374" s="663"/>
      <c r="AK1374" s="663"/>
      <c r="AL1374" s="663"/>
      <c r="AM1374" s="663"/>
      <c r="AN1374" s="663"/>
    </row>
    <row r="1375" spans="2:40" ht="14.45" hidden="1" customHeight="1" x14ac:dyDescent="0.25">
      <c r="B1375" s="936">
        <f t="shared" ref="B1375:L1375" si="3001">B1359</f>
        <v>39843</v>
      </c>
      <c r="C1375" s="662">
        <f t="shared" si="3001"/>
        <v>0</v>
      </c>
      <c r="D1375" s="662">
        <f t="shared" si="3001"/>
        <v>0</v>
      </c>
      <c r="E1375" s="662">
        <f t="shared" si="3001"/>
        <v>0</v>
      </c>
      <c r="F1375" s="662">
        <f t="shared" si="3001"/>
        <v>0</v>
      </c>
      <c r="G1375" s="662">
        <f t="shared" si="3001"/>
        <v>0</v>
      </c>
      <c r="H1375" s="662">
        <f t="shared" si="3001"/>
        <v>0</v>
      </c>
      <c r="I1375" s="662">
        <f t="shared" si="3001"/>
        <v>0</v>
      </c>
      <c r="J1375" s="662">
        <f t="shared" si="3001"/>
        <v>0</v>
      </c>
      <c r="K1375" s="662">
        <f t="shared" si="3001"/>
        <v>0</v>
      </c>
      <c r="L1375" s="662">
        <f t="shared" si="3001"/>
        <v>0</v>
      </c>
      <c r="U1375" s="663"/>
      <c r="Z1375" s="663"/>
      <c r="AA1375" s="663"/>
      <c r="AB1375" s="663"/>
      <c r="AC1375" s="663"/>
      <c r="AD1375" s="663"/>
      <c r="AE1375" s="663"/>
      <c r="AF1375" s="663"/>
      <c r="AG1375" s="663"/>
      <c r="AH1375" s="663"/>
      <c r="AI1375" s="663"/>
      <c r="AJ1375" s="663"/>
      <c r="AK1375" s="663"/>
      <c r="AL1375" s="663"/>
      <c r="AM1375" s="663"/>
      <c r="AN1375" s="663"/>
    </row>
    <row r="1376" spans="2:40" ht="14.45" hidden="1" customHeight="1" x14ac:dyDescent="0.25">
      <c r="B1376" s="936">
        <f t="shared" ref="B1376:L1376" si="3002">B1360</f>
        <v>39843</v>
      </c>
      <c r="C1376" s="662">
        <f t="shared" si="3002"/>
        <v>0</v>
      </c>
      <c r="D1376" s="662">
        <f t="shared" si="3002"/>
        <v>0</v>
      </c>
      <c r="E1376" s="662">
        <f t="shared" si="3002"/>
        <v>0</v>
      </c>
      <c r="F1376" s="662">
        <f t="shared" si="3002"/>
        <v>0</v>
      </c>
      <c r="G1376" s="662">
        <f t="shared" si="3002"/>
        <v>0</v>
      </c>
      <c r="H1376" s="662">
        <f t="shared" si="3002"/>
        <v>0</v>
      </c>
      <c r="I1376" s="662">
        <f t="shared" si="3002"/>
        <v>0</v>
      </c>
      <c r="J1376" s="662">
        <f t="shared" si="3002"/>
        <v>0</v>
      </c>
      <c r="K1376" s="662">
        <f t="shared" si="3002"/>
        <v>0</v>
      </c>
      <c r="L1376" s="662">
        <f t="shared" si="3002"/>
        <v>0</v>
      </c>
      <c r="U1376" s="663"/>
      <c r="Z1376" s="663"/>
      <c r="AA1376" s="663"/>
      <c r="AB1376" s="663"/>
      <c r="AC1376" s="663"/>
      <c r="AD1376" s="663"/>
      <c r="AE1376" s="663"/>
      <c r="AF1376" s="663"/>
      <c r="AG1376" s="663"/>
      <c r="AH1376" s="663"/>
      <c r="AI1376" s="663"/>
      <c r="AJ1376" s="663"/>
      <c r="AK1376" s="663"/>
      <c r="AL1376" s="663"/>
      <c r="AM1376" s="663"/>
      <c r="AN1376" s="663"/>
    </row>
    <row r="1377" spans="2:40" ht="14.45" hidden="1" customHeight="1" x14ac:dyDescent="0.25">
      <c r="B1377" s="936">
        <f t="shared" ref="B1377:L1377" si="3003">B1361</f>
        <v>39843</v>
      </c>
      <c r="C1377" s="662">
        <f t="shared" si="3003"/>
        <v>0</v>
      </c>
      <c r="D1377" s="662">
        <f t="shared" si="3003"/>
        <v>0</v>
      </c>
      <c r="E1377" s="662">
        <f t="shared" si="3003"/>
        <v>0</v>
      </c>
      <c r="F1377" s="662">
        <f t="shared" si="3003"/>
        <v>0</v>
      </c>
      <c r="G1377" s="662">
        <f t="shared" si="3003"/>
        <v>0</v>
      </c>
      <c r="H1377" s="662">
        <f t="shared" si="3003"/>
        <v>0</v>
      </c>
      <c r="I1377" s="662">
        <f t="shared" si="3003"/>
        <v>0</v>
      </c>
      <c r="J1377" s="662">
        <f t="shared" si="3003"/>
        <v>0</v>
      </c>
      <c r="K1377" s="662">
        <f t="shared" si="3003"/>
        <v>0</v>
      </c>
      <c r="L1377" s="662">
        <f t="shared" si="3003"/>
        <v>0</v>
      </c>
      <c r="U1377" s="663"/>
      <c r="Z1377" s="663"/>
      <c r="AA1377" s="663"/>
      <c r="AB1377" s="663"/>
      <c r="AC1377" s="663"/>
      <c r="AD1377" s="663"/>
      <c r="AE1377" s="663"/>
      <c r="AF1377" s="663"/>
      <c r="AG1377" s="663"/>
      <c r="AH1377" s="663"/>
      <c r="AI1377" s="663"/>
      <c r="AJ1377" s="663"/>
      <c r="AK1377" s="663"/>
      <c r="AL1377" s="663"/>
      <c r="AM1377" s="663"/>
      <c r="AN1377" s="663"/>
    </row>
    <row r="1378" spans="2:40" ht="14.45" hidden="1" customHeight="1" x14ac:dyDescent="0.25">
      <c r="B1378" s="936">
        <f>B1312</f>
        <v>41359</v>
      </c>
      <c r="C1378" s="662">
        <f t="shared" ref="C1378:L1378" si="3004">C1362</f>
        <v>4078815.2610441777</v>
      </c>
      <c r="D1378" s="662">
        <f t="shared" si="3004"/>
        <v>6118222.8915662663</v>
      </c>
      <c r="E1378" s="662">
        <f t="shared" si="3004"/>
        <v>8157630.5220883554</v>
      </c>
      <c r="F1378" s="662">
        <f t="shared" si="3004"/>
        <v>10197038.152610444</v>
      </c>
      <c r="G1378" s="662">
        <f t="shared" si="3004"/>
        <v>12236445.783132533</v>
      </c>
      <c r="H1378" s="662">
        <f t="shared" si="3004"/>
        <v>14275853.413654622</v>
      </c>
      <c r="I1378" s="662">
        <f t="shared" si="3004"/>
        <v>16315261.044176711</v>
      </c>
      <c r="J1378" s="662">
        <f t="shared" si="3004"/>
        <v>18354668.6746988</v>
      </c>
      <c r="K1378" s="662">
        <f t="shared" si="3004"/>
        <v>20394076.305220887</v>
      </c>
      <c r="L1378" s="662">
        <f t="shared" si="3004"/>
        <v>22433483.935742974</v>
      </c>
      <c r="U1378" s="663"/>
      <c r="Z1378" s="663"/>
      <c r="AA1378" s="663"/>
      <c r="AB1378" s="663"/>
      <c r="AC1378" s="663"/>
      <c r="AD1378" s="663"/>
      <c r="AE1378" s="663"/>
      <c r="AF1378" s="663"/>
      <c r="AG1378" s="663"/>
      <c r="AH1378" s="663"/>
      <c r="AI1378" s="663"/>
      <c r="AJ1378" s="663"/>
      <c r="AK1378" s="663"/>
      <c r="AL1378" s="663"/>
      <c r="AM1378" s="663"/>
      <c r="AN1378" s="663"/>
    </row>
    <row r="1379" spans="2:40" ht="14.45" hidden="1" customHeight="1" x14ac:dyDescent="0.25">
      <c r="C1379" s="882" t="str">
        <f ca="1">IF(ISERROR(XIRR(INDIRECT(C1381):C1378,INDIRECT($B1381):$B1378,-20%)),XIRR(INDIRECT(C1381):C1378,INDIRECT($B1381):$B1378,20%),"N/A")</f>
        <v>N/A</v>
      </c>
      <c r="D1379" s="882" t="str">
        <f ca="1">IF(ISERROR(XIRR(INDIRECT(D1381):D1378,INDIRECT($B1381):$B1378,-20%)),XIRR(INDIRECT(D1381):D1378,INDIRECT($B1381):$B1378,20%),"N/A")</f>
        <v>N/A</v>
      </c>
      <c r="E1379" s="882" t="str">
        <f ca="1">IF(ISERROR(XIRR(INDIRECT(E1381):E1378,INDIRECT($B1381):$B1378,-20%)),XIRR(INDIRECT(E1381):E1378,INDIRECT($B1381):$B1378,20%),"N/A")</f>
        <v>N/A</v>
      </c>
      <c r="F1379" s="882">
        <f ca="1">IF(ISERROR(XIRR(INDIRECT(F1381):F1378,INDIRECT($B1381):$B1378,-20%)),XIRR(INDIRECT(F1381):F1378,INDIRECT($B1381):$B1378,20%),"N/A")</f>
        <v>2.597889006137848E-2</v>
      </c>
      <c r="G1379" s="882">
        <f ca="1">IF(ISERROR(XIRR(INDIRECT(G1381):G1378,INDIRECT($B1381):$B1378,-20%)),XIRR(INDIRECT(G1381):G1378,INDIRECT($B1381):$B1378,20%),"N/A")</f>
        <v>7.2019067406654383E-2</v>
      </c>
      <c r="H1379" s="882">
        <f ca="1">IF(ISERROR(XIRR(INDIRECT(H1381):H1378,INDIRECT($B1381):$B1378,-20%)),XIRR(INDIRECT(H1381):H1378,INDIRECT($B1381):$B1378,20%),"N/A")</f>
        <v>0.11255366206169126</v>
      </c>
      <c r="I1379" s="882">
        <f ca="1">IF(ISERROR(XIRR(INDIRECT(I1381):I1378,INDIRECT($B1381):$B1378,-20%)),XIRR(INDIRECT(I1381):I1378,INDIRECT($B1381):$B1378,20%),"N/A")</f>
        <v>0.14890311360359193</v>
      </c>
      <c r="J1379" s="882">
        <f ca="1">IF(ISERROR(XIRR(INDIRECT(J1381):J1378,INDIRECT($B1381):$B1378,-20%)),XIRR(INDIRECT(J1381):J1378,INDIRECT($B1381):$B1378,20%),"N/A")</f>
        <v>0.18195013403892521</v>
      </c>
      <c r="K1379" s="882">
        <f ca="1">IF(ISERROR(XIRR(INDIRECT(K1381):K1378,INDIRECT($B1381):$B1378,-20%)),XIRR(INDIRECT(K1381):K1378,INDIRECT($B1381):$B1378,20%),"N/A")</f>
        <v>0.21231635212898259</v>
      </c>
      <c r="L1379" s="882">
        <f ca="1">IF(ISERROR(XIRR(INDIRECT(L1381):L1378,INDIRECT($B1381):$B1378,-20%)),XIRR(INDIRECT(L1381):L1378,INDIRECT($B1381):$B1378,20%),"N/A")</f>
        <v>0.24045746922492978</v>
      </c>
      <c r="U1379" s="663"/>
      <c r="Z1379" s="663"/>
      <c r="AA1379" s="663"/>
      <c r="AB1379" s="663"/>
      <c r="AC1379" s="663"/>
      <c r="AD1379" s="663"/>
      <c r="AE1379" s="663"/>
      <c r="AF1379" s="663"/>
      <c r="AG1379" s="663"/>
      <c r="AH1379" s="663"/>
      <c r="AI1379" s="663"/>
      <c r="AJ1379" s="663"/>
      <c r="AK1379" s="663"/>
      <c r="AL1379" s="663"/>
      <c r="AM1379" s="663"/>
      <c r="AN1379" s="663"/>
    </row>
    <row r="1380" spans="2:40" ht="14.45" hidden="1" customHeight="1" x14ac:dyDescent="0.25">
      <c r="B1380" s="898">
        <f>IF(C1368&lt;&gt;0,ROW(C1368),IF(C1369&lt;&gt;0,ROW(C1369),IF(C1370&lt;&gt;0,ROW(C1370),IF(C1371&lt;&gt;0,ROW(C1371),IF(C1372&lt;&gt;0,ROW(C1372),IF(C1373&lt;&gt;0,ROW(C1373),IF(C1374&lt;&gt;0,ROW(C1374),IF(C1375&lt;&gt;0,ROW(C1375),IF(C1376&lt;&gt;0,ROW(C1376),IF(C1377&lt;&gt;0,ROW(C1377)))))))))))</f>
        <v>1370</v>
      </c>
      <c r="C1380" s="882"/>
      <c r="U1380" s="663"/>
      <c r="Z1380" s="663"/>
      <c r="AA1380" s="663"/>
      <c r="AB1380" s="663"/>
      <c r="AC1380" s="663"/>
      <c r="AD1380" s="663"/>
      <c r="AE1380" s="663"/>
      <c r="AF1380" s="663"/>
      <c r="AG1380" s="663"/>
      <c r="AH1380" s="663"/>
      <c r="AI1380" s="663"/>
      <c r="AJ1380" s="663"/>
      <c r="AK1380" s="663"/>
      <c r="AL1380" s="663"/>
      <c r="AM1380" s="663"/>
      <c r="AN1380" s="663"/>
    </row>
    <row r="1381" spans="2:40" ht="14.45" hidden="1" customHeight="1" x14ac:dyDescent="0.25">
      <c r="B1381" s="899" t="str">
        <f>CONCATENATE(IF(COLUMN(B1380)&lt;=26,CHAR(96+COLUMN(B1380)),(CHAR(96+(ROUNDDOWN((COLUMN(B1380)-1)/26,0)))&amp;CHAR(96+IF(MOD(COLUMN(B1380),26)=0,26,MOD(COLUMN(B1380),26))))),B1380)</f>
        <v>b1370</v>
      </c>
      <c r="C1381" s="899" t="str">
        <f>CONCATENATE(IF(COLUMN(C1379)&lt;=26,CHAR(96+COLUMN(C1379)),(CHAR(96+(ROUNDDOWN((COLUMN(C1379)-1)/26,0)))&amp;CHAR(96+IF(MOD(COLUMN(C1379),26)=0,26,MOD(COLUMN(C1379),26))))),$B1380)</f>
        <v>c1370</v>
      </c>
      <c r="D1381" s="899" t="str">
        <f t="shared" ref="D1381" si="3005">CONCATENATE(IF(COLUMN(D1379)&lt;=26,CHAR(96+COLUMN(D1379)),(CHAR(96+(ROUNDDOWN((COLUMN(D1379)-1)/26,0)))&amp;CHAR(96+IF(MOD(COLUMN(D1379),26)=0,26,MOD(COLUMN(D1379),26))))),$B1380)</f>
        <v>d1370</v>
      </c>
      <c r="E1381" s="899" t="str">
        <f t="shared" ref="E1381" si="3006">CONCATENATE(IF(COLUMN(E1379)&lt;=26,CHAR(96+COLUMN(E1379)),(CHAR(96+(ROUNDDOWN((COLUMN(E1379)-1)/26,0)))&amp;CHAR(96+IF(MOD(COLUMN(E1379),26)=0,26,MOD(COLUMN(E1379),26))))),$B1380)</f>
        <v>e1370</v>
      </c>
      <c r="F1381" s="899" t="str">
        <f t="shared" ref="F1381" si="3007">CONCATENATE(IF(COLUMN(F1379)&lt;=26,CHAR(96+COLUMN(F1379)),(CHAR(96+(ROUNDDOWN((COLUMN(F1379)-1)/26,0)))&amp;CHAR(96+IF(MOD(COLUMN(F1379),26)=0,26,MOD(COLUMN(F1379),26))))),$B1380)</f>
        <v>f1370</v>
      </c>
      <c r="G1381" s="899" t="str">
        <f t="shared" ref="G1381" si="3008">CONCATENATE(IF(COLUMN(G1379)&lt;=26,CHAR(96+COLUMN(G1379)),(CHAR(96+(ROUNDDOWN((COLUMN(G1379)-1)/26,0)))&amp;CHAR(96+IF(MOD(COLUMN(G1379),26)=0,26,MOD(COLUMN(G1379),26))))),$B1380)</f>
        <v>g1370</v>
      </c>
      <c r="H1381" s="899" t="str">
        <f t="shared" ref="H1381" si="3009">CONCATENATE(IF(COLUMN(H1379)&lt;=26,CHAR(96+COLUMN(H1379)),(CHAR(96+(ROUNDDOWN((COLUMN(H1379)-1)/26,0)))&amp;CHAR(96+IF(MOD(COLUMN(H1379),26)=0,26,MOD(COLUMN(H1379),26))))),$B1380)</f>
        <v>h1370</v>
      </c>
      <c r="I1381" s="899" t="str">
        <f t="shared" ref="I1381" si="3010">CONCATENATE(IF(COLUMN(I1379)&lt;=26,CHAR(96+COLUMN(I1379)),(CHAR(96+(ROUNDDOWN((COLUMN(I1379)-1)/26,0)))&amp;CHAR(96+IF(MOD(COLUMN(I1379),26)=0,26,MOD(COLUMN(I1379),26))))),$B1380)</f>
        <v>i1370</v>
      </c>
      <c r="J1381" s="899" t="str">
        <f t="shared" ref="J1381" si="3011">CONCATENATE(IF(COLUMN(J1379)&lt;=26,CHAR(96+COLUMN(J1379)),(CHAR(96+(ROUNDDOWN((COLUMN(J1379)-1)/26,0)))&amp;CHAR(96+IF(MOD(COLUMN(J1379),26)=0,26,MOD(COLUMN(J1379),26))))),$B1380)</f>
        <v>j1370</v>
      </c>
      <c r="K1381" s="899" t="str">
        <f t="shared" ref="K1381" si="3012">CONCATENATE(IF(COLUMN(K1379)&lt;=26,CHAR(96+COLUMN(K1379)),(CHAR(96+(ROUNDDOWN((COLUMN(K1379)-1)/26,0)))&amp;CHAR(96+IF(MOD(COLUMN(K1379),26)=0,26,MOD(COLUMN(K1379),26))))),$B1380)</f>
        <v>k1370</v>
      </c>
      <c r="L1381" s="899" t="str">
        <f t="shared" ref="L1381" si="3013">CONCATENATE(IF(COLUMN(L1379)&lt;=26,CHAR(96+COLUMN(L1379)),(CHAR(96+(ROUNDDOWN((COLUMN(L1379)-1)/26,0)))&amp;CHAR(96+IF(MOD(COLUMN(L1379),26)=0,26,MOD(COLUMN(L1379),26))))),$B1380)</f>
        <v>l1370</v>
      </c>
      <c r="U1381" s="663"/>
      <c r="Z1381" s="663"/>
      <c r="AA1381" s="663"/>
      <c r="AB1381" s="663"/>
      <c r="AC1381" s="663"/>
      <c r="AD1381" s="663"/>
      <c r="AE1381" s="663"/>
      <c r="AF1381" s="663"/>
      <c r="AG1381" s="663"/>
      <c r="AH1381" s="663"/>
      <c r="AI1381" s="663"/>
      <c r="AJ1381" s="663"/>
      <c r="AK1381" s="663"/>
      <c r="AL1381" s="663"/>
      <c r="AM1381" s="663"/>
      <c r="AN1381" s="663"/>
    </row>
    <row r="1382" spans="2:40" ht="14.45" hidden="1" customHeight="1" x14ac:dyDescent="0.25">
      <c r="C1382" s="662"/>
      <c r="U1382" s="663"/>
      <c r="Z1382" s="663"/>
      <c r="AA1382" s="663"/>
      <c r="AB1382" s="663"/>
      <c r="AC1382" s="663"/>
      <c r="AD1382" s="663"/>
      <c r="AE1382" s="663"/>
      <c r="AF1382" s="663"/>
      <c r="AG1382" s="663"/>
      <c r="AH1382" s="663"/>
      <c r="AI1382" s="663"/>
      <c r="AJ1382" s="663"/>
      <c r="AK1382" s="663"/>
      <c r="AL1382" s="663"/>
      <c r="AM1382" s="663"/>
      <c r="AN1382" s="663"/>
    </row>
    <row r="1383" spans="2:40" ht="14.45" hidden="1" customHeight="1" x14ac:dyDescent="0.25">
      <c r="C1383" s="662"/>
      <c r="U1383" s="663"/>
      <c r="Z1383" s="663"/>
      <c r="AA1383" s="663"/>
      <c r="AB1383" s="663"/>
      <c r="AC1383" s="663"/>
      <c r="AD1383" s="663"/>
      <c r="AE1383" s="663"/>
      <c r="AF1383" s="663"/>
      <c r="AG1383" s="663"/>
      <c r="AH1383" s="663"/>
      <c r="AI1383" s="663"/>
      <c r="AJ1383" s="663"/>
      <c r="AK1383" s="663"/>
      <c r="AL1383" s="663"/>
      <c r="AM1383" s="663"/>
      <c r="AN1383" s="663"/>
    </row>
    <row r="1384" spans="2:40" ht="14.45" hidden="1" customHeight="1" x14ac:dyDescent="0.25">
      <c r="B1384" s="936">
        <f>B1368</f>
        <v>39113</v>
      </c>
      <c r="C1384" s="662">
        <f>C1368</f>
        <v>0</v>
      </c>
      <c r="D1384" s="662">
        <f t="shared" ref="D1384:L1384" si="3014">D1368</f>
        <v>0</v>
      </c>
      <c r="E1384" s="662">
        <f t="shared" si="3014"/>
        <v>0</v>
      </c>
      <c r="F1384" s="662">
        <f t="shared" si="3014"/>
        <v>0</v>
      </c>
      <c r="G1384" s="662">
        <f t="shared" si="3014"/>
        <v>0</v>
      </c>
      <c r="H1384" s="662">
        <f t="shared" si="3014"/>
        <v>0</v>
      </c>
      <c r="I1384" s="662">
        <f t="shared" si="3014"/>
        <v>0</v>
      </c>
      <c r="J1384" s="662">
        <f t="shared" si="3014"/>
        <v>0</v>
      </c>
      <c r="K1384" s="662">
        <f t="shared" si="3014"/>
        <v>0</v>
      </c>
      <c r="L1384" s="662">
        <f t="shared" si="3014"/>
        <v>0</v>
      </c>
      <c r="U1384" s="663"/>
      <c r="Z1384" s="663"/>
      <c r="AA1384" s="663"/>
      <c r="AB1384" s="663"/>
      <c r="AC1384" s="663"/>
      <c r="AD1384" s="663"/>
      <c r="AE1384" s="663"/>
      <c r="AF1384" s="663"/>
      <c r="AG1384" s="663"/>
      <c r="AH1384" s="663"/>
      <c r="AI1384" s="663"/>
      <c r="AJ1384" s="663"/>
      <c r="AK1384" s="663"/>
      <c r="AL1384" s="663"/>
      <c r="AM1384" s="663"/>
      <c r="AN1384" s="663"/>
    </row>
    <row r="1385" spans="2:40" ht="14.45" hidden="1" customHeight="1" x14ac:dyDescent="0.25">
      <c r="B1385" s="936">
        <f t="shared" ref="B1385:L1385" si="3015">B1369</f>
        <v>39478</v>
      </c>
      <c r="C1385" s="662">
        <f t="shared" si="3015"/>
        <v>0</v>
      </c>
      <c r="D1385" s="662">
        <f t="shared" si="3015"/>
        <v>0</v>
      </c>
      <c r="E1385" s="662">
        <f t="shared" si="3015"/>
        <v>0</v>
      </c>
      <c r="F1385" s="662">
        <f t="shared" si="3015"/>
        <v>0</v>
      </c>
      <c r="G1385" s="662">
        <f t="shared" si="3015"/>
        <v>0</v>
      </c>
      <c r="H1385" s="662">
        <f t="shared" si="3015"/>
        <v>0</v>
      </c>
      <c r="I1385" s="662">
        <f t="shared" si="3015"/>
        <v>0</v>
      </c>
      <c r="J1385" s="662">
        <f t="shared" si="3015"/>
        <v>0</v>
      </c>
      <c r="K1385" s="662">
        <f t="shared" si="3015"/>
        <v>0</v>
      </c>
      <c r="L1385" s="662">
        <f t="shared" si="3015"/>
        <v>0</v>
      </c>
      <c r="U1385" s="663"/>
      <c r="Z1385" s="663"/>
      <c r="AA1385" s="663"/>
      <c r="AB1385" s="663"/>
      <c r="AC1385" s="663"/>
      <c r="AD1385" s="663"/>
      <c r="AE1385" s="663"/>
      <c r="AF1385" s="663"/>
      <c r="AG1385" s="663"/>
      <c r="AH1385" s="663"/>
      <c r="AI1385" s="663"/>
      <c r="AJ1385" s="663"/>
      <c r="AK1385" s="663"/>
      <c r="AL1385" s="663"/>
      <c r="AM1385" s="663"/>
      <c r="AN1385" s="663"/>
    </row>
    <row r="1386" spans="2:40" ht="14.45" hidden="1" customHeight="1" x14ac:dyDescent="0.25">
      <c r="B1386" s="936">
        <f t="shared" ref="B1386:L1386" si="3016">B1370</f>
        <v>39843</v>
      </c>
      <c r="C1386" s="662">
        <f t="shared" si="3016"/>
        <v>-2500000</v>
      </c>
      <c r="D1386" s="662">
        <f t="shared" si="3016"/>
        <v>-2500000</v>
      </c>
      <c r="E1386" s="662">
        <f t="shared" si="3016"/>
        <v>-2500000</v>
      </c>
      <c r="F1386" s="662">
        <f t="shared" si="3016"/>
        <v>-2500000</v>
      </c>
      <c r="G1386" s="662">
        <f t="shared" si="3016"/>
        <v>-2500000</v>
      </c>
      <c r="H1386" s="662">
        <f t="shared" si="3016"/>
        <v>-2500000</v>
      </c>
      <c r="I1386" s="662">
        <f t="shared" si="3016"/>
        <v>-2500000</v>
      </c>
      <c r="J1386" s="662">
        <f t="shared" si="3016"/>
        <v>-2500000</v>
      </c>
      <c r="K1386" s="662">
        <f t="shared" si="3016"/>
        <v>-2500000</v>
      </c>
      <c r="L1386" s="662">
        <f t="shared" si="3016"/>
        <v>-2500000</v>
      </c>
      <c r="U1386" s="663"/>
      <c r="Z1386" s="663"/>
      <c r="AA1386" s="663"/>
      <c r="AB1386" s="663"/>
      <c r="AC1386" s="663"/>
      <c r="AD1386" s="663"/>
      <c r="AE1386" s="663"/>
      <c r="AF1386" s="663"/>
      <c r="AG1386" s="663"/>
      <c r="AH1386" s="663"/>
      <c r="AI1386" s="663"/>
      <c r="AJ1386" s="663"/>
      <c r="AK1386" s="663"/>
      <c r="AL1386" s="663"/>
      <c r="AM1386" s="663"/>
      <c r="AN1386" s="663"/>
    </row>
    <row r="1387" spans="2:40" ht="14.45" hidden="1" customHeight="1" x14ac:dyDescent="0.25">
      <c r="B1387" s="936">
        <f t="shared" ref="B1387:L1387" si="3017">B1371</f>
        <v>39843</v>
      </c>
      <c r="C1387" s="662">
        <f t="shared" si="3017"/>
        <v>-6666666.666666667</v>
      </c>
      <c r="D1387" s="662">
        <f t="shared" si="3017"/>
        <v>-6666666.666666667</v>
      </c>
      <c r="E1387" s="662">
        <f t="shared" si="3017"/>
        <v>-6666666.666666667</v>
      </c>
      <c r="F1387" s="662">
        <f t="shared" si="3017"/>
        <v>-6666666.666666667</v>
      </c>
      <c r="G1387" s="662">
        <f t="shared" si="3017"/>
        <v>-6666666.666666667</v>
      </c>
      <c r="H1387" s="662">
        <f t="shared" si="3017"/>
        <v>-6666666.666666667</v>
      </c>
      <c r="I1387" s="662">
        <f t="shared" si="3017"/>
        <v>-6666666.666666667</v>
      </c>
      <c r="J1387" s="662">
        <f t="shared" si="3017"/>
        <v>-6666666.666666667</v>
      </c>
      <c r="K1387" s="662">
        <f t="shared" si="3017"/>
        <v>-6666666.666666667</v>
      </c>
      <c r="L1387" s="662">
        <f t="shared" si="3017"/>
        <v>-6666666.666666667</v>
      </c>
      <c r="U1387" s="663"/>
      <c r="Z1387" s="663"/>
      <c r="AA1387" s="663"/>
      <c r="AB1387" s="663"/>
      <c r="AC1387" s="663"/>
      <c r="AD1387" s="663"/>
      <c r="AE1387" s="663"/>
      <c r="AF1387" s="663"/>
      <c r="AG1387" s="663"/>
      <c r="AH1387" s="663"/>
      <c r="AI1387" s="663"/>
      <c r="AJ1387" s="663"/>
      <c r="AK1387" s="663"/>
      <c r="AL1387" s="663"/>
      <c r="AM1387" s="663"/>
      <c r="AN1387" s="663"/>
    </row>
    <row r="1388" spans="2:40" ht="14.45" hidden="1" customHeight="1" x14ac:dyDescent="0.25">
      <c r="B1388" s="936">
        <f t="shared" ref="B1388:L1388" si="3018">B1372</f>
        <v>39843</v>
      </c>
      <c r="C1388" s="662">
        <f t="shared" si="3018"/>
        <v>0</v>
      </c>
      <c r="D1388" s="662">
        <f t="shared" si="3018"/>
        <v>0</v>
      </c>
      <c r="E1388" s="662">
        <f t="shared" si="3018"/>
        <v>0</v>
      </c>
      <c r="F1388" s="662">
        <f t="shared" si="3018"/>
        <v>0</v>
      </c>
      <c r="G1388" s="662">
        <f t="shared" si="3018"/>
        <v>0</v>
      </c>
      <c r="H1388" s="662">
        <f t="shared" si="3018"/>
        <v>0</v>
      </c>
      <c r="I1388" s="662">
        <f t="shared" si="3018"/>
        <v>0</v>
      </c>
      <c r="J1388" s="662">
        <f t="shared" si="3018"/>
        <v>0</v>
      </c>
      <c r="K1388" s="662">
        <f t="shared" si="3018"/>
        <v>0</v>
      </c>
      <c r="L1388" s="662">
        <f t="shared" si="3018"/>
        <v>0</v>
      </c>
      <c r="U1388" s="663"/>
      <c r="Z1388" s="663"/>
      <c r="AA1388" s="663"/>
      <c r="AB1388" s="663"/>
      <c r="AC1388" s="663"/>
      <c r="AD1388" s="663"/>
      <c r="AE1388" s="663"/>
      <c r="AF1388" s="663"/>
      <c r="AG1388" s="663"/>
      <c r="AH1388" s="663"/>
      <c r="AI1388" s="663"/>
      <c r="AJ1388" s="663"/>
      <c r="AK1388" s="663"/>
      <c r="AL1388" s="663"/>
      <c r="AM1388" s="663"/>
      <c r="AN1388" s="663"/>
    </row>
    <row r="1389" spans="2:40" ht="14.45" hidden="1" customHeight="1" x14ac:dyDescent="0.25">
      <c r="B1389" s="936">
        <f t="shared" ref="B1389:L1389" si="3019">B1373</f>
        <v>39843</v>
      </c>
      <c r="C1389" s="662">
        <f t="shared" si="3019"/>
        <v>0</v>
      </c>
      <c r="D1389" s="662">
        <f t="shared" si="3019"/>
        <v>0</v>
      </c>
      <c r="E1389" s="662">
        <f t="shared" si="3019"/>
        <v>0</v>
      </c>
      <c r="F1389" s="662">
        <f t="shared" si="3019"/>
        <v>0</v>
      </c>
      <c r="G1389" s="662">
        <f t="shared" si="3019"/>
        <v>0</v>
      </c>
      <c r="H1389" s="662">
        <f t="shared" si="3019"/>
        <v>0</v>
      </c>
      <c r="I1389" s="662">
        <f t="shared" si="3019"/>
        <v>0</v>
      </c>
      <c r="J1389" s="662">
        <f t="shared" si="3019"/>
        <v>0</v>
      </c>
      <c r="K1389" s="662">
        <f t="shared" si="3019"/>
        <v>0</v>
      </c>
      <c r="L1389" s="662">
        <f t="shared" si="3019"/>
        <v>0</v>
      </c>
      <c r="U1389" s="663"/>
      <c r="Z1389" s="663"/>
      <c r="AA1389" s="663"/>
      <c r="AB1389" s="663"/>
      <c r="AC1389" s="663"/>
      <c r="AD1389" s="663"/>
      <c r="AE1389" s="663"/>
      <c r="AF1389" s="663"/>
      <c r="AG1389" s="663"/>
      <c r="AH1389" s="663"/>
      <c r="AI1389" s="663"/>
      <c r="AJ1389" s="663"/>
      <c r="AK1389" s="663"/>
      <c r="AL1389" s="663"/>
      <c r="AM1389" s="663"/>
      <c r="AN1389" s="663"/>
    </row>
    <row r="1390" spans="2:40" ht="14.45" hidden="1" customHeight="1" x14ac:dyDescent="0.25">
      <c r="B1390" s="936">
        <f t="shared" ref="B1390:L1390" si="3020">B1374</f>
        <v>39843</v>
      </c>
      <c r="C1390" s="662">
        <f t="shared" si="3020"/>
        <v>0</v>
      </c>
      <c r="D1390" s="662">
        <f t="shared" si="3020"/>
        <v>0</v>
      </c>
      <c r="E1390" s="662">
        <f t="shared" si="3020"/>
        <v>0</v>
      </c>
      <c r="F1390" s="662">
        <f t="shared" si="3020"/>
        <v>0</v>
      </c>
      <c r="G1390" s="662">
        <f t="shared" si="3020"/>
        <v>0</v>
      </c>
      <c r="H1390" s="662">
        <f t="shared" si="3020"/>
        <v>0</v>
      </c>
      <c r="I1390" s="662">
        <f t="shared" si="3020"/>
        <v>0</v>
      </c>
      <c r="J1390" s="662">
        <f t="shared" si="3020"/>
        <v>0</v>
      </c>
      <c r="K1390" s="662">
        <f t="shared" si="3020"/>
        <v>0</v>
      </c>
      <c r="L1390" s="662">
        <f t="shared" si="3020"/>
        <v>0</v>
      </c>
      <c r="U1390" s="663"/>
      <c r="Z1390" s="663"/>
      <c r="AA1390" s="663"/>
      <c r="AB1390" s="663"/>
      <c r="AC1390" s="663"/>
      <c r="AD1390" s="663"/>
      <c r="AE1390" s="663"/>
      <c r="AF1390" s="663"/>
      <c r="AG1390" s="663"/>
      <c r="AH1390" s="663"/>
      <c r="AI1390" s="663"/>
      <c r="AJ1390" s="663"/>
      <c r="AK1390" s="663"/>
      <c r="AL1390" s="663"/>
      <c r="AM1390" s="663"/>
      <c r="AN1390" s="663"/>
    </row>
    <row r="1391" spans="2:40" ht="14.45" hidden="1" customHeight="1" x14ac:dyDescent="0.25">
      <c r="B1391" s="936">
        <f t="shared" ref="B1391:L1391" si="3021">B1375</f>
        <v>39843</v>
      </c>
      <c r="C1391" s="662">
        <f t="shared" si="3021"/>
        <v>0</v>
      </c>
      <c r="D1391" s="662">
        <f t="shared" si="3021"/>
        <v>0</v>
      </c>
      <c r="E1391" s="662">
        <f t="shared" si="3021"/>
        <v>0</v>
      </c>
      <c r="F1391" s="662">
        <f t="shared" si="3021"/>
        <v>0</v>
      </c>
      <c r="G1391" s="662">
        <f t="shared" si="3021"/>
        <v>0</v>
      </c>
      <c r="H1391" s="662">
        <f t="shared" si="3021"/>
        <v>0</v>
      </c>
      <c r="I1391" s="662">
        <f t="shared" si="3021"/>
        <v>0</v>
      </c>
      <c r="J1391" s="662">
        <f t="shared" si="3021"/>
        <v>0</v>
      </c>
      <c r="K1391" s="662">
        <f t="shared" si="3021"/>
        <v>0</v>
      </c>
      <c r="L1391" s="662">
        <f t="shared" si="3021"/>
        <v>0</v>
      </c>
      <c r="U1391" s="663"/>
      <c r="Z1391" s="663"/>
      <c r="AA1391" s="663"/>
      <c r="AB1391" s="663"/>
      <c r="AC1391" s="663"/>
      <c r="AD1391" s="663"/>
      <c r="AE1391" s="663"/>
      <c r="AF1391" s="663"/>
      <c r="AG1391" s="663"/>
      <c r="AH1391" s="663"/>
      <c r="AI1391" s="663"/>
      <c r="AJ1391" s="663"/>
      <c r="AK1391" s="663"/>
      <c r="AL1391" s="663"/>
      <c r="AM1391" s="663"/>
      <c r="AN1391" s="663"/>
    </row>
    <row r="1392" spans="2:40" ht="14.45" hidden="1" customHeight="1" x14ac:dyDescent="0.25">
      <c r="B1392" s="936">
        <f t="shared" ref="B1392:L1392" si="3022">B1376</f>
        <v>39843</v>
      </c>
      <c r="C1392" s="662">
        <f t="shared" si="3022"/>
        <v>0</v>
      </c>
      <c r="D1392" s="662">
        <f t="shared" si="3022"/>
        <v>0</v>
      </c>
      <c r="E1392" s="662">
        <f t="shared" si="3022"/>
        <v>0</v>
      </c>
      <c r="F1392" s="662">
        <f t="shared" si="3022"/>
        <v>0</v>
      </c>
      <c r="G1392" s="662">
        <f t="shared" si="3022"/>
        <v>0</v>
      </c>
      <c r="H1392" s="662">
        <f t="shared" si="3022"/>
        <v>0</v>
      </c>
      <c r="I1392" s="662">
        <f t="shared" si="3022"/>
        <v>0</v>
      </c>
      <c r="J1392" s="662">
        <f t="shared" si="3022"/>
        <v>0</v>
      </c>
      <c r="K1392" s="662">
        <f t="shared" si="3022"/>
        <v>0</v>
      </c>
      <c r="L1392" s="662">
        <f t="shared" si="3022"/>
        <v>0</v>
      </c>
      <c r="U1392" s="663"/>
      <c r="Z1392" s="663"/>
      <c r="AA1392" s="663"/>
      <c r="AB1392" s="663"/>
      <c r="AC1392" s="663"/>
      <c r="AD1392" s="663"/>
      <c r="AE1392" s="663"/>
      <c r="AF1392" s="663"/>
      <c r="AG1392" s="663"/>
      <c r="AH1392" s="663"/>
      <c r="AI1392" s="663"/>
      <c r="AJ1392" s="663"/>
      <c r="AK1392" s="663"/>
      <c r="AL1392" s="663"/>
      <c r="AM1392" s="663"/>
      <c r="AN1392" s="663"/>
    </row>
    <row r="1393" spans="2:40" ht="14.45" hidden="1" customHeight="1" x14ac:dyDescent="0.25">
      <c r="B1393" s="936">
        <f t="shared" ref="B1393:L1393" si="3023">B1377</f>
        <v>39843</v>
      </c>
      <c r="C1393" s="662">
        <f t="shared" si="3023"/>
        <v>0</v>
      </c>
      <c r="D1393" s="662">
        <f t="shared" si="3023"/>
        <v>0</v>
      </c>
      <c r="E1393" s="662">
        <f t="shared" si="3023"/>
        <v>0</v>
      </c>
      <c r="F1393" s="662">
        <f t="shared" si="3023"/>
        <v>0</v>
      </c>
      <c r="G1393" s="662">
        <f t="shared" si="3023"/>
        <v>0</v>
      </c>
      <c r="H1393" s="662">
        <f t="shared" si="3023"/>
        <v>0</v>
      </c>
      <c r="I1393" s="662">
        <f t="shared" si="3023"/>
        <v>0</v>
      </c>
      <c r="J1393" s="662">
        <f t="shared" si="3023"/>
        <v>0</v>
      </c>
      <c r="K1393" s="662">
        <f t="shared" si="3023"/>
        <v>0</v>
      </c>
      <c r="L1393" s="662">
        <f t="shared" si="3023"/>
        <v>0</v>
      </c>
      <c r="U1393" s="663"/>
      <c r="Z1393" s="663"/>
      <c r="AA1393" s="663"/>
      <c r="AB1393" s="663"/>
      <c r="AC1393" s="663"/>
      <c r="AD1393" s="663"/>
      <c r="AE1393" s="663"/>
      <c r="AF1393" s="663"/>
      <c r="AG1393" s="663"/>
      <c r="AH1393" s="663"/>
      <c r="AI1393" s="663"/>
      <c r="AJ1393" s="663"/>
      <c r="AK1393" s="663"/>
      <c r="AL1393" s="663"/>
      <c r="AM1393" s="663"/>
      <c r="AN1393" s="663"/>
    </row>
    <row r="1394" spans="2:40" ht="14.45" hidden="1" customHeight="1" x14ac:dyDescent="0.25">
      <c r="B1394" s="936">
        <f>B1328</f>
        <v>41539</v>
      </c>
      <c r="C1394" s="662">
        <f t="shared" ref="C1394:L1394" si="3024">C1378</f>
        <v>4078815.2610441777</v>
      </c>
      <c r="D1394" s="662">
        <f t="shared" si="3024"/>
        <v>6118222.8915662663</v>
      </c>
      <c r="E1394" s="662">
        <f t="shared" si="3024"/>
        <v>8157630.5220883554</v>
      </c>
      <c r="F1394" s="662">
        <f t="shared" si="3024"/>
        <v>10197038.152610444</v>
      </c>
      <c r="G1394" s="662">
        <f t="shared" si="3024"/>
        <v>12236445.783132533</v>
      </c>
      <c r="H1394" s="662">
        <f t="shared" si="3024"/>
        <v>14275853.413654622</v>
      </c>
      <c r="I1394" s="662">
        <f t="shared" si="3024"/>
        <v>16315261.044176711</v>
      </c>
      <c r="J1394" s="662">
        <f t="shared" si="3024"/>
        <v>18354668.6746988</v>
      </c>
      <c r="K1394" s="662">
        <f t="shared" si="3024"/>
        <v>20394076.305220887</v>
      </c>
      <c r="L1394" s="662">
        <f t="shared" si="3024"/>
        <v>22433483.935742974</v>
      </c>
      <c r="U1394" s="663"/>
      <c r="Z1394" s="663"/>
      <c r="AA1394" s="663"/>
      <c r="AB1394" s="663"/>
      <c r="AC1394" s="663"/>
      <c r="AD1394" s="663"/>
      <c r="AE1394" s="663"/>
      <c r="AF1394" s="663"/>
      <c r="AG1394" s="663"/>
      <c r="AH1394" s="663"/>
      <c r="AI1394" s="663"/>
      <c r="AJ1394" s="663"/>
      <c r="AK1394" s="663"/>
      <c r="AL1394" s="663"/>
      <c r="AM1394" s="663"/>
      <c r="AN1394" s="663"/>
    </row>
    <row r="1395" spans="2:40" ht="14.45" hidden="1" customHeight="1" x14ac:dyDescent="0.25">
      <c r="C1395" s="882" t="str">
        <f ca="1">IF(ISERROR(XIRR(INDIRECT(C1397):C1394,INDIRECT($B1397):$B1394,-20%)),XIRR(INDIRECT(C1397):C1394,INDIRECT($B1397):$B1394,20%),"N/A")</f>
        <v>N/A</v>
      </c>
      <c r="D1395" s="882" t="str">
        <f ca="1">IF(ISERROR(XIRR(INDIRECT(D1397):D1394,INDIRECT($B1397):$B1394,-20%)),XIRR(INDIRECT(D1397):D1394,INDIRECT($B1397):$B1394,20%),"N/A")</f>
        <v>N/A</v>
      </c>
      <c r="E1395" s="882" t="str">
        <f ca="1">IF(ISERROR(XIRR(INDIRECT(E1397):E1394,INDIRECT($B1397):$B1394,-20%)),XIRR(INDIRECT(E1397):E1394,INDIRECT($B1397):$B1394,20%),"N/A")</f>
        <v>N/A</v>
      </c>
      <c r="F1395" s="882">
        <f ca="1">IF(ISERROR(XIRR(INDIRECT(F1397):F1394,INDIRECT($B1397):$B1394,-20%)),XIRR(INDIRECT(F1397):F1394,INDIRECT($B1397):$B1394,20%),"N/A")</f>
        <v>2.3189982771873476E-2</v>
      </c>
      <c r="G1395" s="882">
        <f ca="1">IF(ISERROR(XIRR(INDIRECT(G1397):G1394,INDIRECT($B1397):$B1394,-20%)),XIRR(INDIRECT(G1397):G1394,INDIRECT($B1397):$B1394,20%),"N/A")</f>
        <v>6.4135804772377E-2</v>
      </c>
      <c r="H1395" s="882">
        <f ca="1">IF(ISERROR(XIRR(INDIRECT(H1397):H1394,INDIRECT($B1397):$B1394,-20%)),XIRR(INDIRECT(H1397):H1394,INDIRECT($B1397):$B1394,20%),"N/A")</f>
        <v>0.10003075003623962</v>
      </c>
      <c r="I1395" s="882">
        <f ca="1">IF(ISERROR(XIRR(INDIRECT(I1397):I1394,INDIRECT($B1397):$B1394,-20%)),XIRR(INDIRECT(I1397):I1394,INDIRECT($B1397):$B1394,20%),"N/A")</f>
        <v>0.13210160136222837</v>
      </c>
      <c r="J1395" s="882">
        <f ca="1">IF(ISERROR(XIRR(INDIRECT(J1397):J1394,INDIRECT($B1397):$B1394,-20%)),XIRR(INDIRECT(J1397):J1394,INDIRECT($B1397):$B1394,20%),"N/A")</f>
        <v>0.16116531491279609</v>
      </c>
      <c r="K1395" s="882">
        <f ca="1">IF(ISERROR(XIRR(INDIRECT(K1397):K1394,INDIRECT($B1397):$B1394,-20%)),XIRR(INDIRECT(K1397):K1394,INDIRECT($B1397):$B1394,20%),"N/A")</f>
        <v>0.18779537081718448</v>
      </c>
      <c r="L1395" s="882">
        <f ca="1">IF(ISERROR(XIRR(INDIRECT(L1397):L1394,INDIRECT($B1397):$B1394,-20%)),XIRR(INDIRECT(L1397):L1394,INDIRECT($B1397):$B1394,20%),"N/A")</f>
        <v>0.21241092085838323</v>
      </c>
      <c r="U1395" s="663"/>
      <c r="Z1395" s="663"/>
      <c r="AA1395" s="663"/>
      <c r="AB1395" s="663"/>
      <c r="AC1395" s="663"/>
      <c r="AD1395" s="663"/>
      <c r="AE1395" s="663"/>
      <c r="AF1395" s="663"/>
      <c r="AG1395" s="663"/>
      <c r="AH1395" s="663"/>
      <c r="AI1395" s="663"/>
      <c r="AJ1395" s="663"/>
      <c r="AK1395" s="663"/>
      <c r="AL1395" s="663"/>
      <c r="AM1395" s="663"/>
      <c r="AN1395" s="663"/>
    </row>
    <row r="1396" spans="2:40" ht="14.45" hidden="1" customHeight="1" x14ac:dyDescent="0.25">
      <c r="B1396" s="898">
        <f>IF(C1384&lt;&gt;0,ROW(C1384),IF(C1385&lt;&gt;0,ROW(C1385),IF(C1386&lt;&gt;0,ROW(C1386),IF(C1387&lt;&gt;0,ROW(C1387),IF(C1388&lt;&gt;0,ROW(C1388),IF(C1389&lt;&gt;0,ROW(C1389),IF(C1390&lt;&gt;0,ROW(C1390),IF(C1391&lt;&gt;0,ROW(C1391),IF(C1392&lt;&gt;0,ROW(C1392),IF(C1393&lt;&gt;0,ROW(C1393)))))))))))</f>
        <v>1386</v>
      </c>
      <c r="C1396" s="882"/>
      <c r="U1396" s="663"/>
      <c r="Z1396" s="663"/>
      <c r="AA1396" s="663"/>
      <c r="AB1396" s="663"/>
      <c r="AC1396" s="663"/>
      <c r="AD1396" s="663"/>
      <c r="AE1396" s="663"/>
      <c r="AF1396" s="663"/>
      <c r="AG1396" s="663"/>
      <c r="AH1396" s="663"/>
      <c r="AI1396" s="663"/>
      <c r="AJ1396" s="663"/>
      <c r="AK1396" s="663"/>
      <c r="AL1396" s="663"/>
      <c r="AM1396" s="663"/>
      <c r="AN1396" s="663"/>
    </row>
    <row r="1397" spans="2:40" ht="14.45" hidden="1" customHeight="1" x14ac:dyDescent="0.25">
      <c r="B1397" s="899" t="str">
        <f>CONCATENATE(IF(COLUMN(B1396)&lt;=26,CHAR(96+COLUMN(B1396)),(CHAR(96+(ROUNDDOWN((COLUMN(B1396)-1)/26,0)))&amp;CHAR(96+IF(MOD(COLUMN(B1396),26)=0,26,MOD(COLUMN(B1396),26))))),B1396)</f>
        <v>b1386</v>
      </c>
      <c r="C1397" s="899" t="str">
        <f>CONCATENATE(IF(COLUMN(C1395)&lt;=26,CHAR(96+COLUMN(C1395)),(CHAR(96+(ROUNDDOWN((COLUMN(C1395)-1)/26,0)))&amp;CHAR(96+IF(MOD(COLUMN(C1395),26)=0,26,MOD(COLUMN(C1395),26))))),$B1396)</f>
        <v>c1386</v>
      </c>
      <c r="D1397" s="899" t="str">
        <f t="shared" ref="D1397" si="3025">CONCATENATE(IF(COLUMN(D1395)&lt;=26,CHAR(96+COLUMN(D1395)),(CHAR(96+(ROUNDDOWN((COLUMN(D1395)-1)/26,0)))&amp;CHAR(96+IF(MOD(COLUMN(D1395),26)=0,26,MOD(COLUMN(D1395),26))))),$B1396)</f>
        <v>d1386</v>
      </c>
      <c r="E1397" s="899" t="str">
        <f t="shared" ref="E1397" si="3026">CONCATENATE(IF(COLUMN(E1395)&lt;=26,CHAR(96+COLUMN(E1395)),(CHAR(96+(ROUNDDOWN((COLUMN(E1395)-1)/26,0)))&amp;CHAR(96+IF(MOD(COLUMN(E1395),26)=0,26,MOD(COLUMN(E1395),26))))),$B1396)</f>
        <v>e1386</v>
      </c>
      <c r="F1397" s="899" t="str">
        <f t="shared" ref="F1397" si="3027">CONCATENATE(IF(COLUMN(F1395)&lt;=26,CHAR(96+COLUMN(F1395)),(CHAR(96+(ROUNDDOWN((COLUMN(F1395)-1)/26,0)))&amp;CHAR(96+IF(MOD(COLUMN(F1395),26)=0,26,MOD(COLUMN(F1395),26))))),$B1396)</f>
        <v>f1386</v>
      </c>
      <c r="G1397" s="899" t="str">
        <f t="shared" ref="G1397" si="3028">CONCATENATE(IF(COLUMN(G1395)&lt;=26,CHAR(96+COLUMN(G1395)),(CHAR(96+(ROUNDDOWN((COLUMN(G1395)-1)/26,0)))&amp;CHAR(96+IF(MOD(COLUMN(G1395),26)=0,26,MOD(COLUMN(G1395),26))))),$B1396)</f>
        <v>g1386</v>
      </c>
      <c r="H1397" s="899" t="str">
        <f t="shared" ref="H1397" si="3029">CONCATENATE(IF(COLUMN(H1395)&lt;=26,CHAR(96+COLUMN(H1395)),(CHAR(96+(ROUNDDOWN((COLUMN(H1395)-1)/26,0)))&amp;CHAR(96+IF(MOD(COLUMN(H1395),26)=0,26,MOD(COLUMN(H1395),26))))),$B1396)</f>
        <v>h1386</v>
      </c>
      <c r="I1397" s="899" t="str">
        <f t="shared" ref="I1397" si="3030">CONCATENATE(IF(COLUMN(I1395)&lt;=26,CHAR(96+COLUMN(I1395)),(CHAR(96+(ROUNDDOWN((COLUMN(I1395)-1)/26,0)))&amp;CHAR(96+IF(MOD(COLUMN(I1395),26)=0,26,MOD(COLUMN(I1395),26))))),$B1396)</f>
        <v>i1386</v>
      </c>
      <c r="J1397" s="899" t="str">
        <f t="shared" ref="J1397" si="3031">CONCATENATE(IF(COLUMN(J1395)&lt;=26,CHAR(96+COLUMN(J1395)),(CHAR(96+(ROUNDDOWN((COLUMN(J1395)-1)/26,0)))&amp;CHAR(96+IF(MOD(COLUMN(J1395),26)=0,26,MOD(COLUMN(J1395),26))))),$B1396)</f>
        <v>j1386</v>
      </c>
      <c r="K1397" s="899" t="str">
        <f t="shared" ref="K1397" si="3032">CONCATENATE(IF(COLUMN(K1395)&lt;=26,CHAR(96+COLUMN(K1395)),(CHAR(96+(ROUNDDOWN((COLUMN(K1395)-1)/26,0)))&amp;CHAR(96+IF(MOD(COLUMN(K1395),26)=0,26,MOD(COLUMN(K1395),26))))),$B1396)</f>
        <v>k1386</v>
      </c>
      <c r="L1397" s="899" t="str">
        <f t="shared" ref="L1397" si="3033">CONCATENATE(IF(COLUMN(L1395)&lt;=26,CHAR(96+COLUMN(L1395)),(CHAR(96+(ROUNDDOWN((COLUMN(L1395)-1)/26,0)))&amp;CHAR(96+IF(MOD(COLUMN(L1395),26)=0,26,MOD(COLUMN(L1395),26))))),$B1396)</f>
        <v>l1386</v>
      </c>
      <c r="U1397" s="663"/>
      <c r="Z1397" s="663"/>
      <c r="AA1397" s="663"/>
      <c r="AB1397" s="663"/>
      <c r="AC1397" s="663"/>
      <c r="AD1397" s="663"/>
      <c r="AE1397" s="663"/>
      <c r="AF1397" s="663"/>
      <c r="AG1397" s="663"/>
      <c r="AH1397" s="663"/>
      <c r="AI1397" s="663"/>
      <c r="AJ1397" s="663"/>
      <c r="AK1397" s="663"/>
      <c r="AL1397" s="663"/>
      <c r="AM1397" s="663"/>
      <c r="AN1397" s="663"/>
    </row>
    <row r="1398" spans="2:40" ht="14.45" hidden="1" customHeight="1" x14ac:dyDescent="0.25">
      <c r="C1398" s="662"/>
      <c r="U1398" s="663"/>
      <c r="Z1398" s="663"/>
      <c r="AA1398" s="663"/>
      <c r="AB1398" s="663"/>
      <c r="AC1398" s="663"/>
      <c r="AD1398" s="663"/>
      <c r="AE1398" s="663"/>
      <c r="AF1398" s="663"/>
      <c r="AG1398" s="663"/>
      <c r="AH1398" s="663"/>
      <c r="AI1398" s="663"/>
      <c r="AJ1398" s="663"/>
      <c r="AK1398" s="663"/>
      <c r="AL1398" s="663"/>
      <c r="AM1398" s="663"/>
      <c r="AN1398" s="663"/>
    </row>
    <row r="1399" spans="2:40" ht="14.45" hidden="1" customHeight="1" x14ac:dyDescent="0.25">
      <c r="C1399" s="662"/>
      <c r="U1399" s="663"/>
      <c r="Z1399" s="663"/>
      <c r="AA1399" s="663"/>
      <c r="AB1399" s="663"/>
      <c r="AC1399" s="663"/>
      <c r="AD1399" s="663"/>
      <c r="AE1399" s="663"/>
      <c r="AF1399" s="663"/>
      <c r="AG1399" s="663"/>
      <c r="AH1399" s="663"/>
      <c r="AI1399" s="663"/>
      <c r="AJ1399" s="663"/>
      <c r="AK1399" s="663"/>
      <c r="AL1399" s="663"/>
      <c r="AM1399" s="663"/>
      <c r="AN1399" s="663"/>
    </row>
    <row r="1400" spans="2:40" ht="14.45" hidden="1" customHeight="1" x14ac:dyDescent="0.25">
      <c r="B1400" s="936">
        <f>B1384</f>
        <v>39113</v>
      </c>
      <c r="C1400" s="662">
        <f>C1384</f>
        <v>0</v>
      </c>
      <c r="D1400" s="662">
        <f t="shared" ref="D1400:L1400" si="3034">D1384</f>
        <v>0</v>
      </c>
      <c r="E1400" s="662">
        <f t="shared" si="3034"/>
        <v>0</v>
      </c>
      <c r="F1400" s="662">
        <f t="shared" si="3034"/>
        <v>0</v>
      </c>
      <c r="G1400" s="662">
        <f t="shared" si="3034"/>
        <v>0</v>
      </c>
      <c r="H1400" s="662">
        <f t="shared" si="3034"/>
        <v>0</v>
      </c>
      <c r="I1400" s="662">
        <f t="shared" si="3034"/>
        <v>0</v>
      </c>
      <c r="J1400" s="662">
        <f t="shared" si="3034"/>
        <v>0</v>
      </c>
      <c r="K1400" s="662">
        <f t="shared" si="3034"/>
        <v>0</v>
      </c>
      <c r="L1400" s="662">
        <f t="shared" si="3034"/>
        <v>0</v>
      </c>
      <c r="U1400" s="663"/>
      <c r="Z1400" s="663"/>
      <c r="AA1400" s="663"/>
      <c r="AB1400" s="663"/>
      <c r="AC1400" s="663"/>
      <c r="AD1400" s="663"/>
      <c r="AE1400" s="663"/>
      <c r="AF1400" s="663"/>
      <c r="AG1400" s="663"/>
      <c r="AH1400" s="663"/>
      <c r="AI1400" s="663"/>
      <c r="AJ1400" s="663"/>
      <c r="AK1400" s="663"/>
      <c r="AL1400" s="663"/>
      <c r="AM1400" s="663"/>
      <c r="AN1400" s="663"/>
    </row>
    <row r="1401" spans="2:40" ht="14.45" hidden="1" customHeight="1" x14ac:dyDescent="0.25">
      <c r="B1401" s="936">
        <f t="shared" ref="B1401:L1401" si="3035">B1385</f>
        <v>39478</v>
      </c>
      <c r="C1401" s="662">
        <f t="shared" si="3035"/>
        <v>0</v>
      </c>
      <c r="D1401" s="662">
        <f t="shared" si="3035"/>
        <v>0</v>
      </c>
      <c r="E1401" s="662">
        <f t="shared" si="3035"/>
        <v>0</v>
      </c>
      <c r="F1401" s="662">
        <f t="shared" si="3035"/>
        <v>0</v>
      </c>
      <c r="G1401" s="662">
        <f t="shared" si="3035"/>
        <v>0</v>
      </c>
      <c r="H1401" s="662">
        <f t="shared" si="3035"/>
        <v>0</v>
      </c>
      <c r="I1401" s="662">
        <f t="shared" si="3035"/>
        <v>0</v>
      </c>
      <c r="J1401" s="662">
        <f t="shared" si="3035"/>
        <v>0</v>
      </c>
      <c r="K1401" s="662">
        <f t="shared" si="3035"/>
        <v>0</v>
      </c>
      <c r="L1401" s="662">
        <f t="shared" si="3035"/>
        <v>0</v>
      </c>
      <c r="U1401" s="663"/>
      <c r="Z1401" s="663"/>
      <c r="AA1401" s="663"/>
      <c r="AB1401" s="663"/>
      <c r="AC1401" s="663"/>
      <c r="AD1401" s="663"/>
      <c r="AE1401" s="663"/>
      <c r="AF1401" s="663"/>
      <c r="AG1401" s="663"/>
      <c r="AH1401" s="663"/>
      <c r="AI1401" s="663"/>
      <c r="AJ1401" s="663"/>
      <c r="AK1401" s="663"/>
      <c r="AL1401" s="663"/>
      <c r="AM1401" s="663"/>
      <c r="AN1401" s="663"/>
    </row>
    <row r="1402" spans="2:40" ht="14.45" hidden="1" customHeight="1" x14ac:dyDescent="0.25">
      <c r="B1402" s="936">
        <f t="shared" ref="B1402:L1402" si="3036">B1386</f>
        <v>39843</v>
      </c>
      <c r="C1402" s="662">
        <f t="shared" si="3036"/>
        <v>-2500000</v>
      </c>
      <c r="D1402" s="662">
        <f t="shared" si="3036"/>
        <v>-2500000</v>
      </c>
      <c r="E1402" s="662">
        <f t="shared" si="3036"/>
        <v>-2500000</v>
      </c>
      <c r="F1402" s="662">
        <f t="shared" si="3036"/>
        <v>-2500000</v>
      </c>
      <c r="G1402" s="662">
        <f t="shared" si="3036"/>
        <v>-2500000</v>
      </c>
      <c r="H1402" s="662">
        <f t="shared" si="3036"/>
        <v>-2500000</v>
      </c>
      <c r="I1402" s="662">
        <f t="shared" si="3036"/>
        <v>-2500000</v>
      </c>
      <c r="J1402" s="662">
        <f t="shared" si="3036"/>
        <v>-2500000</v>
      </c>
      <c r="K1402" s="662">
        <f t="shared" si="3036"/>
        <v>-2500000</v>
      </c>
      <c r="L1402" s="662">
        <f t="shared" si="3036"/>
        <v>-2500000</v>
      </c>
      <c r="U1402" s="663"/>
      <c r="Z1402" s="663"/>
      <c r="AA1402" s="663"/>
      <c r="AB1402" s="663"/>
      <c r="AC1402" s="663"/>
      <c r="AD1402" s="663"/>
      <c r="AE1402" s="663"/>
      <c r="AF1402" s="663"/>
      <c r="AG1402" s="663"/>
      <c r="AH1402" s="663"/>
      <c r="AI1402" s="663"/>
      <c r="AJ1402" s="663"/>
      <c r="AK1402" s="663"/>
      <c r="AL1402" s="663"/>
      <c r="AM1402" s="663"/>
      <c r="AN1402" s="663"/>
    </row>
    <row r="1403" spans="2:40" ht="14.45" hidden="1" customHeight="1" x14ac:dyDescent="0.25">
      <c r="B1403" s="936">
        <f t="shared" ref="B1403:L1403" si="3037">B1387</f>
        <v>39843</v>
      </c>
      <c r="C1403" s="662">
        <f t="shared" si="3037"/>
        <v>-6666666.666666667</v>
      </c>
      <c r="D1403" s="662">
        <f t="shared" si="3037"/>
        <v>-6666666.666666667</v>
      </c>
      <c r="E1403" s="662">
        <f t="shared" si="3037"/>
        <v>-6666666.666666667</v>
      </c>
      <c r="F1403" s="662">
        <f t="shared" si="3037"/>
        <v>-6666666.666666667</v>
      </c>
      <c r="G1403" s="662">
        <f t="shared" si="3037"/>
        <v>-6666666.666666667</v>
      </c>
      <c r="H1403" s="662">
        <f t="shared" si="3037"/>
        <v>-6666666.666666667</v>
      </c>
      <c r="I1403" s="662">
        <f t="shared" si="3037"/>
        <v>-6666666.666666667</v>
      </c>
      <c r="J1403" s="662">
        <f t="shared" si="3037"/>
        <v>-6666666.666666667</v>
      </c>
      <c r="K1403" s="662">
        <f t="shared" si="3037"/>
        <v>-6666666.666666667</v>
      </c>
      <c r="L1403" s="662">
        <f t="shared" si="3037"/>
        <v>-6666666.666666667</v>
      </c>
      <c r="U1403" s="663"/>
      <c r="Z1403" s="663"/>
      <c r="AA1403" s="663"/>
      <c r="AB1403" s="663"/>
      <c r="AC1403" s="663"/>
      <c r="AD1403" s="663"/>
      <c r="AE1403" s="663"/>
      <c r="AF1403" s="663"/>
      <c r="AG1403" s="663"/>
      <c r="AH1403" s="663"/>
      <c r="AI1403" s="663"/>
      <c r="AJ1403" s="663"/>
      <c r="AK1403" s="663"/>
      <c r="AL1403" s="663"/>
      <c r="AM1403" s="663"/>
      <c r="AN1403" s="663"/>
    </row>
    <row r="1404" spans="2:40" ht="14.45" hidden="1" customHeight="1" x14ac:dyDescent="0.25">
      <c r="B1404" s="936">
        <f t="shared" ref="B1404:L1404" si="3038">B1388</f>
        <v>39843</v>
      </c>
      <c r="C1404" s="662">
        <f t="shared" si="3038"/>
        <v>0</v>
      </c>
      <c r="D1404" s="662">
        <f t="shared" si="3038"/>
        <v>0</v>
      </c>
      <c r="E1404" s="662">
        <f t="shared" si="3038"/>
        <v>0</v>
      </c>
      <c r="F1404" s="662">
        <f t="shared" si="3038"/>
        <v>0</v>
      </c>
      <c r="G1404" s="662">
        <f t="shared" si="3038"/>
        <v>0</v>
      </c>
      <c r="H1404" s="662">
        <f t="shared" si="3038"/>
        <v>0</v>
      </c>
      <c r="I1404" s="662">
        <f t="shared" si="3038"/>
        <v>0</v>
      </c>
      <c r="J1404" s="662">
        <f t="shared" si="3038"/>
        <v>0</v>
      </c>
      <c r="K1404" s="662">
        <f t="shared" si="3038"/>
        <v>0</v>
      </c>
      <c r="L1404" s="662">
        <f t="shared" si="3038"/>
        <v>0</v>
      </c>
      <c r="U1404" s="663"/>
      <c r="Z1404" s="663"/>
      <c r="AA1404" s="663"/>
      <c r="AB1404" s="663"/>
      <c r="AC1404" s="663"/>
      <c r="AD1404" s="663"/>
      <c r="AE1404" s="663"/>
      <c r="AF1404" s="663"/>
      <c r="AG1404" s="663"/>
      <c r="AH1404" s="663"/>
      <c r="AI1404" s="663"/>
      <c r="AJ1404" s="663"/>
      <c r="AK1404" s="663"/>
      <c r="AL1404" s="663"/>
      <c r="AM1404" s="663"/>
      <c r="AN1404" s="663"/>
    </row>
    <row r="1405" spans="2:40" ht="14.45" hidden="1" customHeight="1" x14ac:dyDescent="0.25">
      <c r="B1405" s="936">
        <f t="shared" ref="B1405:L1405" si="3039">B1389</f>
        <v>39843</v>
      </c>
      <c r="C1405" s="662">
        <f t="shared" si="3039"/>
        <v>0</v>
      </c>
      <c r="D1405" s="662">
        <f t="shared" si="3039"/>
        <v>0</v>
      </c>
      <c r="E1405" s="662">
        <f t="shared" si="3039"/>
        <v>0</v>
      </c>
      <c r="F1405" s="662">
        <f t="shared" si="3039"/>
        <v>0</v>
      </c>
      <c r="G1405" s="662">
        <f t="shared" si="3039"/>
        <v>0</v>
      </c>
      <c r="H1405" s="662">
        <f t="shared" si="3039"/>
        <v>0</v>
      </c>
      <c r="I1405" s="662">
        <f t="shared" si="3039"/>
        <v>0</v>
      </c>
      <c r="J1405" s="662">
        <f t="shared" si="3039"/>
        <v>0</v>
      </c>
      <c r="K1405" s="662">
        <f t="shared" si="3039"/>
        <v>0</v>
      </c>
      <c r="L1405" s="662">
        <f t="shared" si="3039"/>
        <v>0</v>
      </c>
      <c r="U1405" s="663"/>
      <c r="Z1405" s="663"/>
      <c r="AA1405" s="663"/>
      <c r="AB1405" s="663"/>
      <c r="AC1405" s="663"/>
      <c r="AD1405" s="663"/>
      <c r="AE1405" s="663"/>
      <c r="AF1405" s="663"/>
      <c r="AG1405" s="663"/>
      <c r="AH1405" s="663"/>
      <c r="AI1405" s="663"/>
      <c r="AJ1405" s="663"/>
      <c r="AK1405" s="663"/>
      <c r="AL1405" s="663"/>
      <c r="AM1405" s="663"/>
      <c r="AN1405" s="663"/>
    </row>
    <row r="1406" spans="2:40" ht="14.45" hidden="1" customHeight="1" x14ac:dyDescent="0.25">
      <c r="B1406" s="936">
        <f t="shared" ref="B1406:L1406" si="3040">B1390</f>
        <v>39843</v>
      </c>
      <c r="C1406" s="662">
        <f t="shared" si="3040"/>
        <v>0</v>
      </c>
      <c r="D1406" s="662">
        <f t="shared" si="3040"/>
        <v>0</v>
      </c>
      <c r="E1406" s="662">
        <f t="shared" si="3040"/>
        <v>0</v>
      </c>
      <c r="F1406" s="662">
        <f t="shared" si="3040"/>
        <v>0</v>
      </c>
      <c r="G1406" s="662">
        <f t="shared" si="3040"/>
        <v>0</v>
      </c>
      <c r="H1406" s="662">
        <f t="shared" si="3040"/>
        <v>0</v>
      </c>
      <c r="I1406" s="662">
        <f t="shared" si="3040"/>
        <v>0</v>
      </c>
      <c r="J1406" s="662">
        <f t="shared" si="3040"/>
        <v>0</v>
      </c>
      <c r="K1406" s="662">
        <f t="shared" si="3040"/>
        <v>0</v>
      </c>
      <c r="L1406" s="662">
        <f t="shared" si="3040"/>
        <v>0</v>
      </c>
      <c r="U1406" s="663"/>
      <c r="Z1406" s="663"/>
      <c r="AA1406" s="663"/>
      <c r="AB1406" s="663"/>
      <c r="AC1406" s="663"/>
      <c r="AD1406" s="663"/>
      <c r="AE1406" s="663"/>
      <c r="AF1406" s="663"/>
      <c r="AG1406" s="663"/>
      <c r="AH1406" s="663"/>
      <c r="AI1406" s="663"/>
      <c r="AJ1406" s="663"/>
      <c r="AK1406" s="663"/>
      <c r="AL1406" s="663"/>
      <c r="AM1406" s="663"/>
      <c r="AN1406" s="663"/>
    </row>
    <row r="1407" spans="2:40" ht="14.45" hidden="1" customHeight="1" x14ac:dyDescent="0.25">
      <c r="B1407" s="936">
        <f t="shared" ref="B1407:L1407" si="3041">B1391</f>
        <v>39843</v>
      </c>
      <c r="C1407" s="662">
        <f t="shared" si="3041"/>
        <v>0</v>
      </c>
      <c r="D1407" s="662">
        <f t="shared" si="3041"/>
        <v>0</v>
      </c>
      <c r="E1407" s="662">
        <f t="shared" si="3041"/>
        <v>0</v>
      </c>
      <c r="F1407" s="662">
        <f t="shared" si="3041"/>
        <v>0</v>
      </c>
      <c r="G1407" s="662">
        <f t="shared" si="3041"/>
        <v>0</v>
      </c>
      <c r="H1407" s="662">
        <f t="shared" si="3041"/>
        <v>0</v>
      </c>
      <c r="I1407" s="662">
        <f t="shared" si="3041"/>
        <v>0</v>
      </c>
      <c r="J1407" s="662">
        <f t="shared" si="3041"/>
        <v>0</v>
      </c>
      <c r="K1407" s="662">
        <f t="shared" si="3041"/>
        <v>0</v>
      </c>
      <c r="L1407" s="662">
        <f t="shared" si="3041"/>
        <v>0</v>
      </c>
      <c r="U1407" s="663"/>
      <c r="Z1407" s="663"/>
      <c r="AA1407" s="663"/>
      <c r="AB1407" s="663"/>
      <c r="AC1407" s="663"/>
      <c r="AD1407" s="663"/>
      <c r="AE1407" s="663"/>
      <c r="AF1407" s="663"/>
      <c r="AG1407" s="663"/>
      <c r="AH1407" s="663"/>
      <c r="AI1407" s="663"/>
      <c r="AJ1407" s="663"/>
      <c r="AK1407" s="663"/>
      <c r="AL1407" s="663"/>
      <c r="AM1407" s="663"/>
      <c r="AN1407" s="663"/>
    </row>
    <row r="1408" spans="2:40" ht="14.45" hidden="1" customHeight="1" x14ac:dyDescent="0.25">
      <c r="B1408" s="936">
        <f t="shared" ref="B1408:L1408" si="3042">B1392</f>
        <v>39843</v>
      </c>
      <c r="C1408" s="662">
        <f t="shared" si="3042"/>
        <v>0</v>
      </c>
      <c r="D1408" s="662">
        <f t="shared" si="3042"/>
        <v>0</v>
      </c>
      <c r="E1408" s="662">
        <f t="shared" si="3042"/>
        <v>0</v>
      </c>
      <c r="F1408" s="662">
        <f t="shared" si="3042"/>
        <v>0</v>
      </c>
      <c r="G1408" s="662">
        <f t="shared" si="3042"/>
        <v>0</v>
      </c>
      <c r="H1408" s="662">
        <f t="shared" si="3042"/>
        <v>0</v>
      </c>
      <c r="I1408" s="662">
        <f t="shared" si="3042"/>
        <v>0</v>
      </c>
      <c r="J1408" s="662">
        <f t="shared" si="3042"/>
        <v>0</v>
      </c>
      <c r="K1408" s="662">
        <f t="shared" si="3042"/>
        <v>0</v>
      </c>
      <c r="L1408" s="662">
        <f t="shared" si="3042"/>
        <v>0</v>
      </c>
      <c r="U1408" s="663"/>
      <c r="Z1408" s="663"/>
      <c r="AA1408" s="663"/>
      <c r="AB1408" s="663"/>
      <c r="AC1408" s="663"/>
      <c r="AD1408" s="663"/>
      <c r="AE1408" s="663"/>
      <c r="AF1408" s="663"/>
      <c r="AG1408" s="663"/>
      <c r="AH1408" s="663"/>
      <c r="AI1408" s="663"/>
      <c r="AJ1408" s="663"/>
      <c r="AK1408" s="663"/>
      <c r="AL1408" s="663"/>
      <c r="AM1408" s="663"/>
      <c r="AN1408" s="663"/>
    </row>
    <row r="1409" spans="2:40" ht="14.45" hidden="1" customHeight="1" x14ac:dyDescent="0.25">
      <c r="B1409" s="936">
        <f t="shared" ref="B1409:L1409" si="3043">B1393</f>
        <v>39843</v>
      </c>
      <c r="C1409" s="662">
        <f t="shared" si="3043"/>
        <v>0</v>
      </c>
      <c r="D1409" s="662">
        <f t="shared" si="3043"/>
        <v>0</v>
      </c>
      <c r="E1409" s="662">
        <f t="shared" si="3043"/>
        <v>0</v>
      </c>
      <c r="F1409" s="662">
        <f t="shared" si="3043"/>
        <v>0</v>
      </c>
      <c r="G1409" s="662">
        <f t="shared" si="3043"/>
        <v>0</v>
      </c>
      <c r="H1409" s="662">
        <f t="shared" si="3043"/>
        <v>0</v>
      </c>
      <c r="I1409" s="662">
        <f t="shared" si="3043"/>
        <v>0</v>
      </c>
      <c r="J1409" s="662">
        <f t="shared" si="3043"/>
        <v>0</v>
      </c>
      <c r="K1409" s="662">
        <f t="shared" si="3043"/>
        <v>0</v>
      </c>
      <c r="L1409" s="662">
        <f t="shared" si="3043"/>
        <v>0</v>
      </c>
      <c r="U1409" s="663"/>
      <c r="Z1409" s="663"/>
      <c r="AA1409" s="663"/>
      <c r="AB1409" s="663"/>
      <c r="AC1409" s="663"/>
      <c r="AD1409" s="663"/>
      <c r="AE1409" s="663"/>
      <c r="AF1409" s="663"/>
      <c r="AG1409" s="663"/>
      <c r="AH1409" s="663"/>
      <c r="AI1409" s="663"/>
      <c r="AJ1409" s="663"/>
      <c r="AK1409" s="663"/>
      <c r="AL1409" s="663"/>
      <c r="AM1409" s="663"/>
      <c r="AN1409" s="663"/>
    </row>
    <row r="1410" spans="2:40" ht="14.45" hidden="1" customHeight="1" x14ac:dyDescent="0.25">
      <c r="B1410" s="936">
        <f>B1344</f>
        <v>41719</v>
      </c>
      <c r="C1410" s="662">
        <f t="shared" ref="C1410:L1410" si="3044">C1394</f>
        <v>4078815.2610441777</v>
      </c>
      <c r="D1410" s="662">
        <f t="shared" si="3044"/>
        <v>6118222.8915662663</v>
      </c>
      <c r="E1410" s="662">
        <f t="shared" si="3044"/>
        <v>8157630.5220883554</v>
      </c>
      <c r="F1410" s="662">
        <f t="shared" si="3044"/>
        <v>10197038.152610444</v>
      </c>
      <c r="G1410" s="662">
        <f t="shared" si="3044"/>
        <v>12236445.783132533</v>
      </c>
      <c r="H1410" s="662">
        <f t="shared" si="3044"/>
        <v>14275853.413654622</v>
      </c>
      <c r="I1410" s="662">
        <f t="shared" si="3044"/>
        <v>16315261.044176711</v>
      </c>
      <c r="J1410" s="662">
        <f t="shared" si="3044"/>
        <v>18354668.6746988</v>
      </c>
      <c r="K1410" s="662">
        <f t="shared" si="3044"/>
        <v>20394076.305220887</v>
      </c>
      <c r="L1410" s="662">
        <f t="shared" si="3044"/>
        <v>22433483.935742974</v>
      </c>
      <c r="U1410" s="663"/>
      <c r="Z1410" s="663"/>
      <c r="AA1410" s="663"/>
      <c r="AB1410" s="663"/>
      <c r="AC1410" s="663"/>
      <c r="AD1410" s="663"/>
      <c r="AE1410" s="663"/>
      <c r="AF1410" s="663"/>
      <c r="AG1410" s="663"/>
      <c r="AH1410" s="663"/>
      <c r="AI1410" s="663"/>
      <c r="AJ1410" s="663"/>
      <c r="AK1410" s="663"/>
      <c r="AL1410" s="663"/>
      <c r="AM1410" s="663"/>
      <c r="AN1410" s="663"/>
    </row>
    <row r="1411" spans="2:40" ht="14.45" hidden="1" customHeight="1" x14ac:dyDescent="0.25">
      <c r="C1411" s="882" t="str">
        <f ca="1">IF(ISERROR(XIRR(INDIRECT(C1413):C1410,INDIRECT($B1413):$B1410,-20%)),XIRR(INDIRECT(C1413):C1410,INDIRECT($B1413):$B1410,20%),"N/A")</f>
        <v>N/A</v>
      </c>
      <c r="D1411" s="882" t="str">
        <f ca="1">IF(ISERROR(XIRR(INDIRECT(D1413):D1410,INDIRECT($B1413):$B1410,-20%)),XIRR(INDIRECT(D1413):D1410,INDIRECT($B1413):$B1410,20%),"N/A")</f>
        <v>N/A</v>
      </c>
      <c r="E1411" s="882" t="str">
        <f ca="1">IF(ISERROR(XIRR(INDIRECT(E1413):E1410,INDIRECT($B1413):$B1410,-20%)),XIRR(INDIRECT(E1413):E1410,INDIRECT($B1413):$B1410,20%),"N/A")</f>
        <v>N/A</v>
      </c>
      <c r="F1411" s="882">
        <f ca="1">IF(ISERROR(XIRR(INDIRECT(F1413):F1410,INDIRECT($B1413):$B1410,-20%)),XIRR(INDIRECT(F1413):F1410,INDIRECT($B1413):$B1410,20%),"N/A")</f>
        <v>2.0941802859306333E-2</v>
      </c>
      <c r="G1411" s="882">
        <f ca="1">IF(ISERROR(XIRR(INDIRECT(G1413):G1410,INDIRECT($B1413):$B1410,-20%)),XIRR(INDIRECT(G1413):G1410,INDIRECT($B1413):$B1410,20%),"N/A")</f>
        <v>5.780768692493439E-2</v>
      </c>
      <c r="H1411" s="882">
        <f ca="1">IF(ISERROR(XIRR(INDIRECT(H1413):H1410,INDIRECT($B1413):$B1410,-20%)),XIRR(INDIRECT(H1413):H1410,INDIRECT($B1413):$B1410,20%),"N/A")</f>
        <v>9.0014013648033145E-2</v>
      </c>
      <c r="I1411" s="882">
        <f ca="1">IF(ISERROR(XIRR(INDIRECT(I1413):I1410,INDIRECT($B1413):$B1410,-20%)),XIRR(INDIRECT(I1413):I1410,INDIRECT($B1413):$B1410,20%),"N/A")</f>
        <v>0.1187039315700531</v>
      </c>
      <c r="J1411" s="882">
        <f ca="1">IF(ISERROR(XIRR(INDIRECT(J1413):J1410,INDIRECT($B1413):$B1410,-20%)),XIRR(INDIRECT(J1413):J1410,INDIRECT($B1413):$B1410,20%),"N/A")</f>
        <v>0.14463638663291931</v>
      </c>
      <c r="K1411" s="882">
        <f ca="1">IF(ISERROR(XIRR(INDIRECT(K1413):K1410,INDIRECT($B1413):$B1410,-20%)),XIRR(INDIRECT(K1413):K1410,INDIRECT($B1413):$B1410,20%),"N/A")</f>
        <v>0.16834271550178528</v>
      </c>
      <c r="L1411" s="882">
        <f ca="1">IF(ISERROR(XIRR(INDIRECT(L1413):L1410,INDIRECT($B1413):$B1410,-20%)),XIRR(INDIRECT(L1413):L1410,INDIRECT($B1413):$B1410,20%),"N/A")</f>
        <v>0.19021038413047789</v>
      </c>
      <c r="U1411" s="663"/>
      <c r="Z1411" s="663"/>
      <c r="AA1411" s="663"/>
      <c r="AB1411" s="663"/>
      <c r="AC1411" s="663"/>
      <c r="AD1411" s="663"/>
      <c r="AE1411" s="663"/>
      <c r="AF1411" s="663"/>
      <c r="AG1411" s="663"/>
      <c r="AH1411" s="663"/>
      <c r="AI1411" s="663"/>
      <c r="AJ1411" s="663"/>
      <c r="AK1411" s="663"/>
      <c r="AL1411" s="663"/>
      <c r="AM1411" s="663"/>
      <c r="AN1411" s="663"/>
    </row>
    <row r="1412" spans="2:40" ht="14.45" hidden="1" customHeight="1" x14ac:dyDescent="0.25">
      <c r="B1412" s="898">
        <f>IF(C1400&lt;&gt;0,ROW(C1400),IF(C1401&lt;&gt;0,ROW(C1401),IF(C1402&lt;&gt;0,ROW(C1402),IF(C1403&lt;&gt;0,ROW(C1403),IF(C1404&lt;&gt;0,ROW(C1404),IF(C1405&lt;&gt;0,ROW(C1405),IF(C1406&lt;&gt;0,ROW(C1406),IF(C1407&lt;&gt;0,ROW(C1407),IF(C1408&lt;&gt;0,ROW(C1408),IF(C1409&lt;&gt;0,ROW(C1409)))))))))))</f>
        <v>1402</v>
      </c>
      <c r="C1412" s="882"/>
      <c r="U1412" s="663"/>
      <c r="Z1412" s="663"/>
      <c r="AA1412" s="663"/>
      <c r="AB1412" s="663"/>
      <c r="AC1412" s="663"/>
      <c r="AD1412" s="663"/>
      <c r="AE1412" s="663"/>
      <c r="AF1412" s="663"/>
      <c r="AG1412" s="663"/>
      <c r="AH1412" s="663"/>
      <c r="AI1412" s="663"/>
      <c r="AJ1412" s="663"/>
      <c r="AK1412" s="663"/>
      <c r="AL1412" s="663"/>
      <c r="AM1412" s="663"/>
      <c r="AN1412" s="663"/>
    </row>
    <row r="1413" spans="2:40" ht="14.45" hidden="1" customHeight="1" x14ac:dyDescent="0.25">
      <c r="B1413" s="899" t="str">
        <f>CONCATENATE(IF(COLUMN(B1412)&lt;=26,CHAR(96+COLUMN(B1412)),(CHAR(96+(ROUNDDOWN((COLUMN(B1412)-1)/26,0)))&amp;CHAR(96+IF(MOD(COLUMN(B1412),26)=0,26,MOD(COLUMN(B1412),26))))),B1412)</f>
        <v>b1402</v>
      </c>
      <c r="C1413" s="899" t="str">
        <f>CONCATENATE(IF(COLUMN(C1411)&lt;=26,CHAR(96+COLUMN(C1411)),(CHAR(96+(ROUNDDOWN((COLUMN(C1411)-1)/26,0)))&amp;CHAR(96+IF(MOD(COLUMN(C1411),26)=0,26,MOD(COLUMN(C1411),26))))),$B1412)</f>
        <v>c1402</v>
      </c>
      <c r="D1413" s="899" t="str">
        <f t="shared" ref="D1413" si="3045">CONCATENATE(IF(COLUMN(D1411)&lt;=26,CHAR(96+COLUMN(D1411)),(CHAR(96+(ROUNDDOWN((COLUMN(D1411)-1)/26,0)))&amp;CHAR(96+IF(MOD(COLUMN(D1411),26)=0,26,MOD(COLUMN(D1411),26))))),$B1412)</f>
        <v>d1402</v>
      </c>
      <c r="E1413" s="899" t="str">
        <f t="shared" ref="E1413" si="3046">CONCATENATE(IF(COLUMN(E1411)&lt;=26,CHAR(96+COLUMN(E1411)),(CHAR(96+(ROUNDDOWN((COLUMN(E1411)-1)/26,0)))&amp;CHAR(96+IF(MOD(COLUMN(E1411),26)=0,26,MOD(COLUMN(E1411),26))))),$B1412)</f>
        <v>e1402</v>
      </c>
      <c r="F1413" s="899" t="str">
        <f t="shared" ref="F1413" si="3047">CONCATENATE(IF(COLUMN(F1411)&lt;=26,CHAR(96+COLUMN(F1411)),(CHAR(96+(ROUNDDOWN((COLUMN(F1411)-1)/26,0)))&amp;CHAR(96+IF(MOD(COLUMN(F1411),26)=0,26,MOD(COLUMN(F1411),26))))),$B1412)</f>
        <v>f1402</v>
      </c>
      <c r="G1413" s="899" t="str">
        <f t="shared" ref="G1413" si="3048">CONCATENATE(IF(COLUMN(G1411)&lt;=26,CHAR(96+COLUMN(G1411)),(CHAR(96+(ROUNDDOWN((COLUMN(G1411)-1)/26,0)))&amp;CHAR(96+IF(MOD(COLUMN(G1411),26)=0,26,MOD(COLUMN(G1411),26))))),$B1412)</f>
        <v>g1402</v>
      </c>
      <c r="H1413" s="899" t="str">
        <f t="shared" ref="H1413" si="3049">CONCATENATE(IF(COLUMN(H1411)&lt;=26,CHAR(96+COLUMN(H1411)),(CHAR(96+(ROUNDDOWN((COLUMN(H1411)-1)/26,0)))&amp;CHAR(96+IF(MOD(COLUMN(H1411),26)=0,26,MOD(COLUMN(H1411),26))))),$B1412)</f>
        <v>h1402</v>
      </c>
      <c r="I1413" s="899" t="str">
        <f t="shared" ref="I1413" si="3050">CONCATENATE(IF(COLUMN(I1411)&lt;=26,CHAR(96+COLUMN(I1411)),(CHAR(96+(ROUNDDOWN((COLUMN(I1411)-1)/26,0)))&amp;CHAR(96+IF(MOD(COLUMN(I1411),26)=0,26,MOD(COLUMN(I1411),26))))),$B1412)</f>
        <v>i1402</v>
      </c>
      <c r="J1413" s="899" t="str">
        <f t="shared" ref="J1413" si="3051">CONCATENATE(IF(COLUMN(J1411)&lt;=26,CHAR(96+COLUMN(J1411)),(CHAR(96+(ROUNDDOWN((COLUMN(J1411)-1)/26,0)))&amp;CHAR(96+IF(MOD(COLUMN(J1411),26)=0,26,MOD(COLUMN(J1411),26))))),$B1412)</f>
        <v>j1402</v>
      </c>
      <c r="K1413" s="899" t="str">
        <f t="shared" ref="K1413" si="3052">CONCATENATE(IF(COLUMN(K1411)&lt;=26,CHAR(96+COLUMN(K1411)),(CHAR(96+(ROUNDDOWN((COLUMN(K1411)-1)/26,0)))&amp;CHAR(96+IF(MOD(COLUMN(K1411),26)=0,26,MOD(COLUMN(K1411),26))))),$B1412)</f>
        <v>k1402</v>
      </c>
      <c r="L1413" s="899" t="str">
        <f t="shared" ref="L1413" si="3053">CONCATENATE(IF(COLUMN(L1411)&lt;=26,CHAR(96+COLUMN(L1411)),(CHAR(96+(ROUNDDOWN((COLUMN(L1411)-1)/26,0)))&amp;CHAR(96+IF(MOD(COLUMN(L1411),26)=0,26,MOD(COLUMN(L1411),26))))),$B1412)</f>
        <v>l1402</v>
      </c>
      <c r="U1413" s="663"/>
      <c r="Z1413" s="663"/>
      <c r="AA1413" s="663"/>
      <c r="AB1413" s="663"/>
      <c r="AC1413" s="663"/>
      <c r="AD1413" s="663"/>
      <c r="AE1413" s="663"/>
      <c r="AF1413" s="663"/>
      <c r="AG1413" s="663"/>
      <c r="AH1413" s="663"/>
      <c r="AI1413" s="663"/>
      <c r="AJ1413" s="663"/>
      <c r="AK1413" s="663"/>
      <c r="AL1413" s="663"/>
      <c r="AM1413" s="663"/>
      <c r="AN1413" s="663"/>
    </row>
    <row r="1414" spans="2:40" ht="14.45" hidden="1" customHeight="1" x14ac:dyDescent="0.25">
      <c r="B1414" s="661"/>
      <c r="C1414" s="662"/>
      <c r="U1414" s="663"/>
      <c r="Z1414" s="663"/>
      <c r="AA1414" s="663"/>
      <c r="AB1414" s="663"/>
      <c r="AC1414" s="663"/>
      <c r="AD1414" s="663"/>
      <c r="AE1414" s="663"/>
      <c r="AF1414" s="663"/>
      <c r="AG1414" s="663"/>
      <c r="AH1414" s="663"/>
      <c r="AI1414" s="663"/>
      <c r="AJ1414" s="663"/>
      <c r="AK1414" s="663"/>
      <c r="AL1414" s="663"/>
      <c r="AM1414" s="663"/>
      <c r="AN1414" s="663"/>
    </row>
    <row r="1415" spans="2:40" ht="14.45" hidden="1" customHeight="1" x14ac:dyDescent="0.25">
      <c r="B1415" s="661"/>
      <c r="C1415" s="662"/>
      <c r="U1415" s="663"/>
      <c r="Z1415" s="663"/>
      <c r="AA1415" s="663"/>
      <c r="AB1415" s="663"/>
      <c r="AC1415" s="663"/>
      <c r="AD1415" s="663"/>
      <c r="AE1415" s="663"/>
      <c r="AF1415" s="663"/>
      <c r="AG1415" s="663"/>
      <c r="AH1415" s="663"/>
      <c r="AI1415" s="663"/>
      <c r="AJ1415" s="663"/>
      <c r="AK1415" s="663"/>
      <c r="AL1415" s="663"/>
      <c r="AM1415" s="663"/>
      <c r="AN1415" s="663"/>
    </row>
    <row r="1416" spans="2:40" ht="14.45" hidden="1" customHeight="1" x14ac:dyDescent="0.25">
      <c r="B1416" s="661"/>
      <c r="C1416" s="662"/>
      <c r="U1416" s="663"/>
      <c r="Z1416" s="663"/>
      <c r="AA1416" s="663"/>
      <c r="AB1416" s="663"/>
      <c r="AC1416" s="663"/>
      <c r="AD1416" s="663"/>
      <c r="AE1416" s="663"/>
      <c r="AF1416" s="663"/>
      <c r="AG1416" s="663"/>
      <c r="AH1416" s="663"/>
      <c r="AI1416" s="663"/>
      <c r="AJ1416" s="663"/>
      <c r="AK1416" s="663"/>
      <c r="AL1416" s="663"/>
      <c r="AM1416" s="663"/>
      <c r="AN1416" s="663"/>
    </row>
    <row r="1417" spans="2:40" ht="14.45" hidden="1" customHeight="1" x14ac:dyDescent="0.25">
      <c r="B1417" s="661" t="str">
        <f>B1727</f>
        <v>Inv H Gross Return Analysis</v>
      </c>
      <c r="C1417" s="662"/>
      <c r="U1417" s="663"/>
      <c r="Z1417" s="663"/>
      <c r="AA1417" s="663"/>
      <c r="AB1417" s="663"/>
      <c r="AC1417" s="663"/>
      <c r="AD1417" s="663"/>
      <c r="AE1417" s="663"/>
      <c r="AF1417" s="663"/>
      <c r="AG1417" s="663"/>
      <c r="AH1417" s="663"/>
      <c r="AI1417" s="663"/>
      <c r="AJ1417" s="663"/>
      <c r="AK1417" s="663"/>
      <c r="AL1417" s="663"/>
      <c r="AM1417" s="663"/>
      <c r="AN1417" s="663"/>
    </row>
    <row r="1418" spans="2:40" ht="14.45" hidden="1" customHeight="1" x14ac:dyDescent="0.25">
      <c r="B1418" s="936">
        <f>B1352</f>
        <v>39113</v>
      </c>
      <c r="C1418" s="662">
        <f>C677</f>
        <v>0</v>
      </c>
      <c r="D1418" s="662">
        <f>C1418</f>
        <v>0</v>
      </c>
      <c r="E1418" s="662">
        <f t="shared" ref="E1418:L1418" si="3054">D1418</f>
        <v>0</v>
      </c>
      <c r="F1418" s="662">
        <f t="shared" si="3054"/>
        <v>0</v>
      </c>
      <c r="G1418" s="662">
        <f t="shared" si="3054"/>
        <v>0</v>
      </c>
      <c r="H1418" s="662">
        <f t="shared" si="3054"/>
        <v>0</v>
      </c>
      <c r="I1418" s="662">
        <f t="shared" si="3054"/>
        <v>0</v>
      </c>
      <c r="J1418" s="662">
        <f t="shared" si="3054"/>
        <v>0</v>
      </c>
      <c r="K1418" s="662">
        <f t="shared" si="3054"/>
        <v>0</v>
      </c>
      <c r="L1418" s="662">
        <f t="shared" si="3054"/>
        <v>0</v>
      </c>
      <c r="U1418" s="663"/>
      <c r="Z1418" s="663"/>
      <c r="AA1418" s="663"/>
      <c r="AB1418" s="663"/>
      <c r="AC1418" s="663"/>
      <c r="AD1418" s="663"/>
      <c r="AE1418" s="663"/>
      <c r="AF1418" s="663"/>
      <c r="AG1418" s="663"/>
      <c r="AH1418" s="663"/>
      <c r="AI1418" s="663"/>
      <c r="AJ1418" s="663"/>
      <c r="AK1418" s="663"/>
      <c r="AL1418" s="663"/>
      <c r="AM1418" s="663"/>
      <c r="AN1418" s="663"/>
    </row>
    <row r="1419" spans="2:40" ht="14.45" hidden="1" customHeight="1" x14ac:dyDescent="0.25">
      <c r="B1419" s="936">
        <f t="shared" ref="B1419:B1428" si="3055">B1353</f>
        <v>39478</v>
      </c>
      <c r="C1419" s="662">
        <f t="shared" ref="C1419:C1427" si="3056">C678</f>
        <v>0</v>
      </c>
      <c r="D1419" s="662">
        <f t="shared" ref="D1419:L1427" si="3057">C1419</f>
        <v>0</v>
      </c>
      <c r="E1419" s="662">
        <f t="shared" si="3057"/>
        <v>0</v>
      </c>
      <c r="F1419" s="662">
        <f t="shared" si="3057"/>
        <v>0</v>
      </c>
      <c r="G1419" s="662">
        <f t="shared" si="3057"/>
        <v>0</v>
      </c>
      <c r="H1419" s="662">
        <f t="shared" si="3057"/>
        <v>0</v>
      </c>
      <c r="I1419" s="662">
        <f t="shared" si="3057"/>
        <v>0</v>
      </c>
      <c r="J1419" s="662">
        <f t="shared" si="3057"/>
        <v>0</v>
      </c>
      <c r="K1419" s="662">
        <f t="shared" si="3057"/>
        <v>0</v>
      </c>
      <c r="L1419" s="662">
        <f t="shared" si="3057"/>
        <v>0</v>
      </c>
      <c r="U1419" s="663"/>
      <c r="Z1419" s="663"/>
      <c r="AA1419" s="663"/>
      <c r="AB1419" s="663"/>
      <c r="AC1419" s="663"/>
      <c r="AD1419" s="663"/>
      <c r="AE1419" s="663"/>
      <c r="AF1419" s="663"/>
      <c r="AG1419" s="663"/>
      <c r="AH1419" s="663"/>
      <c r="AI1419" s="663"/>
      <c r="AJ1419" s="663"/>
      <c r="AK1419" s="663"/>
      <c r="AL1419" s="663"/>
      <c r="AM1419" s="663"/>
      <c r="AN1419" s="663"/>
    </row>
    <row r="1420" spans="2:40" ht="14.45" hidden="1" customHeight="1" x14ac:dyDescent="0.25">
      <c r="B1420" s="936">
        <f t="shared" si="3055"/>
        <v>39843</v>
      </c>
      <c r="C1420" s="662">
        <f t="shared" si="3056"/>
        <v>-2500000</v>
      </c>
      <c r="D1420" s="662">
        <f t="shared" si="3057"/>
        <v>-2500000</v>
      </c>
      <c r="E1420" s="662">
        <f t="shared" si="3057"/>
        <v>-2500000</v>
      </c>
      <c r="F1420" s="662">
        <f t="shared" si="3057"/>
        <v>-2500000</v>
      </c>
      <c r="G1420" s="662">
        <f t="shared" si="3057"/>
        <v>-2500000</v>
      </c>
      <c r="H1420" s="662">
        <f t="shared" si="3057"/>
        <v>-2500000</v>
      </c>
      <c r="I1420" s="662">
        <f t="shared" si="3057"/>
        <v>-2500000</v>
      </c>
      <c r="J1420" s="662">
        <f t="shared" si="3057"/>
        <v>-2500000</v>
      </c>
      <c r="K1420" s="662">
        <f t="shared" si="3057"/>
        <v>-2500000</v>
      </c>
      <c r="L1420" s="662">
        <f t="shared" si="3057"/>
        <v>-2500000</v>
      </c>
      <c r="U1420" s="663"/>
      <c r="Z1420" s="663"/>
      <c r="AA1420" s="663"/>
      <c r="AB1420" s="663"/>
      <c r="AC1420" s="663"/>
      <c r="AD1420" s="663"/>
      <c r="AE1420" s="663"/>
      <c r="AF1420" s="663"/>
      <c r="AG1420" s="663"/>
      <c r="AH1420" s="663"/>
      <c r="AI1420" s="663"/>
      <c r="AJ1420" s="663"/>
      <c r="AK1420" s="663"/>
      <c r="AL1420" s="663"/>
      <c r="AM1420" s="663"/>
      <c r="AN1420" s="663"/>
    </row>
    <row r="1421" spans="2:40" ht="14.45" hidden="1" customHeight="1" x14ac:dyDescent="0.25">
      <c r="B1421" s="936">
        <f t="shared" si="3055"/>
        <v>39843</v>
      </c>
      <c r="C1421" s="662">
        <f t="shared" si="3056"/>
        <v>-6666666.666666667</v>
      </c>
      <c r="D1421" s="662">
        <f t="shared" si="3057"/>
        <v>-6666666.666666667</v>
      </c>
      <c r="E1421" s="662">
        <f t="shared" si="3057"/>
        <v>-6666666.666666667</v>
      </c>
      <c r="F1421" s="662">
        <f t="shared" si="3057"/>
        <v>-6666666.666666667</v>
      </c>
      <c r="G1421" s="662">
        <f t="shared" si="3057"/>
        <v>-6666666.666666667</v>
      </c>
      <c r="H1421" s="662">
        <f t="shared" si="3057"/>
        <v>-6666666.666666667</v>
      </c>
      <c r="I1421" s="662">
        <f t="shared" si="3057"/>
        <v>-6666666.666666667</v>
      </c>
      <c r="J1421" s="662">
        <f t="shared" si="3057"/>
        <v>-6666666.666666667</v>
      </c>
      <c r="K1421" s="662">
        <f t="shared" si="3057"/>
        <v>-6666666.666666667</v>
      </c>
      <c r="L1421" s="662">
        <f t="shared" si="3057"/>
        <v>-6666666.666666667</v>
      </c>
      <c r="U1421" s="663"/>
      <c r="Z1421" s="663"/>
      <c r="AA1421" s="663"/>
      <c r="AB1421" s="663"/>
      <c r="AC1421" s="663"/>
      <c r="AD1421" s="663"/>
      <c r="AE1421" s="663"/>
      <c r="AF1421" s="663"/>
      <c r="AG1421" s="663"/>
      <c r="AH1421" s="663"/>
      <c r="AI1421" s="663"/>
      <c r="AJ1421" s="663"/>
      <c r="AK1421" s="663"/>
      <c r="AL1421" s="663"/>
      <c r="AM1421" s="663"/>
      <c r="AN1421" s="663"/>
    </row>
    <row r="1422" spans="2:40" ht="14.45" hidden="1" customHeight="1" x14ac:dyDescent="0.25">
      <c r="B1422" s="936">
        <f t="shared" si="3055"/>
        <v>39843</v>
      </c>
      <c r="C1422" s="662">
        <f t="shared" si="3056"/>
        <v>0</v>
      </c>
      <c r="D1422" s="662">
        <f t="shared" si="3057"/>
        <v>0</v>
      </c>
      <c r="E1422" s="662">
        <f t="shared" si="3057"/>
        <v>0</v>
      </c>
      <c r="F1422" s="662">
        <f t="shared" si="3057"/>
        <v>0</v>
      </c>
      <c r="G1422" s="662">
        <f t="shared" si="3057"/>
        <v>0</v>
      </c>
      <c r="H1422" s="662">
        <f t="shared" si="3057"/>
        <v>0</v>
      </c>
      <c r="I1422" s="662">
        <f t="shared" si="3057"/>
        <v>0</v>
      </c>
      <c r="J1422" s="662">
        <f t="shared" si="3057"/>
        <v>0</v>
      </c>
      <c r="K1422" s="662">
        <f t="shared" si="3057"/>
        <v>0</v>
      </c>
      <c r="L1422" s="662">
        <f t="shared" si="3057"/>
        <v>0</v>
      </c>
      <c r="U1422" s="663"/>
      <c r="Z1422" s="663"/>
      <c r="AA1422" s="663"/>
      <c r="AB1422" s="663"/>
      <c r="AC1422" s="663"/>
      <c r="AD1422" s="663"/>
      <c r="AE1422" s="663"/>
      <c r="AF1422" s="663"/>
      <c r="AG1422" s="663"/>
      <c r="AH1422" s="663"/>
      <c r="AI1422" s="663"/>
      <c r="AJ1422" s="663"/>
      <c r="AK1422" s="663"/>
      <c r="AL1422" s="663"/>
      <c r="AM1422" s="663"/>
      <c r="AN1422" s="663"/>
    </row>
    <row r="1423" spans="2:40" ht="14.45" hidden="1" customHeight="1" x14ac:dyDescent="0.25">
      <c r="B1423" s="936">
        <f t="shared" si="3055"/>
        <v>39843</v>
      </c>
      <c r="C1423" s="662">
        <f t="shared" si="3056"/>
        <v>0</v>
      </c>
      <c r="D1423" s="662">
        <f t="shared" si="3057"/>
        <v>0</v>
      </c>
      <c r="E1423" s="662">
        <f t="shared" si="3057"/>
        <v>0</v>
      </c>
      <c r="F1423" s="662">
        <f t="shared" si="3057"/>
        <v>0</v>
      </c>
      <c r="G1423" s="662">
        <f t="shared" si="3057"/>
        <v>0</v>
      </c>
      <c r="H1423" s="662">
        <f t="shared" si="3057"/>
        <v>0</v>
      </c>
      <c r="I1423" s="662">
        <f t="shared" si="3057"/>
        <v>0</v>
      </c>
      <c r="J1423" s="662">
        <f t="shared" si="3057"/>
        <v>0</v>
      </c>
      <c r="K1423" s="662">
        <f t="shared" si="3057"/>
        <v>0</v>
      </c>
      <c r="L1423" s="662">
        <f t="shared" si="3057"/>
        <v>0</v>
      </c>
      <c r="U1423" s="663"/>
      <c r="Z1423" s="663"/>
      <c r="AA1423" s="663"/>
      <c r="AB1423" s="663"/>
      <c r="AC1423" s="663"/>
      <c r="AD1423" s="663"/>
      <c r="AE1423" s="663"/>
      <c r="AF1423" s="663"/>
      <c r="AG1423" s="663"/>
      <c r="AH1423" s="663"/>
      <c r="AI1423" s="663"/>
      <c r="AJ1423" s="663"/>
      <c r="AK1423" s="663"/>
      <c r="AL1423" s="663"/>
      <c r="AM1423" s="663"/>
      <c r="AN1423" s="663"/>
    </row>
    <row r="1424" spans="2:40" ht="14.45" hidden="1" customHeight="1" x14ac:dyDescent="0.25">
      <c r="B1424" s="936">
        <f t="shared" si="3055"/>
        <v>39843</v>
      </c>
      <c r="C1424" s="662">
        <f t="shared" si="3056"/>
        <v>0</v>
      </c>
      <c r="D1424" s="662">
        <f t="shared" si="3057"/>
        <v>0</v>
      </c>
      <c r="E1424" s="662">
        <f t="shared" si="3057"/>
        <v>0</v>
      </c>
      <c r="F1424" s="662">
        <f t="shared" si="3057"/>
        <v>0</v>
      </c>
      <c r="G1424" s="662">
        <f t="shared" si="3057"/>
        <v>0</v>
      </c>
      <c r="H1424" s="662">
        <f t="shared" si="3057"/>
        <v>0</v>
      </c>
      <c r="I1424" s="662">
        <f t="shared" si="3057"/>
        <v>0</v>
      </c>
      <c r="J1424" s="662">
        <f t="shared" si="3057"/>
        <v>0</v>
      </c>
      <c r="K1424" s="662">
        <f t="shared" si="3057"/>
        <v>0</v>
      </c>
      <c r="L1424" s="662">
        <f t="shared" si="3057"/>
        <v>0</v>
      </c>
      <c r="U1424" s="663"/>
      <c r="Z1424" s="663"/>
      <c r="AA1424" s="663"/>
      <c r="AB1424" s="663"/>
      <c r="AC1424" s="663"/>
      <c r="AD1424" s="663"/>
      <c r="AE1424" s="663"/>
      <c r="AF1424" s="663"/>
      <c r="AG1424" s="663"/>
      <c r="AH1424" s="663"/>
      <c r="AI1424" s="663"/>
      <c r="AJ1424" s="663"/>
      <c r="AK1424" s="663"/>
      <c r="AL1424" s="663"/>
      <c r="AM1424" s="663"/>
      <c r="AN1424" s="663"/>
    </row>
    <row r="1425" spans="2:40" ht="14.45" hidden="1" customHeight="1" x14ac:dyDescent="0.25">
      <c r="B1425" s="936">
        <f t="shared" si="3055"/>
        <v>39843</v>
      </c>
      <c r="C1425" s="662">
        <f t="shared" si="3056"/>
        <v>0</v>
      </c>
      <c r="D1425" s="662">
        <f t="shared" si="3057"/>
        <v>0</v>
      </c>
      <c r="E1425" s="662">
        <f t="shared" si="3057"/>
        <v>0</v>
      </c>
      <c r="F1425" s="662">
        <f t="shared" si="3057"/>
        <v>0</v>
      </c>
      <c r="G1425" s="662">
        <f t="shared" si="3057"/>
        <v>0</v>
      </c>
      <c r="H1425" s="662">
        <f t="shared" si="3057"/>
        <v>0</v>
      </c>
      <c r="I1425" s="662">
        <f t="shared" si="3057"/>
        <v>0</v>
      </c>
      <c r="J1425" s="662">
        <f t="shared" si="3057"/>
        <v>0</v>
      </c>
      <c r="K1425" s="662">
        <f t="shared" si="3057"/>
        <v>0</v>
      </c>
      <c r="L1425" s="662">
        <f t="shared" si="3057"/>
        <v>0</v>
      </c>
      <c r="U1425" s="663"/>
      <c r="Z1425" s="663"/>
      <c r="AA1425" s="663"/>
      <c r="AB1425" s="663"/>
      <c r="AC1425" s="663"/>
      <c r="AD1425" s="663"/>
      <c r="AE1425" s="663"/>
      <c r="AF1425" s="663"/>
      <c r="AG1425" s="663"/>
      <c r="AH1425" s="663"/>
      <c r="AI1425" s="663"/>
      <c r="AJ1425" s="663"/>
      <c r="AK1425" s="663"/>
      <c r="AL1425" s="663"/>
      <c r="AM1425" s="663"/>
      <c r="AN1425" s="663"/>
    </row>
    <row r="1426" spans="2:40" ht="14.45" hidden="1" customHeight="1" x14ac:dyDescent="0.25">
      <c r="B1426" s="936">
        <f t="shared" si="3055"/>
        <v>39843</v>
      </c>
      <c r="C1426" s="662">
        <f t="shared" si="3056"/>
        <v>0</v>
      </c>
      <c r="D1426" s="662">
        <f t="shared" si="3057"/>
        <v>0</v>
      </c>
      <c r="E1426" s="662">
        <f t="shared" si="3057"/>
        <v>0</v>
      </c>
      <c r="F1426" s="662">
        <f t="shared" si="3057"/>
        <v>0</v>
      </c>
      <c r="G1426" s="662">
        <f t="shared" si="3057"/>
        <v>0</v>
      </c>
      <c r="H1426" s="662">
        <f t="shared" si="3057"/>
        <v>0</v>
      </c>
      <c r="I1426" s="662">
        <f t="shared" si="3057"/>
        <v>0</v>
      </c>
      <c r="J1426" s="662">
        <f t="shared" si="3057"/>
        <v>0</v>
      </c>
      <c r="K1426" s="662">
        <f t="shared" si="3057"/>
        <v>0</v>
      </c>
      <c r="L1426" s="662">
        <f t="shared" si="3057"/>
        <v>0</v>
      </c>
      <c r="U1426" s="663"/>
      <c r="Z1426" s="663"/>
      <c r="AA1426" s="663"/>
      <c r="AB1426" s="663"/>
      <c r="AC1426" s="663"/>
      <c r="AD1426" s="663"/>
      <c r="AE1426" s="663"/>
      <c r="AF1426" s="663"/>
      <c r="AG1426" s="663"/>
      <c r="AH1426" s="663"/>
      <c r="AI1426" s="663"/>
      <c r="AJ1426" s="663"/>
      <c r="AK1426" s="663"/>
      <c r="AL1426" s="663"/>
      <c r="AM1426" s="663"/>
      <c r="AN1426" s="663"/>
    </row>
    <row r="1427" spans="2:40" ht="14.45" hidden="1" customHeight="1" x14ac:dyDescent="0.25">
      <c r="B1427" s="936">
        <f t="shared" si="3055"/>
        <v>39843</v>
      </c>
      <c r="C1427" s="662">
        <f t="shared" si="3056"/>
        <v>0</v>
      </c>
      <c r="D1427" s="662">
        <f t="shared" si="3057"/>
        <v>0</v>
      </c>
      <c r="E1427" s="662">
        <f t="shared" si="3057"/>
        <v>0</v>
      </c>
      <c r="F1427" s="662">
        <f t="shared" si="3057"/>
        <v>0</v>
      </c>
      <c r="G1427" s="662">
        <f t="shared" si="3057"/>
        <v>0</v>
      </c>
      <c r="H1427" s="662">
        <f t="shared" si="3057"/>
        <v>0</v>
      </c>
      <c r="I1427" s="662">
        <f t="shared" si="3057"/>
        <v>0</v>
      </c>
      <c r="J1427" s="662">
        <f t="shared" si="3057"/>
        <v>0</v>
      </c>
      <c r="K1427" s="662">
        <f t="shared" si="3057"/>
        <v>0</v>
      </c>
      <c r="L1427" s="662">
        <f t="shared" si="3057"/>
        <v>0</v>
      </c>
      <c r="U1427" s="663"/>
      <c r="Z1427" s="663"/>
      <c r="AA1427" s="663"/>
      <c r="AB1427" s="663"/>
      <c r="AC1427" s="663"/>
      <c r="AD1427" s="663"/>
      <c r="AE1427" s="663"/>
      <c r="AF1427" s="663"/>
      <c r="AG1427" s="663"/>
      <c r="AH1427" s="663"/>
      <c r="AI1427" s="663"/>
      <c r="AJ1427" s="663"/>
      <c r="AK1427" s="663"/>
      <c r="AL1427" s="663"/>
      <c r="AM1427" s="663"/>
      <c r="AN1427" s="663"/>
    </row>
    <row r="1428" spans="2:40" ht="14.45" hidden="1" customHeight="1" x14ac:dyDescent="0.25">
      <c r="B1428" s="936">
        <f t="shared" si="3055"/>
        <v>41179</v>
      </c>
      <c r="C1428" s="662">
        <f>C1728</f>
        <v>4078815.2610441777</v>
      </c>
      <c r="D1428" s="662">
        <f t="shared" ref="D1428:L1428" si="3058">D1728</f>
        <v>6118222.8915662663</v>
      </c>
      <c r="E1428" s="662">
        <f t="shared" si="3058"/>
        <v>8157630.5220883554</v>
      </c>
      <c r="F1428" s="662">
        <f t="shared" si="3058"/>
        <v>10197038.152610444</v>
      </c>
      <c r="G1428" s="662">
        <f t="shared" si="3058"/>
        <v>12236445.783132533</v>
      </c>
      <c r="H1428" s="662">
        <f t="shared" si="3058"/>
        <v>14275853.413654622</v>
      </c>
      <c r="I1428" s="662">
        <f t="shared" si="3058"/>
        <v>16315261.044176711</v>
      </c>
      <c r="J1428" s="662">
        <f t="shared" si="3058"/>
        <v>18354668.6746988</v>
      </c>
      <c r="K1428" s="662">
        <f t="shared" si="3058"/>
        <v>20394076.305220887</v>
      </c>
      <c r="L1428" s="662">
        <f t="shared" si="3058"/>
        <v>22433483.935742974</v>
      </c>
      <c r="U1428" s="663"/>
      <c r="Z1428" s="663"/>
      <c r="AA1428" s="663"/>
      <c r="AB1428" s="663"/>
      <c r="AC1428" s="663"/>
      <c r="AD1428" s="663"/>
      <c r="AE1428" s="663"/>
      <c r="AF1428" s="663"/>
      <c r="AG1428" s="663"/>
      <c r="AH1428" s="663"/>
      <c r="AI1428" s="663"/>
      <c r="AJ1428" s="663"/>
      <c r="AK1428" s="663"/>
      <c r="AL1428" s="663"/>
      <c r="AM1428" s="663"/>
      <c r="AN1428" s="663"/>
    </row>
    <row r="1429" spans="2:40" ht="14.45" hidden="1" customHeight="1" x14ac:dyDescent="0.25">
      <c r="C1429" s="882" t="str">
        <f ca="1">IF(ISERROR(XIRR(INDIRECT(C1431):C1428,INDIRECT($B1431):$B1428,-20%)),XIRR(INDIRECT(C1431):C1428,INDIRECT($B1431):$B1428,20%),"N/A")</f>
        <v>N/A</v>
      </c>
      <c r="D1429" s="882" t="str">
        <f ca="1">IF(ISERROR(XIRR(INDIRECT(D1431):D1428,INDIRECT($B1431):$B1428,-20%)),XIRR(INDIRECT(D1431):D1428,INDIRECT($B1431):$B1428,20%),"N/A")</f>
        <v>N/A</v>
      </c>
      <c r="E1429" s="882" t="str">
        <f ca="1">IF(ISERROR(XIRR(INDIRECT(E1431):E1428,INDIRECT($B1431):$B1428,-20%)),XIRR(INDIRECT(E1431):E1428,INDIRECT($B1431):$B1428,20%),"N/A")</f>
        <v>N/A</v>
      </c>
      <c r="F1429" s="882">
        <f ca="1">IF(ISERROR(XIRR(INDIRECT(F1431):F1428,INDIRECT($B1431):$B1428,-20%)),XIRR(INDIRECT(F1431):F1428,INDIRECT($B1431):$B1428,20%),"N/A")</f>
        <v>2.9530248045921331E-2</v>
      </c>
      <c r="G1429" s="882">
        <f ca="1">IF(ISERROR(XIRR(INDIRECT(G1431):G1428,INDIRECT($B1431):$B1428,-20%)),XIRR(INDIRECT(G1431):G1428,INDIRECT($B1431):$B1428,20%),"N/A")</f>
        <v>8.2110747694969177E-2</v>
      </c>
      <c r="H1429" s="882">
        <f ca="1">IF(ISERROR(XIRR(INDIRECT(H1431):H1428,INDIRECT($B1431):$B1428,-20%)),XIRR(INDIRECT(H1431):H1428,INDIRECT($B1431):$B1428,20%),"N/A")</f>
        <v>0.12865657210350037</v>
      </c>
      <c r="I1429" s="882">
        <f ca="1">IF(ISERROR(XIRR(INDIRECT(I1431):I1428,INDIRECT($B1431):$B1428,-20%)),XIRR(INDIRECT(I1431):I1428,INDIRECT($B1431):$B1428,20%),"N/A")</f>
        <v>0.17059164643287658</v>
      </c>
      <c r="J1429" s="882">
        <f ca="1">IF(ISERROR(XIRR(INDIRECT(J1431):J1428,INDIRECT($B1431):$B1428,-20%)),XIRR(INDIRECT(J1431):J1428,INDIRECT($B1431):$B1428,20%),"N/A")</f>
        <v>0.20887243151664736</v>
      </c>
      <c r="K1429" s="882">
        <f ca="1">IF(ISERROR(XIRR(INDIRECT(K1431):K1428,INDIRECT($B1431):$B1428,-20%)),XIRR(INDIRECT(K1431):K1428,INDIRECT($B1431):$B1428,20%),"N/A")</f>
        <v>0.24417533278465273</v>
      </c>
      <c r="L1429" s="882">
        <f ca="1">IF(ISERROR(XIRR(INDIRECT(L1431):L1428,INDIRECT($B1431):$B1428,-20%)),XIRR(INDIRECT(L1431):L1428,INDIRECT($B1431):$B1428,20%),"N/A")</f>
        <v>0.27699800133705144</v>
      </c>
      <c r="U1429" s="663"/>
      <c r="Z1429" s="663"/>
      <c r="AA1429" s="663"/>
      <c r="AB1429" s="663"/>
      <c r="AC1429" s="663"/>
      <c r="AD1429" s="663"/>
      <c r="AE1429" s="663"/>
      <c r="AF1429" s="663"/>
      <c r="AG1429" s="663"/>
      <c r="AH1429" s="663"/>
      <c r="AI1429" s="663"/>
      <c r="AJ1429" s="663"/>
      <c r="AK1429" s="663"/>
      <c r="AL1429" s="663"/>
      <c r="AM1429" s="663"/>
      <c r="AN1429" s="663"/>
    </row>
    <row r="1430" spans="2:40" ht="14.45" hidden="1" customHeight="1" x14ac:dyDescent="0.25">
      <c r="B1430" s="898">
        <f>IF(C1418&lt;&gt;0,ROW(C1418),IF(C1419&lt;&gt;0,ROW(C1419),IF(C1420&lt;&gt;0,ROW(C1420),IF(C1421&lt;&gt;0,ROW(C1421),IF(C1422&lt;&gt;0,ROW(C1422),IF(C1423&lt;&gt;0,ROW(C1423),IF(C1424&lt;&gt;0,ROW(C1424),IF(C1425&lt;&gt;0,ROW(C1425),IF(C1426&lt;&gt;0,ROW(C1426),IF(C1427&lt;&gt;0,ROW(C1427)))))))))))</f>
        <v>1420</v>
      </c>
      <c r="C1430" s="882"/>
      <c r="U1430" s="663"/>
      <c r="Z1430" s="663"/>
      <c r="AA1430" s="663"/>
      <c r="AB1430" s="663"/>
      <c r="AC1430" s="663"/>
      <c r="AD1430" s="663"/>
      <c r="AE1430" s="663"/>
      <c r="AF1430" s="663"/>
      <c r="AG1430" s="663"/>
      <c r="AH1430" s="663"/>
      <c r="AI1430" s="663"/>
      <c r="AJ1430" s="663"/>
      <c r="AK1430" s="663"/>
      <c r="AL1430" s="663"/>
      <c r="AM1430" s="663"/>
      <c r="AN1430" s="663"/>
    </row>
    <row r="1431" spans="2:40" ht="14.45" hidden="1" customHeight="1" x14ac:dyDescent="0.25">
      <c r="B1431" s="899" t="str">
        <f>CONCATENATE(IF(COLUMN(B1430)&lt;=26,CHAR(96+COLUMN(B1430)),(CHAR(96+(ROUNDDOWN((COLUMN(B1430)-1)/26,0)))&amp;CHAR(96+IF(MOD(COLUMN(B1430),26)=0,26,MOD(COLUMN(B1430),26))))),B1430)</f>
        <v>b1420</v>
      </c>
      <c r="C1431" s="899" t="str">
        <f>CONCATENATE(IF(COLUMN(C1429)&lt;=26,CHAR(96+COLUMN(C1429)),(CHAR(96+(ROUNDDOWN((COLUMN(C1429)-1)/26,0)))&amp;CHAR(96+IF(MOD(COLUMN(C1429),26)=0,26,MOD(COLUMN(C1429),26))))),$B1430)</f>
        <v>c1420</v>
      </c>
      <c r="D1431" s="899" t="str">
        <f t="shared" ref="D1431" si="3059">CONCATENATE(IF(COLUMN(D1429)&lt;=26,CHAR(96+COLUMN(D1429)),(CHAR(96+(ROUNDDOWN((COLUMN(D1429)-1)/26,0)))&amp;CHAR(96+IF(MOD(COLUMN(D1429),26)=0,26,MOD(COLUMN(D1429),26))))),$B1430)</f>
        <v>d1420</v>
      </c>
      <c r="E1431" s="899" t="str">
        <f t="shared" ref="E1431" si="3060">CONCATENATE(IF(COLUMN(E1429)&lt;=26,CHAR(96+COLUMN(E1429)),(CHAR(96+(ROUNDDOWN((COLUMN(E1429)-1)/26,0)))&amp;CHAR(96+IF(MOD(COLUMN(E1429),26)=0,26,MOD(COLUMN(E1429),26))))),$B1430)</f>
        <v>e1420</v>
      </c>
      <c r="F1431" s="899" t="str">
        <f t="shared" ref="F1431" si="3061">CONCATENATE(IF(COLUMN(F1429)&lt;=26,CHAR(96+COLUMN(F1429)),(CHAR(96+(ROUNDDOWN((COLUMN(F1429)-1)/26,0)))&amp;CHAR(96+IF(MOD(COLUMN(F1429),26)=0,26,MOD(COLUMN(F1429),26))))),$B1430)</f>
        <v>f1420</v>
      </c>
      <c r="G1431" s="899" t="str">
        <f t="shared" ref="G1431" si="3062">CONCATENATE(IF(COLUMN(G1429)&lt;=26,CHAR(96+COLUMN(G1429)),(CHAR(96+(ROUNDDOWN((COLUMN(G1429)-1)/26,0)))&amp;CHAR(96+IF(MOD(COLUMN(G1429),26)=0,26,MOD(COLUMN(G1429),26))))),$B1430)</f>
        <v>g1420</v>
      </c>
      <c r="H1431" s="899" t="str">
        <f t="shared" ref="H1431" si="3063">CONCATENATE(IF(COLUMN(H1429)&lt;=26,CHAR(96+COLUMN(H1429)),(CHAR(96+(ROUNDDOWN((COLUMN(H1429)-1)/26,0)))&amp;CHAR(96+IF(MOD(COLUMN(H1429),26)=0,26,MOD(COLUMN(H1429),26))))),$B1430)</f>
        <v>h1420</v>
      </c>
      <c r="I1431" s="899" t="str">
        <f t="shared" ref="I1431" si="3064">CONCATENATE(IF(COLUMN(I1429)&lt;=26,CHAR(96+COLUMN(I1429)),(CHAR(96+(ROUNDDOWN((COLUMN(I1429)-1)/26,0)))&amp;CHAR(96+IF(MOD(COLUMN(I1429),26)=0,26,MOD(COLUMN(I1429),26))))),$B1430)</f>
        <v>i1420</v>
      </c>
      <c r="J1431" s="899" t="str">
        <f t="shared" ref="J1431" si="3065">CONCATENATE(IF(COLUMN(J1429)&lt;=26,CHAR(96+COLUMN(J1429)),(CHAR(96+(ROUNDDOWN((COLUMN(J1429)-1)/26,0)))&amp;CHAR(96+IF(MOD(COLUMN(J1429),26)=0,26,MOD(COLUMN(J1429),26))))),$B1430)</f>
        <v>j1420</v>
      </c>
      <c r="K1431" s="899" t="str">
        <f t="shared" ref="K1431" si="3066">CONCATENATE(IF(COLUMN(K1429)&lt;=26,CHAR(96+COLUMN(K1429)),(CHAR(96+(ROUNDDOWN((COLUMN(K1429)-1)/26,0)))&amp;CHAR(96+IF(MOD(COLUMN(K1429),26)=0,26,MOD(COLUMN(K1429),26))))),$B1430)</f>
        <v>k1420</v>
      </c>
      <c r="L1431" s="899" t="str">
        <f t="shared" ref="L1431" si="3067">CONCATENATE(IF(COLUMN(L1429)&lt;=26,CHAR(96+COLUMN(L1429)),(CHAR(96+(ROUNDDOWN((COLUMN(L1429)-1)/26,0)))&amp;CHAR(96+IF(MOD(COLUMN(L1429),26)=0,26,MOD(COLUMN(L1429),26))))),$B1430)</f>
        <v>l1420</v>
      </c>
      <c r="U1431" s="663"/>
      <c r="Z1431" s="663"/>
      <c r="AA1431" s="663"/>
      <c r="AB1431" s="663"/>
      <c r="AC1431" s="663"/>
      <c r="AD1431" s="663"/>
      <c r="AE1431" s="663"/>
      <c r="AF1431" s="663"/>
      <c r="AG1431" s="663"/>
      <c r="AH1431" s="663"/>
      <c r="AI1431" s="663"/>
      <c r="AJ1431" s="663"/>
      <c r="AK1431" s="663"/>
      <c r="AL1431" s="663"/>
      <c r="AM1431" s="663"/>
      <c r="AN1431" s="663"/>
    </row>
    <row r="1432" spans="2:40" ht="14.45" hidden="1" customHeight="1" x14ac:dyDescent="0.25">
      <c r="B1432" s="661"/>
      <c r="C1432" s="662"/>
      <c r="U1432" s="663"/>
      <c r="Z1432" s="663"/>
      <c r="AA1432" s="663"/>
      <c r="AB1432" s="663"/>
      <c r="AC1432" s="663"/>
      <c r="AD1432" s="663"/>
      <c r="AE1432" s="663"/>
      <c r="AF1432" s="663"/>
      <c r="AG1432" s="663"/>
      <c r="AH1432" s="663"/>
      <c r="AI1432" s="663"/>
      <c r="AJ1432" s="663"/>
      <c r="AK1432" s="663"/>
      <c r="AL1432" s="663"/>
      <c r="AM1432" s="663"/>
      <c r="AN1432" s="663"/>
    </row>
    <row r="1433" spans="2:40" ht="14.45" hidden="1" customHeight="1" x14ac:dyDescent="0.25">
      <c r="B1433" s="661"/>
      <c r="C1433" s="662"/>
      <c r="U1433" s="663"/>
      <c r="Z1433" s="663"/>
      <c r="AA1433" s="663"/>
      <c r="AB1433" s="663"/>
      <c r="AC1433" s="663"/>
      <c r="AD1433" s="663"/>
      <c r="AE1433" s="663"/>
      <c r="AF1433" s="663"/>
      <c r="AG1433" s="663"/>
      <c r="AH1433" s="663"/>
      <c r="AI1433" s="663"/>
      <c r="AJ1433" s="663"/>
      <c r="AK1433" s="663"/>
      <c r="AL1433" s="663"/>
      <c r="AM1433" s="663"/>
      <c r="AN1433" s="663"/>
    </row>
    <row r="1434" spans="2:40" ht="14.45" hidden="1" customHeight="1" x14ac:dyDescent="0.25">
      <c r="B1434" s="936">
        <f>B1418</f>
        <v>39113</v>
      </c>
      <c r="C1434" s="662">
        <f>C1418</f>
        <v>0</v>
      </c>
      <c r="D1434" s="662">
        <f t="shared" ref="D1434:L1434" si="3068">D1418</f>
        <v>0</v>
      </c>
      <c r="E1434" s="662">
        <f t="shared" si="3068"/>
        <v>0</v>
      </c>
      <c r="F1434" s="662">
        <f t="shared" si="3068"/>
        <v>0</v>
      </c>
      <c r="G1434" s="662">
        <f t="shared" si="3068"/>
        <v>0</v>
      </c>
      <c r="H1434" s="662">
        <f t="shared" si="3068"/>
        <v>0</v>
      </c>
      <c r="I1434" s="662">
        <f t="shared" si="3068"/>
        <v>0</v>
      </c>
      <c r="J1434" s="662">
        <f t="shared" si="3068"/>
        <v>0</v>
      </c>
      <c r="K1434" s="662">
        <f t="shared" si="3068"/>
        <v>0</v>
      </c>
      <c r="L1434" s="662">
        <f t="shared" si="3068"/>
        <v>0</v>
      </c>
      <c r="U1434" s="663"/>
      <c r="Z1434" s="663"/>
      <c r="AA1434" s="663"/>
      <c r="AB1434" s="663"/>
      <c r="AC1434" s="663"/>
      <c r="AD1434" s="663"/>
      <c r="AE1434" s="663"/>
      <c r="AF1434" s="663"/>
      <c r="AG1434" s="663"/>
      <c r="AH1434" s="663"/>
      <c r="AI1434" s="663"/>
      <c r="AJ1434" s="663"/>
      <c r="AK1434" s="663"/>
      <c r="AL1434" s="663"/>
      <c r="AM1434" s="663"/>
      <c r="AN1434" s="663"/>
    </row>
    <row r="1435" spans="2:40" ht="14.45" hidden="1" customHeight="1" x14ac:dyDescent="0.25">
      <c r="B1435" s="936">
        <f t="shared" ref="B1435:L1435" si="3069">B1419</f>
        <v>39478</v>
      </c>
      <c r="C1435" s="662">
        <f t="shared" si="3069"/>
        <v>0</v>
      </c>
      <c r="D1435" s="662">
        <f t="shared" si="3069"/>
        <v>0</v>
      </c>
      <c r="E1435" s="662">
        <f t="shared" si="3069"/>
        <v>0</v>
      </c>
      <c r="F1435" s="662">
        <f t="shared" si="3069"/>
        <v>0</v>
      </c>
      <c r="G1435" s="662">
        <f t="shared" si="3069"/>
        <v>0</v>
      </c>
      <c r="H1435" s="662">
        <f t="shared" si="3069"/>
        <v>0</v>
      </c>
      <c r="I1435" s="662">
        <f t="shared" si="3069"/>
        <v>0</v>
      </c>
      <c r="J1435" s="662">
        <f t="shared" si="3069"/>
        <v>0</v>
      </c>
      <c r="K1435" s="662">
        <f t="shared" si="3069"/>
        <v>0</v>
      </c>
      <c r="L1435" s="662">
        <f t="shared" si="3069"/>
        <v>0</v>
      </c>
      <c r="U1435" s="663"/>
      <c r="Z1435" s="663"/>
      <c r="AA1435" s="663"/>
      <c r="AB1435" s="663"/>
      <c r="AC1435" s="663"/>
      <c r="AD1435" s="663"/>
      <c r="AE1435" s="663"/>
      <c r="AF1435" s="663"/>
      <c r="AG1435" s="663"/>
      <c r="AH1435" s="663"/>
      <c r="AI1435" s="663"/>
      <c r="AJ1435" s="663"/>
      <c r="AK1435" s="663"/>
      <c r="AL1435" s="663"/>
      <c r="AM1435" s="663"/>
      <c r="AN1435" s="663"/>
    </row>
    <row r="1436" spans="2:40" ht="14.45" hidden="1" customHeight="1" x14ac:dyDescent="0.25">
      <c r="B1436" s="936">
        <f t="shared" ref="B1436:L1436" si="3070">B1420</f>
        <v>39843</v>
      </c>
      <c r="C1436" s="662">
        <f t="shared" si="3070"/>
        <v>-2500000</v>
      </c>
      <c r="D1436" s="662">
        <f t="shared" si="3070"/>
        <v>-2500000</v>
      </c>
      <c r="E1436" s="662">
        <f t="shared" si="3070"/>
        <v>-2500000</v>
      </c>
      <c r="F1436" s="662">
        <f t="shared" si="3070"/>
        <v>-2500000</v>
      </c>
      <c r="G1436" s="662">
        <f t="shared" si="3070"/>
        <v>-2500000</v>
      </c>
      <c r="H1436" s="662">
        <f t="shared" si="3070"/>
        <v>-2500000</v>
      </c>
      <c r="I1436" s="662">
        <f t="shared" si="3070"/>
        <v>-2500000</v>
      </c>
      <c r="J1436" s="662">
        <f t="shared" si="3070"/>
        <v>-2500000</v>
      </c>
      <c r="K1436" s="662">
        <f t="shared" si="3070"/>
        <v>-2500000</v>
      </c>
      <c r="L1436" s="662">
        <f t="shared" si="3070"/>
        <v>-2500000</v>
      </c>
      <c r="U1436" s="663"/>
      <c r="Z1436" s="663"/>
      <c r="AA1436" s="663"/>
      <c r="AB1436" s="663"/>
      <c r="AC1436" s="663"/>
      <c r="AD1436" s="663"/>
      <c r="AE1436" s="663"/>
      <c r="AF1436" s="663"/>
      <c r="AG1436" s="663"/>
      <c r="AH1436" s="663"/>
      <c r="AI1436" s="663"/>
      <c r="AJ1436" s="663"/>
      <c r="AK1436" s="663"/>
      <c r="AL1436" s="663"/>
      <c r="AM1436" s="663"/>
      <c r="AN1436" s="663"/>
    </row>
    <row r="1437" spans="2:40" ht="14.45" hidden="1" customHeight="1" x14ac:dyDescent="0.25">
      <c r="B1437" s="936">
        <f t="shared" ref="B1437:L1437" si="3071">B1421</f>
        <v>39843</v>
      </c>
      <c r="C1437" s="662">
        <f t="shared" si="3071"/>
        <v>-6666666.666666667</v>
      </c>
      <c r="D1437" s="662">
        <f t="shared" si="3071"/>
        <v>-6666666.666666667</v>
      </c>
      <c r="E1437" s="662">
        <f t="shared" si="3071"/>
        <v>-6666666.666666667</v>
      </c>
      <c r="F1437" s="662">
        <f t="shared" si="3071"/>
        <v>-6666666.666666667</v>
      </c>
      <c r="G1437" s="662">
        <f t="shared" si="3071"/>
        <v>-6666666.666666667</v>
      </c>
      <c r="H1437" s="662">
        <f t="shared" si="3071"/>
        <v>-6666666.666666667</v>
      </c>
      <c r="I1437" s="662">
        <f t="shared" si="3071"/>
        <v>-6666666.666666667</v>
      </c>
      <c r="J1437" s="662">
        <f t="shared" si="3071"/>
        <v>-6666666.666666667</v>
      </c>
      <c r="K1437" s="662">
        <f t="shared" si="3071"/>
        <v>-6666666.666666667</v>
      </c>
      <c r="L1437" s="662">
        <f t="shared" si="3071"/>
        <v>-6666666.666666667</v>
      </c>
      <c r="U1437" s="663"/>
      <c r="Z1437" s="663"/>
      <c r="AA1437" s="663"/>
      <c r="AB1437" s="663"/>
      <c r="AC1437" s="663"/>
      <c r="AD1437" s="663"/>
      <c r="AE1437" s="663"/>
      <c r="AF1437" s="663"/>
      <c r="AG1437" s="663"/>
      <c r="AH1437" s="663"/>
      <c r="AI1437" s="663"/>
      <c r="AJ1437" s="663"/>
      <c r="AK1437" s="663"/>
      <c r="AL1437" s="663"/>
      <c r="AM1437" s="663"/>
      <c r="AN1437" s="663"/>
    </row>
    <row r="1438" spans="2:40" ht="14.45" hidden="1" customHeight="1" x14ac:dyDescent="0.25">
      <c r="B1438" s="936">
        <f t="shared" ref="B1438:L1438" si="3072">B1422</f>
        <v>39843</v>
      </c>
      <c r="C1438" s="662">
        <f t="shared" si="3072"/>
        <v>0</v>
      </c>
      <c r="D1438" s="662">
        <f t="shared" si="3072"/>
        <v>0</v>
      </c>
      <c r="E1438" s="662">
        <f t="shared" si="3072"/>
        <v>0</v>
      </c>
      <c r="F1438" s="662">
        <f t="shared" si="3072"/>
        <v>0</v>
      </c>
      <c r="G1438" s="662">
        <f t="shared" si="3072"/>
        <v>0</v>
      </c>
      <c r="H1438" s="662">
        <f t="shared" si="3072"/>
        <v>0</v>
      </c>
      <c r="I1438" s="662">
        <f t="shared" si="3072"/>
        <v>0</v>
      </c>
      <c r="J1438" s="662">
        <f t="shared" si="3072"/>
        <v>0</v>
      </c>
      <c r="K1438" s="662">
        <f t="shared" si="3072"/>
        <v>0</v>
      </c>
      <c r="L1438" s="662">
        <f t="shared" si="3072"/>
        <v>0</v>
      </c>
      <c r="U1438" s="663"/>
      <c r="Z1438" s="663"/>
      <c r="AA1438" s="663"/>
      <c r="AB1438" s="663"/>
      <c r="AC1438" s="663"/>
      <c r="AD1438" s="663"/>
      <c r="AE1438" s="663"/>
      <c r="AF1438" s="663"/>
      <c r="AG1438" s="663"/>
      <c r="AH1438" s="663"/>
      <c r="AI1438" s="663"/>
      <c r="AJ1438" s="663"/>
      <c r="AK1438" s="663"/>
      <c r="AL1438" s="663"/>
      <c r="AM1438" s="663"/>
      <c r="AN1438" s="663"/>
    </row>
    <row r="1439" spans="2:40" ht="14.45" hidden="1" customHeight="1" x14ac:dyDescent="0.25">
      <c r="B1439" s="936">
        <f t="shared" ref="B1439:L1439" si="3073">B1423</f>
        <v>39843</v>
      </c>
      <c r="C1439" s="662">
        <f t="shared" si="3073"/>
        <v>0</v>
      </c>
      <c r="D1439" s="662">
        <f t="shared" si="3073"/>
        <v>0</v>
      </c>
      <c r="E1439" s="662">
        <f t="shared" si="3073"/>
        <v>0</v>
      </c>
      <c r="F1439" s="662">
        <f t="shared" si="3073"/>
        <v>0</v>
      </c>
      <c r="G1439" s="662">
        <f t="shared" si="3073"/>
        <v>0</v>
      </c>
      <c r="H1439" s="662">
        <f t="shared" si="3073"/>
        <v>0</v>
      </c>
      <c r="I1439" s="662">
        <f t="shared" si="3073"/>
        <v>0</v>
      </c>
      <c r="J1439" s="662">
        <f t="shared" si="3073"/>
        <v>0</v>
      </c>
      <c r="K1439" s="662">
        <f t="shared" si="3073"/>
        <v>0</v>
      </c>
      <c r="L1439" s="662">
        <f t="shared" si="3073"/>
        <v>0</v>
      </c>
      <c r="U1439" s="663"/>
      <c r="Z1439" s="663"/>
      <c r="AA1439" s="663"/>
      <c r="AB1439" s="663"/>
      <c r="AC1439" s="663"/>
      <c r="AD1439" s="663"/>
      <c r="AE1439" s="663"/>
      <c r="AF1439" s="663"/>
      <c r="AG1439" s="663"/>
      <c r="AH1439" s="663"/>
      <c r="AI1439" s="663"/>
      <c r="AJ1439" s="663"/>
      <c r="AK1439" s="663"/>
      <c r="AL1439" s="663"/>
      <c r="AM1439" s="663"/>
      <c r="AN1439" s="663"/>
    </row>
    <row r="1440" spans="2:40" ht="14.45" hidden="1" customHeight="1" x14ac:dyDescent="0.25">
      <c r="B1440" s="936">
        <f t="shared" ref="B1440:L1440" si="3074">B1424</f>
        <v>39843</v>
      </c>
      <c r="C1440" s="662">
        <f t="shared" si="3074"/>
        <v>0</v>
      </c>
      <c r="D1440" s="662">
        <f t="shared" si="3074"/>
        <v>0</v>
      </c>
      <c r="E1440" s="662">
        <f t="shared" si="3074"/>
        <v>0</v>
      </c>
      <c r="F1440" s="662">
        <f t="shared" si="3074"/>
        <v>0</v>
      </c>
      <c r="G1440" s="662">
        <f t="shared" si="3074"/>
        <v>0</v>
      </c>
      <c r="H1440" s="662">
        <f t="shared" si="3074"/>
        <v>0</v>
      </c>
      <c r="I1440" s="662">
        <f t="shared" si="3074"/>
        <v>0</v>
      </c>
      <c r="J1440" s="662">
        <f t="shared" si="3074"/>
        <v>0</v>
      </c>
      <c r="K1440" s="662">
        <f t="shared" si="3074"/>
        <v>0</v>
      </c>
      <c r="L1440" s="662">
        <f t="shared" si="3074"/>
        <v>0</v>
      </c>
      <c r="U1440" s="663"/>
      <c r="Z1440" s="663"/>
      <c r="AA1440" s="663"/>
      <c r="AB1440" s="663"/>
      <c r="AC1440" s="663"/>
      <c r="AD1440" s="663"/>
      <c r="AE1440" s="663"/>
      <c r="AF1440" s="663"/>
      <c r="AG1440" s="663"/>
      <c r="AH1440" s="663"/>
      <c r="AI1440" s="663"/>
      <c r="AJ1440" s="663"/>
      <c r="AK1440" s="663"/>
      <c r="AL1440" s="663"/>
      <c r="AM1440" s="663"/>
      <c r="AN1440" s="663"/>
    </row>
    <row r="1441" spans="2:40" ht="14.45" hidden="1" customHeight="1" x14ac:dyDescent="0.25">
      <c r="B1441" s="936">
        <f t="shared" ref="B1441:L1441" si="3075">B1425</f>
        <v>39843</v>
      </c>
      <c r="C1441" s="662">
        <f t="shared" si="3075"/>
        <v>0</v>
      </c>
      <c r="D1441" s="662">
        <f t="shared" si="3075"/>
        <v>0</v>
      </c>
      <c r="E1441" s="662">
        <f t="shared" si="3075"/>
        <v>0</v>
      </c>
      <c r="F1441" s="662">
        <f t="shared" si="3075"/>
        <v>0</v>
      </c>
      <c r="G1441" s="662">
        <f t="shared" si="3075"/>
        <v>0</v>
      </c>
      <c r="H1441" s="662">
        <f t="shared" si="3075"/>
        <v>0</v>
      </c>
      <c r="I1441" s="662">
        <f t="shared" si="3075"/>
        <v>0</v>
      </c>
      <c r="J1441" s="662">
        <f t="shared" si="3075"/>
        <v>0</v>
      </c>
      <c r="K1441" s="662">
        <f t="shared" si="3075"/>
        <v>0</v>
      </c>
      <c r="L1441" s="662">
        <f t="shared" si="3075"/>
        <v>0</v>
      </c>
      <c r="U1441" s="663"/>
      <c r="Z1441" s="663"/>
      <c r="AA1441" s="663"/>
      <c r="AB1441" s="663"/>
      <c r="AC1441" s="663"/>
      <c r="AD1441" s="663"/>
      <c r="AE1441" s="663"/>
      <c r="AF1441" s="663"/>
      <c r="AG1441" s="663"/>
      <c r="AH1441" s="663"/>
      <c r="AI1441" s="663"/>
      <c r="AJ1441" s="663"/>
      <c r="AK1441" s="663"/>
      <c r="AL1441" s="663"/>
      <c r="AM1441" s="663"/>
      <c r="AN1441" s="663"/>
    </row>
    <row r="1442" spans="2:40" ht="14.45" hidden="1" customHeight="1" x14ac:dyDescent="0.25">
      <c r="B1442" s="936">
        <f t="shared" ref="B1442:L1442" si="3076">B1426</f>
        <v>39843</v>
      </c>
      <c r="C1442" s="662">
        <f t="shared" si="3076"/>
        <v>0</v>
      </c>
      <c r="D1442" s="662">
        <f t="shared" si="3076"/>
        <v>0</v>
      </c>
      <c r="E1442" s="662">
        <f t="shared" si="3076"/>
        <v>0</v>
      </c>
      <c r="F1442" s="662">
        <f t="shared" si="3076"/>
        <v>0</v>
      </c>
      <c r="G1442" s="662">
        <f t="shared" si="3076"/>
        <v>0</v>
      </c>
      <c r="H1442" s="662">
        <f t="shared" si="3076"/>
        <v>0</v>
      </c>
      <c r="I1442" s="662">
        <f t="shared" si="3076"/>
        <v>0</v>
      </c>
      <c r="J1442" s="662">
        <f t="shared" si="3076"/>
        <v>0</v>
      </c>
      <c r="K1442" s="662">
        <f t="shared" si="3076"/>
        <v>0</v>
      </c>
      <c r="L1442" s="662">
        <f t="shared" si="3076"/>
        <v>0</v>
      </c>
      <c r="U1442" s="663"/>
      <c r="Z1442" s="663"/>
      <c r="AA1442" s="663"/>
      <c r="AB1442" s="663"/>
      <c r="AC1442" s="663"/>
      <c r="AD1442" s="663"/>
      <c r="AE1442" s="663"/>
      <c r="AF1442" s="663"/>
      <c r="AG1442" s="663"/>
      <c r="AH1442" s="663"/>
      <c r="AI1442" s="663"/>
      <c r="AJ1442" s="663"/>
      <c r="AK1442" s="663"/>
      <c r="AL1442" s="663"/>
      <c r="AM1442" s="663"/>
      <c r="AN1442" s="663"/>
    </row>
    <row r="1443" spans="2:40" ht="14.45" hidden="1" customHeight="1" x14ac:dyDescent="0.25">
      <c r="B1443" s="936">
        <f t="shared" ref="B1443:L1443" si="3077">B1427</f>
        <v>39843</v>
      </c>
      <c r="C1443" s="662">
        <f t="shared" si="3077"/>
        <v>0</v>
      </c>
      <c r="D1443" s="662">
        <f t="shared" si="3077"/>
        <v>0</v>
      </c>
      <c r="E1443" s="662">
        <f t="shared" si="3077"/>
        <v>0</v>
      </c>
      <c r="F1443" s="662">
        <f t="shared" si="3077"/>
        <v>0</v>
      </c>
      <c r="G1443" s="662">
        <f t="shared" si="3077"/>
        <v>0</v>
      </c>
      <c r="H1443" s="662">
        <f t="shared" si="3077"/>
        <v>0</v>
      </c>
      <c r="I1443" s="662">
        <f t="shared" si="3077"/>
        <v>0</v>
      </c>
      <c r="J1443" s="662">
        <f t="shared" si="3077"/>
        <v>0</v>
      </c>
      <c r="K1443" s="662">
        <f t="shared" si="3077"/>
        <v>0</v>
      </c>
      <c r="L1443" s="662">
        <f t="shared" si="3077"/>
        <v>0</v>
      </c>
      <c r="U1443" s="663"/>
      <c r="Z1443" s="663"/>
      <c r="AA1443" s="663"/>
      <c r="AB1443" s="663"/>
      <c r="AC1443" s="663"/>
      <c r="AD1443" s="663"/>
      <c r="AE1443" s="663"/>
      <c r="AF1443" s="663"/>
      <c r="AG1443" s="663"/>
      <c r="AH1443" s="663"/>
      <c r="AI1443" s="663"/>
      <c r="AJ1443" s="663"/>
      <c r="AK1443" s="663"/>
      <c r="AL1443" s="663"/>
      <c r="AM1443" s="663"/>
      <c r="AN1443" s="663"/>
    </row>
    <row r="1444" spans="2:40" ht="14.45" hidden="1" customHeight="1" x14ac:dyDescent="0.25">
      <c r="B1444" s="936">
        <f>B1378</f>
        <v>41359</v>
      </c>
      <c r="C1444" s="662">
        <f t="shared" ref="C1444:L1444" si="3078">C1428</f>
        <v>4078815.2610441777</v>
      </c>
      <c r="D1444" s="662">
        <f t="shared" si="3078"/>
        <v>6118222.8915662663</v>
      </c>
      <c r="E1444" s="662">
        <f t="shared" si="3078"/>
        <v>8157630.5220883554</v>
      </c>
      <c r="F1444" s="662">
        <f t="shared" si="3078"/>
        <v>10197038.152610444</v>
      </c>
      <c r="G1444" s="662">
        <f t="shared" si="3078"/>
        <v>12236445.783132533</v>
      </c>
      <c r="H1444" s="662">
        <f t="shared" si="3078"/>
        <v>14275853.413654622</v>
      </c>
      <c r="I1444" s="662">
        <f t="shared" si="3078"/>
        <v>16315261.044176711</v>
      </c>
      <c r="J1444" s="662">
        <f t="shared" si="3078"/>
        <v>18354668.6746988</v>
      </c>
      <c r="K1444" s="662">
        <f t="shared" si="3078"/>
        <v>20394076.305220887</v>
      </c>
      <c r="L1444" s="662">
        <f t="shared" si="3078"/>
        <v>22433483.935742974</v>
      </c>
      <c r="U1444" s="663"/>
      <c r="Z1444" s="663"/>
      <c r="AA1444" s="663"/>
      <c r="AB1444" s="663"/>
      <c r="AC1444" s="663"/>
      <c r="AD1444" s="663"/>
      <c r="AE1444" s="663"/>
      <c r="AF1444" s="663"/>
      <c r="AG1444" s="663"/>
      <c r="AH1444" s="663"/>
      <c r="AI1444" s="663"/>
      <c r="AJ1444" s="663"/>
      <c r="AK1444" s="663"/>
      <c r="AL1444" s="663"/>
      <c r="AM1444" s="663"/>
      <c r="AN1444" s="663"/>
    </row>
    <row r="1445" spans="2:40" ht="14.45" hidden="1" customHeight="1" x14ac:dyDescent="0.25">
      <c r="C1445" s="882" t="str">
        <f ca="1">IF(ISERROR(XIRR(INDIRECT(C1447):C1444,INDIRECT($B1447):$B1444,-20%)),XIRR(INDIRECT(C1447):C1444,INDIRECT($B1447):$B1444,20%),"N/A")</f>
        <v>N/A</v>
      </c>
      <c r="D1445" s="882" t="str">
        <f ca="1">IF(ISERROR(XIRR(INDIRECT(D1447):D1444,INDIRECT($B1447):$B1444,-20%)),XIRR(INDIRECT(D1447):D1444,INDIRECT($B1447):$B1444,20%),"N/A")</f>
        <v>N/A</v>
      </c>
      <c r="E1445" s="882" t="str">
        <f ca="1">IF(ISERROR(XIRR(INDIRECT(E1447):E1444,INDIRECT($B1447):$B1444,-20%)),XIRR(INDIRECT(E1447):E1444,INDIRECT($B1447):$B1444,20%),"N/A")</f>
        <v>N/A</v>
      </c>
      <c r="F1445" s="882">
        <f ca="1">IF(ISERROR(XIRR(INDIRECT(F1447):F1444,INDIRECT($B1447):$B1444,-20%)),XIRR(INDIRECT(F1447):F1444,INDIRECT($B1447):$B1444,20%),"N/A")</f>
        <v>2.597889006137848E-2</v>
      </c>
      <c r="G1445" s="882">
        <f ca="1">IF(ISERROR(XIRR(INDIRECT(G1447):G1444,INDIRECT($B1447):$B1444,-20%)),XIRR(INDIRECT(G1447):G1444,INDIRECT($B1447):$B1444,20%),"N/A")</f>
        <v>7.2019067406654383E-2</v>
      </c>
      <c r="H1445" s="882">
        <f ca="1">IF(ISERROR(XIRR(INDIRECT(H1447):H1444,INDIRECT($B1447):$B1444,-20%)),XIRR(INDIRECT(H1447):H1444,INDIRECT($B1447):$B1444,20%),"N/A")</f>
        <v>0.11255366206169126</v>
      </c>
      <c r="I1445" s="882">
        <f ca="1">IF(ISERROR(XIRR(INDIRECT(I1447):I1444,INDIRECT($B1447):$B1444,-20%)),XIRR(INDIRECT(I1447):I1444,INDIRECT($B1447):$B1444,20%),"N/A")</f>
        <v>0.14890311360359193</v>
      </c>
      <c r="J1445" s="882">
        <f ca="1">IF(ISERROR(XIRR(INDIRECT(J1447):J1444,INDIRECT($B1447):$B1444,-20%)),XIRR(INDIRECT(J1447):J1444,INDIRECT($B1447):$B1444,20%),"N/A")</f>
        <v>0.18195013403892521</v>
      </c>
      <c r="K1445" s="882">
        <f ca="1">IF(ISERROR(XIRR(INDIRECT(K1447):K1444,INDIRECT($B1447):$B1444,-20%)),XIRR(INDIRECT(K1447):K1444,INDIRECT($B1447):$B1444,20%),"N/A")</f>
        <v>0.21231635212898259</v>
      </c>
      <c r="L1445" s="882">
        <f ca="1">IF(ISERROR(XIRR(INDIRECT(L1447):L1444,INDIRECT($B1447):$B1444,-20%)),XIRR(INDIRECT(L1447):L1444,INDIRECT($B1447):$B1444,20%),"N/A")</f>
        <v>0.24045746922492978</v>
      </c>
      <c r="U1445" s="663"/>
      <c r="Z1445" s="663"/>
      <c r="AA1445" s="663"/>
      <c r="AB1445" s="663"/>
      <c r="AC1445" s="663"/>
      <c r="AD1445" s="663"/>
      <c r="AE1445" s="663"/>
      <c r="AF1445" s="663"/>
      <c r="AG1445" s="663"/>
      <c r="AH1445" s="663"/>
      <c r="AI1445" s="663"/>
      <c r="AJ1445" s="663"/>
      <c r="AK1445" s="663"/>
      <c r="AL1445" s="663"/>
      <c r="AM1445" s="663"/>
      <c r="AN1445" s="663"/>
    </row>
    <row r="1446" spans="2:40" ht="14.45" hidden="1" customHeight="1" x14ac:dyDescent="0.25">
      <c r="B1446" s="898">
        <f>IF(C1434&lt;&gt;0,ROW(C1434),IF(C1435&lt;&gt;0,ROW(C1435),IF(C1436&lt;&gt;0,ROW(C1436),IF(C1437&lt;&gt;0,ROW(C1437),IF(C1438&lt;&gt;0,ROW(C1438),IF(C1439&lt;&gt;0,ROW(C1439),IF(C1440&lt;&gt;0,ROW(C1440),IF(C1441&lt;&gt;0,ROW(C1441),IF(C1442&lt;&gt;0,ROW(C1442),IF(C1443&lt;&gt;0,ROW(C1443)))))))))))</f>
        <v>1436</v>
      </c>
      <c r="C1446" s="882"/>
      <c r="U1446" s="663"/>
      <c r="Z1446" s="663"/>
      <c r="AA1446" s="663"/>
      <c r="AB1446" s="663"/>
      <c r="AC1446" s="663"/>
      <c r="AD1446" s="663"/>
      <c r="AE1446" s="663"/>
      <c r="AF1446" s="663"/>
      <c r="AG1446" s="663"/>
      <c r="AH1446" s="663"/>
      <c r="AI1446" s="663"/>
      <c r="AJ1446" s="663"/>
      <c r="AK1446" s="663"/>
      <c r="AL1446" s="663"/>
      <c r="AM1446" s="663"/>
      <c r="AN1446" s="663"/>
    </row>
    <row r="1447" spans="2:40" ht="14.45" hidden="1" customHeight="1" x14ac:dyDescent="0.25">
      <c r="B1447" s="899" t="str">
        <f>CONCATENATE(IF(COLUMN(B1446)&lt;=26,CHAR(96+COLUMN(B1446)),(CHAR(96+(ROUNDDOWN((COLUMN(B1446)-1)/26,0)))&amp;CHAR(96+IF(MOD(COLUMN(B1446),26)=0,26,MOD(COLUMN(B1446),26))))),B1446)</f>
        <v>b1436</v>
      </c>
      <c r="C1447" s="899" t="str">
        <f>CONCATENATE(IF(COLUMN(C1445)&lt;=26,CHAR(96+COLUMN(C1445)),(CHAR(96+(ROUNDDOWN((COLUMN(C1445)-1)/26,0)))&amp;CHAR(96+IF(MOD(COLUMN(C1445),26)=0,26,MOD(COLUMN(C1445),26))))),$B1446)</f>
        <v>c1436</v>
      </c>
      <c r="D1447" s="899" t="str">
        <f t="shared" ref="D1447" si="3079">CONCATENATE(IF(COLUMN(D1445)&lt;=26,CHAR(96+COLUMN(D1445)),(CHAR(96+(ROUNDDOWN((COLUMN(D1445)-1)/26,0)))&amp;CHAR(96+IF(MOD(COLUMN(D1445),26)=0,26,MOD(COLUMN(D1445),26))))),$B1446)</f>
        <v>d1436</v>
      </c>
      <c r="E1447" s="899" t="str">
        <f t="shared" ref="E1447" si="3080">CONCATENATE(IF(COLUMN(E1445)&lt;=26,CHAR(96+COLUMN(E1445)),(CHAR(96+(ROUNDDOWN((COLUMN(E1445)-1)/26,0)))&amp;CHAR(96+IF(MOD(COLUMN(E1445),26)=0,26,MOD(COLUMN(E1445),26))))),$B1446)</f>
        <v>e1436</v>
      </c>
      <c r="F1447" s="899" t="str">
        <f t="shared" ref="F1447" si="3081">CONCATENATE(IF(COLUMN(F1445)&lt;=26,CHAR(96+COLUMN(F1445)),(CHAR(96+(ROUNDDOWN((COLUMN(F1445)-1)/26,0)))&amp;CHAR(96+IF(MOD(COLUMN(F1445),26)=0,26,MOD(COLUMN(F1445),26))))),$B1446)</f>
        <v>f1436</v>
      </c>
      <c r="G1447" s="899" t="str">
        <f t="shared" ref="G1447" si="3082">CONCATENATE(IF(COLUMN(G1445)&lt;=26,CHAR(96+COLUMN(G1445)),(CHAR(96+(ROUNDDOWN((COLUMN(G1445)-1)/26,0)))&amp;CHAR(96+IF(MOD(COLUMN(G1445),26)=0,26,MOD(COLUMN(G1445),26))))),$B1446)</f>
        <v>g1436</v>
      </c>
      <c r="H1447" s="899" t="str">
        <f t="shared" ref="H1447" si="3083">CONCATENATE(IF(COLUMN(H1445)&lt;=26,CHAR(96+COLUMN(H1445)),(CHAR(96+(ROUNDDOWN((COLUMN(H1445)-1)/26,0)))&amp;CHAR(96+IF(MOD(COLUMN(H1445),26)=0,26,MOD(COLUMN(H1445),26))))),$B1446)</f>
        <v>h1436</v>
      </c>
      <c r="I1447" s="899" t="str">
        <f t="shared" ref="I1447" si="3084">CONCATENATE(IF(COLUMN(I1445)&lt;=26,CHAR(96+COLUMN(I1445)),(CHAR(96+(ROUNDDOWN((COLUMN(I1445)-1)/26,0)))&amp;CHAR(96+IF(MOD(COLUMN(I1445),26)=0,26,MOD(COLUMN(I1445),26))))),$B1446)</f>
        <v>i1436</v>
      </c>
      <c r="J1447" s="899" t="str">
        <f t="shared" ref="J1447" si="3085">CONCATENATE(IF(COLUMN(J1445)&lt;=26,CHAR(96+COLUMN(J1445)),(CHAR(96+(ROUNDDOWN((COLUMN(J1445)-1)/26,0)))&amp;CHAR(96+IF(MOD(COLUMN(J1445),26)=0,26,MOD(COLUMN(J1445),26))))),$B1446)</f>
        <v>j1436</v>
      </c>
      <c r="K1447" s="899" t="str">
        <f t="shared" ref="K1447" si="3086">CONCATENATE(IF(COLUMN(K1445)&lt;=26,CHAR(96+COLUMN(K1445)),(CHAR(96+(ROUNDDOWN((COLUMN(K1445)-1)/26,0)))&amp;CHAR(96+IF(MOD(COLUMN(K1445),26)=0,26,MOD(COLUMN(K1445),26))))),$B1446)</f>
        <v>k1436</v>
      </c>
      <c r="L1447" s="899" t="str">
        <f t="shared" ref="L1447" si="3087">CONCATENATE(IF(COLUMN(L1445)&lt;=26,CHAR(96+COLUMN(L1445)),(CHAR(96+(ROUNDDOWN((COLUMN(L1445)-1)/26,0)))&amp;CHAR(96+IF(MOD(COLUMN(L1445),26)=0,26,MOD(COLUMN(L1445),26))))),$B1446)</f>
        <v>l1436</v>
      </c>
      <c r="U1447" s="663"/>
      <c r="Z1447" s="663"/>
      <c r="AA1447" s="663"/>
      <c r="AB1447" s="663"/>
      <c r="AC1447" s="663"/>
      <c r="AD1447" s="663"/>
      <c r="AE1447" s="663"/>
      <c r="AF1447" s="663"/>
      <c r="AG1447" s="663"/>
      <c r="AH1447" s="663"/>
      <c r="AI1447" s="663"/>
      <c r="AJ1447" s="663"/>
      <c r="AK1447" s="663"/>
      <c r="AL1447" s="663"/>
      <c r="AM1447" s="663"/>
      <c r="AN1447" s="663"/>
    </row>
    <row r="1448" spans="2:40" ht="14.45" hidden="1" customHeight="1" x14ac:dyDescent="0.25">
      <c r="C1448" s="662"/>
      <c r="U1448" s="663"/>
      <c r="Z1448" s="663"/>
      <c r="AA1448" s="663"/>
      <c r="AB1448" s="663"/>
      <c r="AC1448" s="663"/>
      <c r="AD1448" s="663"/>
      <c r="AE1448" s="663"/>
      <c r="AF1448" s="663"/>
      <c r="AG1448" s="663"/>
      <c r="AH1448" s="663"/>
      <c r="AI1448" s="663"/>
      <c r="AJ1448" s="663"/>
      <c r="AK1448" s="663"/>
      <c r="AL1448" s="663"/>
      <c r="AM1448" s="663"/>
      <c r="AN1448" s="663"/>
    </row>
    <row r="1449" spans="2:40" ht="14.45" hidden="1" customHeight="1" x14ac:dyDescent="0.25">
      <c r="C1449" s="662"/>
      <c r="U1449" s="663"/>
      <c r="Z1449" s="663"/>
      <c r="AA1449" s="663"/>
      <c r="AB1449" s="663"/>
      <c r="AC1449" s="663"/>
      <c r="AD1449" s="663"/>
      <c r="AE1449" s="663"/>
      <c r="AF1449" s="663"/>
      <c r="AG1449" s="663"/>
      <c r="AH1449" s="663"/>
      <c r="AI1449" s="663"/>
      <c r="AJ1449" s="663"/>
      <c r="AK1449" s="663"/>
      <c r="AL1449" s="663"/>
      <c r="AM1449" s="663"/>
      <c r="AN1449" s="663"/>
    </row>
    <row r="1450" spans="2:40" ht="14.45" hidden="1" customHeight="1" x14ac:dyDescent="0.25">
      <c r="B1450" s="936">
        <f>B1434</f>
        <v>39113</v>
      </c>
      <c r="C1450" s="662">
        <f>C1434</f>
        <v>0</v>
      </c>
      <c r="D1450" s="662">
        <f t="shared" ref="D1450:L1450" si="3088">D1434</f>
        <v>0</v>
      </c>
      <c r="E1450" s="662">
        <f t="shared" si="3088"/>
        <v>0</v>
      </c>
      <c r="F1450" s="662">
        <f t="shared" si="3088"/>
        <v>0</v>
      </c>
      <c r="G1450" s="662">
        <f t="shared" si="3088"/>
        <v>0</v>
      </c>
      <c r="H1450" s="662">
        <f t="shared" si="3088"/>
        <v>0</v>
      </c>
      <c r="I1450" s="662">
        <f t="shared" si="3088"/>
        <v>0</v>
      </c>
      <c r="J1450" s="662">
        <f t="shared" si="3088"/>
        <v>0</v>
      </c>
      <c r="K1450" s="662">
        <f t="shared" si="3088"/>
        <v>0</v>
      </c>
      <c r="L1450" s="662">
        <f t="shared" si="3088"/>
        <v>0</v>
      </c>
      <c r="U1450" s="663"/>
      <c r="Z1450" s="663"/>
      <c r="AA1450" s="663"/>
      <c r="AB1450" s="663"/>
      <c r="AC1450" s="663"/>
      <c r="AD1450" s="663"/>
      <c r="AE1450" s="663"/>
      <c r="AF1450" s="663"/>
      <c r="AG1450" s="663"/>
      <c r="AH1450" s="663"/>
      <c r="AI1450" s="663"/>
      <c r="AJ1450" s="663"/>
      <c r="AK1450" s="663"/>
      <c r="AL1450" s="663"/>
      <c r="AM1450" s="663"/>
      <c r="AN1450" s="663"/>
    </row>
    <row r="1451" spans="2:40" ht="14.45" hidden="1" customHeight="1" x14ac:dyDescent="0.25">
      <c r="B1451" s="936">
        <f t="shared" ref="B1451:L1451" si="3089">B1435</f>
        <v>39478</v>
      </c>
      <c r="C1451" s="662">
        <f t="shared" si="3089"/>
        <v>0</v>
      </c>
      <c r="D1451" s="662">
        <f t="shared" si="3089"/>
        <v>0</v>
      </c>
      <c r="E1451" s="662">
        <f t="shared" si="3089"/>
        <v>0</v>
      </c>
      <c r="F1451" s="662">
        <f t="shared" si="3089"/>
        <v>0</v>
      </c>
      <c r="G1451" s="662">
        <f t="shared" si="3089"/>
        <v>0</v>
      </c>
      <c r="H1451" s="662">
        <f t="shared" si="3089"/>
        <v>0</v>
      </c>
      <c r="I1451" s="662">
        <f t="shared" si="3089"/>
        <v>0</v>
      </c>
      <c r="J1451" s="662">
        <f t="shared" si="3089"/>
        <v>0</v>
      </c>
      <c r="K1451" s="662">
        <f t="shared" si="3089"/>
        <v>0</v>
      </c>
      <c r="L1451" s="662">
        <f t="shared" si="3089"/>
        <v>0</v>
      </c>
      <c r="U1451" s="663"/>
      <c r="Z1451" s="663"/>
      <c r="AA1451" s="663"/>
      <c r="AB1451" s="663"/>
      <c r="AC1451" s="663"/>
      <c r="AD1451" s="663"/>
      <c r="AE1451" s="663"/>
      <c r="AF1451" s="663"/>
      <c r="AG1451" s="663"/>
      <c r="AH1451" s="663"/>
      <c r="AI1451" s="663"/>
      <c r="AJ1451" s="663"/>
      <c r="AK1451" s="663"/>
      <c r="AL1451" s="663"/>
      <c r="AM1451" s="663"/>
      <c r="AN1451" s="663"/>
    </row>
    <row r="1452" spans="2:40" ht="14.45" hidden="1" customHeight="1" x14ac:dyDescent="0.25">
      <c r="B1452" s="936">
        <f t="shared" ref="B1452:L1452" si="3090">B1436</f>
        <v>39843</v>
      </c>
      <c r="C1452" s="662">
        <f t="shared" si="3090"/>
        <v>-2500000</v>
      </c>
      <c r="D1452" s="662">
        <f t="shared" si="3090"/>
        <v>-2500000</v>
      </c>
      <c r="E1452" s="662">
        <f t="shared" si="3090"/>
        <v>-2500000</v>
      </c>
      <c r="F1452" s="662">
        <f t="shared" si="3090"/>
        <v>-2500000</v>
      </c>
      <c r="G1452" s="662">
        <f t="shared" si="3090"/>
        <v>-2500000</v>
      </c>
      <c r="H1452" s="662">
        <f t="shared" si="3090"/>
        <v>-2500000</v>
      </c>
      <c r="I1452" s="662">
        <f t="shared" si="3090"/>
        <v>-2500000</v>
      </c>
      <c r="J1452" s="662">
        <f t="shared" si="3090"/>
        <v>-2500000</v>
      </c>
      <c r="K1452" s="662">
        <f t="shared" si="3090"/>
        <v>-2500000</v>
      </c>
      <c r="L1452" s="662">
        <f t="shared" si="3090"/>
        <v>-2500000</v>
      </c>
      <c r="U1452" s="663"/>
      <c r="Z1452" s="663"/>
      <c r="AA1452" s="663"/>
      <c r="AB1452" s="663"/>
      <c r="AC1452" s="663"/>
      <c r="AD1452" s="663"/>
      <c r="AE1452" s="663"/>
      <c r="AF1452" s="663"/>
      <c r="AG1452" s="663"/>
      <c r="AH1452" s="663"/>
      <c r="AI1452" s="663"/>
      <c r="AJ1452" s="663"/>
      <c r="AK1452" s="663"/>
      <c r="AL1452" s="663"/>
      <c r="AM1452" s="663"/>
      <c r="AN1452" s="663"/>
    </row>
    <row r="1453" spans="2:40" ht="14.45" hidden="1" customHeight="1" x14ac:dyDescent="0.25">
      <c r="B1453" s="936">
        <f t="shared" ref="B1453:L1453" si="3091">B1437</f>
        <v>39843</v>
      </c>
      <c r="C1453" s="662">
        <f t="shared" si="3091"/>
        <v>-6666666.666666667</v>
      </c>
      <c r="D1453" s="662">
        <f t="shared" si="3091"/>
        <v>-6666666.666666667</v>
      </c>
      <c r="E1453" s="662">
        <f t="shared" si="3091"/>
        <v>-6666666.666666667</v>
      </c>
      <c r="F1453" s="662">
        <f t="shared" si="3091"/>
        <v>-6666666.666666667</v>
      </c>
      <c r="G1453" s="662">
        <f t="shared" si="3091"/>
        <v>-6666666.666666667</v>
      </c>
      <c r="H1453" s="662">
        <f t="shared" si="3091"/>
        <v>-6666666.666666667</v>
      </c>
      <c r="I1453" s="662">
        <f t="shared" si="3091"/>
        <v>-6666666.666666667</v>
      </c>
      <c r="J1453" s="662">
        <f t="shared" si="3091"/>
        <v>-6666666.666666667</v>
      </c>
      <c r="K1453" s="662">
        <f t="shared" si="3091"/>
        <v>-6666666.666666667</v>
      </c>
      <c r="L1453" s="662">
        <f t="shared" si="3091"/>
        <v>-6666666.666666667</v>
      </c>
      <c r="U1453" s="663"/>
      <c r="Z1453" s="663"/>
      <c r="AA1453" s="663"/>
      <c r="AB1453" s="663"/>
      <c r="AC1453" s="663"/>
      <c r="AD1453" s="663"/>
      <c r="AE1453" s="663"/>
      <c r="AF1453" s="663"/>
      <c r="AG1453" s="663"/>
      <c r="AH1453" s="663"/>
      <c r="AI1453" s="663"/>
      <c r="AJ1453" s="663"/>
      <c r="AK1453" s="663"/>
      <c r="AL1453" s="663"/>
      <c r="AM1453" s="663"/>
      <c r="AN1453" s="663"/>
    </row>
    <row r="1454" spans="2:40" ht="14.45" hidden="1" customHeight="1" x14ac:dyDescent="0.25">
      <c r="B1454" s="936">
        <f t="shared" ref="B1454:L1454" si="3092">B1438</f>
        <v>39843</v>
      </c>
      <c r="C1454" s="662">
        <f t="shared" si="3092"/>
        <v>0</v>
      </c>
      <c r="D1454" s="662">
        <f t="shared" si="3092"/>
        <v>0</v>
      </c>
      <c r="E1454" s="662">
        <f t="shared" si="3092"/>
        <v>0</v>
      </c>
      <c r="F1454" s="662">
        <f t="shared" si="3092"/>
        <v>0</v>
      </c>
      <c r="G1454" s="662">
        <f t="shared" si="3092"/>
        <v>0</v>
      </c>
      <c r="H1454" s="662">
        <f t="shared" si="3092"/>
        <v>0</v>
      </c>
      <c r="I1454" s="662">
        <f t="shared" si="3092"/>
        <v>0</v>
      </c>
      <c r="J1454" s="662">
        <f t="shared" si="3092"/>
        <v>0</v>
      </c>
      <c r="K1454" s="662">
        <f t="shared" si="3092"/>
        <v>0</v>
      </c>
      <c r="L1454" s="662">
        <f t="shared" si="3092"/>
        <v>0</v>
      </c>
      <c r="U1454" s="663"/>
      <c r="Z1454" s="663"/>
      <c r="AA1454" s="663"/>
      <c r="AB1454" s="663"/>
      <c r="AC1454" s="663"/>
      <c r="AD1454" s="663"/>
      <c r="AE1454" s="663"/>
      <c r="AF1454" s="663"/>
      <c r="AG1454" s="663"/>
      <c r="AH1454" s="663"/>
      <c r="AI1454" s="663"/>
      <c r="AJ1454" s="663"/>
      <c r="AK1454" s="663"/>
      <c r="AL1454" s="663"/>
      <c r="AM1454" s="663"/>
      <c r="AN1454" s="663"/>
    </row>
    <row r="1455" spans="2:40" ht="14.45" hidden="1" customHeight="1" x14ac:dyDescent="0.25">
      <c r="B1455" s="936">
        <f t="shared" ref="B1455:L1455" si="3093">B1439</f>
        <v>39843</v>
      </c>
      <c r="C1455" s="662">
        <f t="shared" si="3093"/>
        <v>0</v>
      </c>
      <c r="D1455" s="662">
        <f t="shared" si="3093"/>
        <v>0</v>
      </c>
      <c r="E1455" s="662">
        <f t="shared" si="3093"/>
        <v>0</v>
      </c>
      <c r="F1455" s="662">
        <f t="shared" si="3093"/>
        <v>0</v>
      </c>
      <c r="G1455" s="662">
        <f t="shared" si="3093"/>
        <v>0</v>
      </c>
      <c r="H1455" s="662">
        <f t="shared" si="3093"/>
        <v>0</v>
      </c>
      <c r="I1455" s="662">
        <f t="shared" si="3093"/>
        <v>0</v>
      </c>
      <c r="J1455" s="662">
        <f t="shared" si="3093"/>
        <v>0</v>
      </c>
      <c r="K1455" s="662">
        <f t="shared" si="3093"/>
        <v>0</v>
      </c>
      <c r="L1455" s="662">
        <f t="shared" si="3093"/>
        <v>0</v>
      </c>
      <c r="U1455" s="663"/>
      <c r="Z1455" s="663"/>
      <c r="AA1455" s="663"/>
      <c r="AB1455" s="663"/>
      <c r="AC1455" s="663"/>
      <c r="AD1455" s="663"/>
      <c r="AE1455" s="663"/>
      <c r="AF1455" s="663"/>
      <c r="AG1455" s="663"/>
      <c r="AH1455" s="663"/>
      <c r="AI1455" s="663"/>
      <c r="AJ1455" s="663"/>
      <c r="AK1455" s="663"/>
      <c r="AL1455" s="663"/>
      <c r="AM1455" s="663"/>
      <c r="AN1455" s="663"/>
    </row>
    <row r="1456" spans="2:40" ht="14.45" hidden="1" customHeight="1" x14ac:dyDescent="0.25">
      <c r="B1456" s="936">
        <f t="shared" ref="B1456:L1456" si="3094">B1440</f>
        <v>39843</v>
      </c>
      <c r="C1456" s="662">
        <f t="shared" si="3094"/>
        <v>0</v>
      </c>
      <c r="D1456" s="662">
        <f t="shared" si="3094"/>
        <v>0</v>
      </c>
      <c r="E1456" s="662">
        <f t="shared" si="3094"/>
        <v>0</v>
      </c>
      <c r="F1456" s="662">
        <f t="shared" si="3094"/>
        <v>0</v>
      </c>
      <c r="G1456" s="662">
        <f t="shared" si="3094"/>
        <v>0</v>
      </c>
      <c r="H1456" s="662">
        <f t="shared" si="3094"/>
        <v>0</v>
      </c>
      <c r="I1456" s="662">
        <f t="shared" si="3094"/>
        <v>0</v>
      </c>
      <c r="J1456" s="662">
        <f t="shared" si="3094"/>
        <v>0</v>
      </c>
      <c r="K1456" s="662">
        <f t="shared" si="3094"/>
        <v>0</v>
      </c>
      <c r="L1456" s="662">
        <f t="shared" si="3094"/>
        <v>0</v>
      </c>
      <c r="U1456" s="663"/>
      <c r="Z1456" s="663"/>
      <c r="AA1456" s="663"/>
      <c r="AB1456" s="663"/>
      <c r="AC1456" s="663"/>
      <c r="AD1456" s="663"/>
      <c r="AE1456" s="663"/>
      <c r="AF1456" s="663"/>
      <c r="AG1456" s="663"/>
      <c r="AH1456" s="663"/>
      <c r="AI1456" s="663"/>
      <c r="AJ1456" s="663"/>
      <c r="AK1456" s="663"/>
      <c r="AL1456" s="663"/>
      <c r="AM1456" s="663"/>
      <c r="AN1456" s="663"/>
    </row>
    <row r="1457" spans="2:40" ht="14.45" hidden="1" customHeight="1" x14ac:dyDescent="0.25">
      <c r="B1457" s="936">
        <f t="shared" ref="B1457:L1457" si="3095">B1441</f>
        <v>39843</v>
      </c>
      <c r="C1457" s="662">
        <f t="shared" si="3095"/>
        <v>0</v>
      </c>
      <c r="D1457" s="662">
        <f t="shared" si="3095"/>
        <v>0</v>
      </c>
      <c r="E1457" s="662">
        <f t="shared" si="3095"/>
        <v>0</v>
      </c>
      <c r="F1457" s="662">
        <f t="shared" si="3095"/>
        <v>0</v>
      </c>
      <c r="G1457" s="662">
        <f t="shared" si="3095"/>
        <v>0</v>
      </c>
      <c r="H1457" s="662">
        <f t="shared" si="3095"/>
        <v>0</v>
      </c>
      <c r="I1457" s="662">
        <f t="shared" si="3095"/>
        <v>0</v>
      </c>
      <c r="J1457" s="662">
        <f t="shared" si="3095"/>
        <v>0</v>
      </c>
      <c r="K1457" s="662">
        <f t="shared" si="3095"/>
        <v>0</v>
      </c>
      <c r="L1457" s="662">
        <f t="shared" si="3095"/>
        <v>0</v>
      </c>
      <c r="U1457" s="663"/>
      <c r="Z1457" s="663"/>
      <c r="AA1457" s="663"/>
      <c r="AB1457" s="663"/>
      <c r="AC1457" s="663"/>
      <c r="AD1457" s="663"/>
      <c r="AE1457" s="663"/>
      <c r="AF1457" s="663"/>
      <c r="AG1457" s="663"/>
      <c r="AH1457" s="663"/>
      <c r="AI1457" s="663"/>
      <c r="AJ1457" s="663"/>
      <c r="AK1457" s="663"/>
      <c r="AL1457" s="663"/>
      <c r="AM1457" s="663"/>
      <c r="AN1457" s="663"/>
    </row>
    <row r="1458" spans="2:40" ht="14.45" hidden="1" customHeight="1" x14ac:dyDescent="0.25">
      <c r="B1458" s="936">
        <f t="shared" ref="B1458:L1458" si="3096">B1442</f>
        <v>39843</v>
      </c>
      <c r="C1458" s="662">
        <f t="shared" si="3096"/>
        <v>0</v>
      </c>
      <c r="D1458" s="662">
        <f t="shared" si="3096"/>
        <v>0</v>
      </c>
      <c r="E1458" s="662">
        <f t="shared" si="3096"/>
        <v>0</v>
      </c>
      <c r="F1458" s="662">
        <f t="shared" si="3096"/>
        <v>0</v>
      </c>
      <c r="G1458" s="662">
        <f t="shared" si="3096"/>
        <v>0</v>
      </c>
      <c r="H1458" s="662">
        <f t="shared" si="3096"/>
        <v>0</v>
      </c>
      <c r="I1458" s="662">
        <f t="shared" si="3096"/>
        <v>0</v>
      </c>
      <c r="J1458" s="662">
        <f t="shared" si="3096"/>
        <v>0</v>
      </c>
      <c r="K1458" s="662">
        <f t="shared" si="3096"/>
        <v>0</v>
      </c>
      <c r="L1458" s="662">
        <f t="shared" si="3096"/>
        <v>0</v>
      </c>
      <c r="U1458" s="663"/>
      <c r="Z1458" s="663"/>
      <c r="AA1458" s="663"/>
      <c r="AB1458" s="663"/>
      <c r="AC1458" s="663"/>
      <c r="AD1458" s="663"/>
      <c r="AE1458" s="663"/>
      <c r="AF1458" s="663"/>
      <c r="AG1458" s="663"/>
      <c r="AH1458" s="663"/>
      <c r="AI1458" s="663"/>
      <c r="AJ1458" s="663"/>
      <c r="AK1458" s="663"/>
      <c r="AL1458" s="663"/>
      <c r="AM1458" s="663"/>
      <c r="AN1458" s="663"/>
    </row>
    <row r="1459" spans="2:40" ht="14.45" hidden="1" customHeight="1" x14ac:dyDescent="0.25">
      <c r="B1459" s="936">
        <f t="shared" ref="B1459:L1459" si="3097">B1443</f>
        <v>39843</v>
      </c>
      <c r="C1459" s="662">
        <f t="shared" si="3097"/>
        <v>0</v>
      </c>
      <c r="D1459" s="662">
        <f t="shared" si="3097"/>
        <v>0</v>
      </c>
      <c r="E1459" s="662">
        <f t="shared" si="3097"/>
        <v>0</v>
      </c>
      <c r="F1459" s="662">
        <f t="shared" si="3097"/>
        <v>0</v>
      </c>
      <c r="G1459" s="662">
        <f t="shared" si="3097"/>
        <v>0</v>
      </c>
      <c r="H1459" s="662">
        <f t="shared" si="3097"/>
        <v>0</v>
      </c>
      <c r="I1459" s="662">
        <f t="shared" si="3097"/>
        <v>0</v>
      </c>
      <c r="J1459" s="662">
        <f t="shared" si="3097"/>
        <v>0</v>
      </c>
      <c r="K1459" s="662">
        <f t="shared" si="3097"/>
        <v>0</v>
      </c>
      <c r="L1459" s="662">
        <f t="shared" si="3097"/>
        <v>0</v>
      </c>
      <c r="U1459" s="663"/>
      <c r="Z1459" s="663"/>
      <c r="AA1459" s="663"/>
      <c r="AB1459" s="663"/>
      <c r="AC1459" s="663"/>
      <c r="AD1459" s="663"/>
      <c r="AE1459" s="663"/>
      <c r="AF1459" s="663"/>
      <c r="AG1459" s="663"/>
      <c r="AH1459" s="663"/>
      <c r="AI1459" s="663"/>
      <c r="AJ1459" s="663"/>
      <c r="AK1459" s="663"/>
      <c r="AL1459" s="663"/>
      <c r="AM1459" s="663"/>
      <c r="AN1459" s="663"/>
    </row>
    <row r="1460" spans="2:40" ht="14.45" hidden="1" customHeight="1" x14ac:dyDescent="0.25">
      <c r="B1460" s="936">
        <f>B1394</f>
        <v>41539</v>
      </c>
      <c r="C1460" s="662">
        <f t="shared" ref="C1460:L1460" si="3098">C1444</f>
        <v>4078815.2610441777</v>
      </c>
      <c r="D1460" s="662">
        <f t="shared" si="3098"/>
        <v>6118222.8915662663</v>
      </c>
      <c r="E1460" s="662">
        <f t="shared" si="3098"/>
        <v>8157630.5220883554</v>
      </c>
      <c r="F1460" s="662">
        <f t="shared" si="3098"/>
        <v>10197038.152610444</v>
      </c>
      <c r="G1460" s="662">
        <f t="shared" si="3098"/>
        <v>12236445.783132533</v>
      </c>
      <c r="H1460" s="662">
        <f t="shared" si="3098"/>
        <v>14275853.413654622</v>
      </c>
      <c r="I1460" s="662">
        <f t="shared" si="3098"/>
        <v>16315261.044176711</v>
      </c>
      <c r="J1460" s="662">
        <f t="shared" si="3098"/>
        <v>18354668.6746988</v>
      </c>
      <c r="K1460" s="662">
        <f t="shared" si="3098"/>
        <v>20394076.305220887</v>
      </c>
      <c r="L1460" s="662">
        <f t="shared" si="3098"/>
        <v>22433483.935742974</v>
      </c>
      <c r="U1460" s="663"/>
      <c r="Z1460" s="663"/>
      <c r="AA1460" s="663"/>
      <c r="AB1460" s="663"/>
      <c r="AC1460" s="663"/>
      <c r="AD1460" s="663"/>
      <c r="AE1460" s="663"/>
      <c r="AF1460" s="663"/>
      <c r="AG1460" s="663"/>
      <c r="AH1460" s="663"/>
      <c r="AI1460" s="663"/>
      <c r="AJ1460" s="663"/>
      <c r="AK1460" s="663"/>
      <c r="AL1460" s="663"/>
      <c r="AM1460" s="663"/>
      <c r="AN1460" s="663"/>
    </row>
    <row r="1461" spans="2:40" ht="14.45" hidden="1" customHeight="1" x14ac:dyDescent="0.25">
      <c r="C1461" s="882" t="str">
        <f ca="1">IF(ISERROR(XIRR(INDIRECT(C1463):C1460,INDIRECT($B1463):$B1460,-20%)),XIRR(INDIRECT(C1463):C1460,INDIRECT($B1463):$B1460,20%),"N/A")</f>
        <v>N/A</v>
      </c>
      <c r="D1461" s="882" t="str">
        <f ca="1">IF(ISERROR(XIRR(INDIRECT(D1463):D1460,INDIRECT($B1463):$B1460,-20%)),XIRR(INDIRECT(D1463):D1460,INDIRECT($B1463):$B1460,20%),"N/A")</f>
        <v>N/A</v>
      </c>
      <c r="E1461" s="882" t="str">
        <f ca="1">IF(ISERROR(XIRR(INDIRECT(E1463):E1460,INDIRECT($B1463):$B1460,-20%)),XIRR(INDIRECT(E1463):E1460,INDIRECT($B1463):$B1460,20%),"N/A")</f>
        <v>N/A</v>
      </c>
      <c r="F1461" s="882">
        <f ca="1">IF(ISERROR(XIRR(INDIRECT(F1463):F1460,INDIRECT($B1463):$B1460,-20%)),XIRR(INDIRECT(F1463):F1460,INDIRECT($B1463):$B1460,20%),"N/A")</f>
        <v>2.3189982771873476E-2</v>
      </c>
      <c r="G1461" s="882">
        <f ca="1">IF(ISERROR(XIRR(INDIRECT(G1463):G1460,INDIRECT($B1463):$B1460,-20%)),XIRR(INDIRECT(G1463):G1460,INDIRECT($B1463):$B1460,20%),"N/A")</f>
        <v>6.4135804772377E-2</v>
      </c>
      <c r="H1461" s="882">
        <f ca="1">IF(ISERROR(XIRR(INDIRECT(H1463):H1460,INDIRECT($B1463):$B1460,-20%)),XIRR(INDIRECT(H1463):H1460,INDIRECT($B1463):$B1460,20%),"N/A")</f>
        <v>0.10003075003623962</v>
      </c>
      <c r="I1461" s="882">
        <f ca="1">IF(ISERROR(XIRR(INDIRECT(I1463):I1460,INDIRECT($B1463):$B1460,-20%)),XIRR(INDIRECT(I1463):I1460,INDIRECT($B1463):$B1460,20%),"N/A")</f>
        <v>0.13210160136222837</v>
      </c>
      <c r="J1461" s="882">
        <f ca="1">IF(ISERROR(XIRR(INDIRECT(J1463):J1460,INDIRECT($B1463):$B1460,-20%)),XIRR(INDIRECT(J1463):J1460,INDIRECT($B1463):$B1460,20%),"N/A")</f>
        <v>0.16116531491279609</v>
      </c>
      <c r="K1461" s="882">
        <f ca="1">IF(ISERROR(XIRR(INDIRECT(K1463):K1460,INDIRECT($B1463):$B1460,-20%)),XIRR(INDIRECT(K1463):K1460,INDIRECT($B1463):$B1460,20%),"N/A")</f>
        <v>0.18779537081718448</v>
      </c>
      <c r="L1461" s="882">
        <f ca="1">IF(ISERROR(XIRR(INDIRECT(L1463):L1460,INDIRECT($B1463):$B1460,-20%)),XIRR(INDIRECT(L1463):L1460,INDIRECT($B1463):$B1460,20%),"N/A")</f>
        <v>0.21241092085838323</v>
      </c>
      <c r="U1461" s="663"/>
      <c r="Z1461" s="663"/>
      <c r="AA1461" s="663"/>
      <c r="AB1461" s="663"/>
      <c r="AC1461" s="663"/>
      <c r="AD1461" s="663"/>
      <c r="AE1461" s="663"/>
      <c r="AF1461" s="663"/>
      <c r="AG1461" s="663"/>
      <c r="AH1461" s="663"/>
      <c r="AI1461" s="663"/>
      <c r="AJ1461" s="663"/>
      <c r="AK1461" s="663"/>
      <c r="AL1461" s="663"/>
      <c r="AM1461" s="663"/>
      <c r="AN1461" s="663"/>
    </row>
    <row r="1462" spans="2:40" ht="14.45" hidden="1" customHeight="1" x14ac:dyDescent="0.25">
      <c r="B1462" s="898">
        <f>IF(C1450&lt;&gt;0,ROW(C1450),IF(C1451&lt;&gt;0,ROW(C1451),IF(C1452&lt;&gt;0,ROW(C1452),IF(C1453&lt;&gt;0,ROW(C1453),IF(C1454&lt;&gt;0,ROW(C1454),IF(C1455&lt;&gt;0,ROW(C1455),IF(C1456&lt;&gt;0,ROW(C1456),IF(C1457&lt;&gt;0,ROW(C1457),IF(C1458&lt;&gt;0,ROW(C1458),IF(C1459&lt;&gt;0,ROW(C1459)))))))))))</f>
        <v>1452</v>
      </c>
      <c r="C1462" s="882"/>
      <c r="U1462" s="663"/>
      <c r="Z1462" s="663"/>
      <c r="AA1462" s="663"/>
      <c r="AB1462" s="663"/>
      <c r="AC1462" s="663"/>
      <c r="AD1462" s="663"/>
      <c r="AE1462" s="663"/>
      <c r="AF1462" s="663"/>
      <c r="AG1462" s="663"/>
      <c r="AH1462" s="663"/>
      <c r="AI1462" s="663"/>
      <c r="AJ1462" s="663"/>
      <c r="AK1462" s="663"/>
      <c r="AL1462" s="663"/>
      <c r="AM1462" s="663"/>
      <c r="AN1462" s="663"/>
    </row>
    <row r="1463" spans="2:40" ht="14.45" hidden="1" customHeight="1" x14ac:dyDescent="0.25">
      <c r="B1463" s="899" t="str">
        <f>CONCATENATE(IF(COLUMN(B1462)&lt;=26,CHAR(96+COLUMN(B1462)),(CHAR(96+(ROUNDDOWN((COLUMN(B1462)-1)/26,0)))&amp;CHAR(96+IF(MOD(COLUMN(B1462),26)=0,26,MOD(COLUMN(B1462),26))))),B1462)</f>
        <v>b1452</v>
      </c>
      <c r="C1463" s="899" t="str">
        <f>CONCATENATE(IF(COLUMN(C1461)&lt;=26,CHAR(96+COLUMN(C1461)),(CHAR(96+(ROUNDDOWN((COLUMN(C1461)-1)/26,0)))&amp;CHAR(96+IF(MOD(COLUMN(C1461),26)=0,26,MOD(COLUMN(C1461),26))))),$B1462)</f>
        <v>c1452</v>
      </c>
      <c r="D1463" s="899" t="str">
        <f t="shared" ref="D1463" si="3099">CONCATENATE(IF(COLUMN(D1461)&lt;=26,CHAR(96+COLUMN(D1461)),(CHAR(96+(ROUNDDOWN((COLUMN(D1461)-1)/26,0)))&amp;CHAR(96+IF(MOD(COLUMN(D1461),26)=0,26,MOD(COLUMN(D1461),26))))),$B1462)</f>
        <v>d1452</v>
      </c>
      <c r="E1463" s="899" t="str">
        <f t="shared" ref="E1463" si="3100">CONCATENATE(IF(COLUMN(E1461)&lt;=26,CHAR(96+COLUMN(E1461)),(CHAR(96+(ROUNDDOWN((COLUMN(E1461)-1)/26,0)))&amp;CHAR(96+IF(MOD(COLUMN(E1461),26)=0,26,MOD(COLUMN(E1461),26))))),$B1462)</f>
        <v>e1452</v>
      </c>
      <c r="F1463" s="899" t="str">
        <f t="shared" ref="F1463" si="3101">CONCATENATE(IF(COLUMN(F1461)&lt;=26,CHAR(96+COLUMN(F1461)),(CHAR(96+(ROUNDDOWN((COLUMN(F1461)-1)/26,0)))&amp;CHAR(96+IF(MOD(COLUMN(F1461),26)=0,26,MOD(COLUMN(F1461),26))))),$B1462)</f>
        <v>f1452</v>
      </c>
      <c r="G1463" s="899" t="str">
        <f t="shared" ref="G1463" si="3102">CONCATENATE(IF(COLUMN(G1461)&lt;=26,CHAR(96+COLUMN(G1461)),(CHAR(96+(ROUNDDOWN((COLUMN(G1461)-1)/26,0)))&amp;CHAR(96+IF(MOD(COLUMN(G1461),26)=0,26,MOD(COLUMN(G1461),26))))),$B1462)</f>
        <v>g1452</v>
      </c>
      <c r="H1463" s="899" t="str">
        <f t="shared" ref="H1463" si="3103">CONCATENATE(IF(COLUMN(H1461)&lt;=26,CHAR(96+COLUMN(H1461)),(CHAR(96+(ROUNDDOWN((COLUMN(H1461)-1)/26,0)))&amp;CHAR(96+IF(MOD(COLUMN(H1461),26)=0,26,MOD(COLUMN(H1461),26))))),$B1462)</f>
        <v>h1452</v>
      </c>
      <c r="I1463" s="899" t="str">
        <f t="shared" ref="I1463" si="3104">CONCATENATE(IF(COLUMN(I1461)&lt;=26,CHAR(96+COLUMN(I1461)),(CHAR(96+(ROUNDDOWN((COLUMN(I1461)-1)/26,0)))&amp;CHAR(96+IF(MOD(COLUMN(I1461),26)=0,26,MOD(COLUMN(I1461),26))))),$B1462)</f>
        <v>i1452</v>
      </c>
      <c r="J1463" s="899" t="str">
        <f t="shared" ref="J1463" si="3105">CONCATENATE(IF(COLUMN(J1461)&lt;=26,CHAR(96+COLUMN(J1461)),(CHAR(96+(ROUNDDOWN((COLUMN(J1461)-1)/26,0)))&amp;CHAR(96+IF(MOD(COLUMN(J1461),26)=0,26,MOD(COLUMN(J1461),26))))),$B1462)</f>
        <v>j1452</v>
      </c>
      <c r="K1463" s="899" t="str">
        <f t="shared" ref="K1463" si="3106">CONCATENATE(IF(COLUMN(K1461)&lt;=26,CHAR(96+COLUMN(K1461)),(CHAR(96+(ROUNDDOWN((COLUMN(K1461)-1)/26,0)))&amp;CHAR(96+IF(MOD(COLUMN(K1461),26)=0,26,MOD(COLUMN(K1461),26))))),$B1462)</f>
        <v>k1452</v>
      </c>
      <c r="L1463" s="899" t="str">
        <f t="shared" ref="L1463" si="3107">CONCATENATE(IF(COLUMN(L1461)&lt;=26,CHAR(96+COLUMN(L1461)),(CHAR(96+(ROUNDDOWN((COLUMN(L1461)-1)/26,0)))&amp;CHAR(96+IF(MOD(COLUMN(L1461),26)=0,26,MOD(COLUMN(L1461),26))))),$B1462)</f>
        <v>l1452</v>
      </c>
      <c r="U1463" s="663"/>
      <c r="Z1463" s="663"/>
      <c r="AA1463" s="663"/>
      <c r="AB1463" s="663"/>
      <c r="AC1463" s="663"/>
      <c r="AD1463" s="663"/>
      <c r="AE1463" s="663"/>
      <c r="AF1463" s="663"/>
      <c r="AG1463" s="663"/>
      <c r="AH1463" s="663"/>
      <c r="AI1463" s="663"/>
      <c r="AJ1463" s="663"/>
      <c r="AK1463" s="663"/>
      <c r="AL1463" s="663"/>
      <c r="AM1463" s="663"/>
      <c r="AN1463" s="663"/>
    </row>
    <row r="1464" spans="2:40" ht="14.45" hidden="1" customHeight="1" x14ac:dyDescent="0.25">
      <c r="C1464" s="662"/>
      <c r="U1464" s="663"/>
      <c r="Z1464" s="663"/>
      <c r="AA1464" s="663"/>
      <c r="AB1464" s="663"/>
      <c r="AC1464" s="663"/>
      <c r="AD1464" s="663"/>
      <c r="AE1464" s="663"/>
      <c r="AF1464" s="663"/>
      <c r="AG1464" s="663"/>
      <c r="AH1464" s="663"/>
      <c r="AI1464" s="663"/>
      <c r="AJ1464" s="663"/>
      <c r="AK1464" s="663"/>
      <c r="AL1464" s="663"/>
      <c r="AM1464" s="663"/>
      <c r="AN1464" s="663"/>
    </row>
    <row r="1465" spans="2:40" ht="14.45" hidden="1" customHeight="1" x14ac:dyDescent="0.25">
      <c r="C1465" s="662"/>
      <c r="U1465" s="663"/>
      <c r="Z1465" s="663"/>
      <c r="AA1465" s="663"/>
      <c r="AB1465" s="663"/>
      <c r="AC1465" s="663"/>
      <c r="AD1465" s="663"/>
      <c r="AE1465" s="663"/>
      <c r="AF1465" s="663"/>
      <c r="AG1465" s="663"/>
      <c r="AH1465" s="663"/>
      <c r="AI1465" s="663"/>
      <c r="AJ1465" s="663"/>
      <c r="AK1465" s="663"/>
      <c r="AL1465" s="663"/>
      <c r="AM1465" s="663"/>
      <c r="AN1465" s="663"/>
    </row>
    <row r="1466" spans="2:40" ht="14.45" hidden="1" customHeight="1" x14ac:dyDescent="0.25">
      <c r="B1466" s="936">
        <f>B1450</f>
        <v>39113</v>
      </c>
      <c r="C1466" s="662">
        <f>C1450</f>
        <v>0</v>
      </c>
      <c r="D1466" s="662">
        <f t="shared" ref="D1466:L1466" si="3108">D1450</f>
        <v>0</v>
      </c>
      <c r="E1466" s="662">
        <f t="shared" si="3108"/>
        <v>0</v>
      </c>
      <c r="F1466" s="662">
        <f t="shared" si="3108"/>
        <v>0</v>
      </c>
      <c r="G1466" s="662">
        <f t="shared" si="3108"/>
        <v>0</v>
      </c>
      <c r="H1466" s="662">
        <f t="shared" si="3108"/>
        <v>0</v>
      </c>
      <c r="I1466" s="662">
        <f t="shared" si="3108"/>
        <v>0</v>
      </c>
      <c r="J1466" s="662">
        <f t="shared" si="3108"/>
        <v>0</v>
      </c>
      <c r="K1466" s="662">
        <f t="shared" si="3108"/>
        <v>0</v>
      </c>
      <c r="L1466" s="662">
        <f t="shared" si="3108"/>
        <v>0</v>
      </c>
      <c r="U1466" s="663"/>
      <c r="Z1466" s="663"/>
      <c r="AA1466" s="663"/>
      <c r="AB1466" s="663"/>
      <c r="AC1466" s="663"/>
      <c r="AD1466" s="663"/>
      <c r="AE1466" s="663"/>
      <c r="AF1466" s="663"/>
      <c r="AG1466" s="663"/>
      <c r="AH1466" s="663"/>
      <c r="AI1466" s="663"/>
      <c r="AJ1466" s="663"/>
      <c r="AK1466" s="663"/>
      <c r="AL1466" s="663"/>
      <c r="AM1466" s="663"/>
      <c r="AN1466" s="663"/>
    </row>
    <row r="1467" spans="2:40" ht="14.45" hidden="1" customHeight="1" x14ac:dyDescent="0.25">
      <c r="B1467" s="936">
        <f t="shared" ref="B1467:L1467" si="3109">B1451</f>
        <v>39478</v>
      </c>
      <c r="C1467" s="662">
        <f t="shared" si="3109"/>
        <v>0</v>
      </c>
      <c r="D1467" s="662">
        <f t="shared" si="3109"/>
        <v>0</v>
      </c>
      <c r="E1467" s="662">
        <f t="shared" si="3109"/>
        <v>0</v>
      </c>
      <c r="F1467" s="662">
        <f t="shared" si="3109"/>
        <v>0</v>
      </c>
      <c r="G1467" s="662">
        <f t="shared" si="3109"/>
        <v>0</v>
      </c>
      <c r="H1467" s="662">
        <f t="shared" si="3109"/>
        <v>0</v>
      </c>
      <c r="I1467" s="662">
        <f t="shared" si="3109"/>
        <v>0</v>
      </c>
      <c r="J1467" s="662">
        <f t="shared" si="3109"/>
        <v>0</v>
      </c>
      <c r="K1467" s="662">
        <f t="shared" si="3109"/>
        <v>0</v>
      </c>
      <c r="L1467" s="662">
        <f t="shared" si="3109"/>
        <v>0</v>
      </c>
      <c r="U1467" s="663"/>
      <c r="Z1467" s="663"/>
      <c r="AA1467" s="663"/>
      <c r="AB1467" s="663"/>
      <c r="AC1467" s="663"/>
      <c r="AD1467" s="663"/>
      <c r="AE1467" s="663"/>
      <c r="AF1467" s="663"/>
      <c r="AG1467" s="663"/>
      <c r="AH1467" s="663"/>
      <c r="AI1467" s="663"/>
      <c r="AJ1467" s="663"/>
      <c r="AK1467" s="663"/>
      <c r="AL1467" s="663"/>
      <c r="AM1467" s="663"/>
      <c r="AN1467" s="663"/>
    </row>
    <row r="1468" spans="2:40" ht="14.45" hidden="1" customHeight="1" x14ac:dyDescent="0.25">
      <c r="B1468" s="936">
        <f t="shared" ref="B1468:L1468" si="3110">B1452</f>
        <v>39843</v>
      </c>
      <c r="C1468" s="662">
        <f t="shared" si="3110"/>
        <v>-2500000</v>
      </c>
      <c r="D1468" s="662">
        <f t="shared" si="3110"/>
        <v>-2500000</v>
      </c>
      <c r="E1468" s="662">
        <f t="shared" si="3110"/>
        <v>-2500000</v>
      </c>
      <c r="F1468" s="662">
        <f t="shared" si="3110"/>
        <v>-2500000</v>
      </c>
      <c r="G1468" s="662">
        <f t="shared" si="3110"/>
        <v>-2500000</v>
      </c>
      <c r="H1468" s="662">
        <f t="shared" si="3110"/>
        <v>-2500000</v>
      </c>
      <c r="I1468" s="662">
        <f t="shared" si="3110"/>
        <v>-2500000</v>
      </c>
      <c r="J1468" s="662">
        <f t="shared" si="3110"/>
        <v>-2500000</v>
      </c>
      <c r="K1468" s="662">
        <f t="shared" si="3110"/>
        <v>-2500000</v>
      </c>
      <c r="L1468" s="662">
        <f t="shared" si="3110"/>
        <v>-2500000</v>
      </c>
      <c r="U1468" s="663"/>
      <c r="Z1468" s="663"/>
      <c r="AA1468" s="663"/>
      <c r="AB1468" s="663"/>
      <c r="AC1468" s="663"/>
      <c r="AD1468" s="663"/>
      <c r="AE1468" s="663"/>
      <c r="AF1468" s="663"/>
      <c r="AG1468" s="663"/>
      <c r="AH1468" s="663"/>
      <c r="AI1468" s="663"/>
      <c r="AJ1468" s="663"/>
      <c r="AK1468" s="663"/>
      <c r="AL1468" s="663"/>
      <c r="AM1468" s="663"/>
      <c r="AN1468" s="663"/>
    </row>
    <row r="1469" spans="2:40" ht="14.45" hidden="1" customHeight="1" x14ac:dyDescent="0.25">
      <c r="B1469" s="936">
        <f t="shared" ref="B1469:L1469" si="3111">B1453</f>
        <v>39843</v>
      </c>
      <c r="C1469" s="662">
        <f t="shared" si="3111"/>
        <v>-6666666.666666667</v>
      </c>
      <c r="D1469" s="662">
        <f t="shared" si="3111"/>
        <v>-6666666.666666667</v>
      </c>
      <c r="E1469" s="662">
        <f t="shared" si="3111"/>
        <v>-6666666.666666667</v>
      </c>
      <c r="F1469" s="662">
        <f t="shared" si="3111"/>
        <v>-6666666.666666667</v>
      </c>
      <c r="G1469" s="662">
        <f t="shared" si="3111"/>
        <v>-6666666.666666667</v>
      </c>
      <c r="H1469" s="662">
        <f t="shared" si="3111"/>
        <v>-6666666.666666667</v>
      </c>
      <c r="I1469" s="662">
        <f t="shared" si="3111"/>
        <v>-6666666.666666667</v>
      </c>
      <c r="J1469" s="662">
        <f t="shared" si="3111"/>
        <v>-6666666.666666667</v>
      </c>
      <c r="K1469" s="662">
        <f t="shared" si="3111"/>
        <v>-6666666.666666667</v>
      </c>
      <c r="L1469" s="662">
        <f t="shared" si="3111"/>
        <v>-6666666.666666667</v>
      </c>
      <c r="U1469" s="663"/>
      <c r="Z1469" s="663"/>
      <c r="AA1469" s="663"/>
      <c r="AB1469" s="663"/>
      <c r="AC1469" s="663"/>
      <c r="AD1469" s="663"/>
      <c r="AE1469" s="663"/>
      <c r="AF1469" s="663"/>
      <c r="AG1469" s="663"/>
      <c r="AH1469" s="663"/>
      <c r="AI1469" s="663"/>
      <c r="AJ1469" s="663"/>
      <c r="AK1469" s="663"/>
      <c r="AL1469" s="663"/>
      <c r="AM1469" s="663"/>
      <c r="AN1469" s="663"/>
    </row>
    <row r="1470" spans="2:40" ht="14.45" hidden="1" customHeight="1" x14ac:dyDescent="0.25">
      <c r="B1470" s="936">
        <f t="shared" ref="B1470:L1470" si="3112">B1454</f>
        <v>39843</v>
      </c>
      <c r="C1470" s="662">
        <f t="shared" si="3112"/>
        <v>0</v>
      </c>
      <c r="D1470" s="662">
        <f t="shared" si="3112"/>
        <v>0</v>
      </c>
      <c r="E1470" s="662">
        <f t="shared" si="3112"/>
        <v>0</v>
      </c>
      <c r="F1470" s="662">
        <f t="shared" si="3112"/>
        <v>0</v>
      </c>
      <c r="G1470" s="662">
        <f t="shared" si="3112"/>
        <v>0</v>
      </c>
      <c r="H1470" s="662">
        <f t="shared" si="3112"/>
        <v>0</v>
      </c>
      <c r="I1470" s="662">
        <f t="shared" si="3112"/>
        <v>0</v>
      </c>
      <c r="J1470" s="662">
        <f t="shared" si="3112"/>
        <v>0</v>
      </c>
      <c r="K1470" s="662">
        <f t="shared" si="3112"/>
        <v>0</v>
      </c>
      <c r="L1470" s="662">
        <f t="shared" si="3112"/>
        <v>0</v>
      </c>
      <c r="U1470" s="663"/>
      <c r="Z1470" s="663"/>
      <c r="AA1470" s="663"/>
      <c r="AB1470" s="663"/>
      <c r="AC1470" s="663"/>
      <c r="AD1470" s="663"/>
      <c r="AE1470" s="663"/>
      <c r="AF1470" s="663"/>
      <c r="AG1470" s="663"/>
      <c r="AH1470" s="663"/>
      <c r="AI1470" s="663"/>
      <c r="AJ1470" s="663"/>
      <c r="AK1470" s="663"/>
      <c r="AL1470" s="663"/>
      <c r="AM1470" s="663"/>
      <c r="AN1470" s="663"/>
    </row>
    <row r="1471" spans="2:40" ht="14.45" hidden="1" customHeight="1" x14ac:dyDescent="0.25">
      <c r="B1471" s="936">
        <f t="shared" ref="B1471:L1471" si="3113">B1455</f>
        <v>39843</v>
      </c>
      <c r="C1471" s="662">
        <f t="shared" si="3113"/>
        <v>0</v>
      </c>
      <c r="D1471" s="662">
        <f t="shared" si="3113"/>
        <v>0</v>
      </c>
      <c r="E1471" s="662">
        <f t="shared" si="3113"/>
        <v>0</v>
      </c>
      <c r="F1471" s="662">
        <f t="shared" si="3113"/>
        <v>0</v>
      </c>
      <c r="G1471" s="662">
        <f t="shared" si="3113"/>
        <v>0</v>
      </c>
      <c r="H1471" s="662">
        <f t="shared" si="3113"/>
        <v>0</v>
      </c>
      <c r="I1471" s="662">
        <f t="shared" si="3113"/>
        <v>0</v>
      </c>
      <c r="J1471" s="662">
        <f t="shared" si="3113"/>
        <v>0</v>
      </c>
      <c r="K1471" s="662">
        <f t="shared" si="3113"/>
        <v>0</v>
      </c>
      <c r="L1471" s="662">
        <f t="shared" si="3113"/>
        <v>0</v>
      </c>
      <c r="U1471" s="663"/>
      <c r="Z1471" s="663"/>
      <c r="AA1471" s="663"/>
      <c r="AB1471" s="663"/>
      <c r="AC1471" s="663"/>
      <c r="AD1471" s="663"/>
      <c r="AE1471" s="663"/>
      <c r="AF1471" s="663"/>
      <c r="AG1471" s="663"/>
      <c r="AH1471" s="663"/>
      <c r="AI1471" s="663"/>
      <c r="AJ1471" s="663"/>
      <c r="AK1471" s="663"/>
      <c r="AL1471" s="663"/>
      <c r="AM1471" s="663"/>
      <c r="AN1471" s="663"/>
    </row>
    <row r="1472" spans="2:40" ht="14.45" hidden="1" customHeight="1" x14ac:dyDescent="0.25">
      <c r="B1472" s="936">
        <f t="shared" ref="B1472:L1472" si="3114">B1456</f>
        <v>39843</v>
      </c>
      <c r="C1472" s="662">
        <f t="shared" si="3114"/>
        <v>0</v>
      </c>
      <c r="D1472" s="662">
        <f t="shared" si="3114"/>
        <v>0</v>
      </c>
      <c r="E1472" s="662">
        <f t="shared" si="3114"/>
        <v>0</v>
      </c>
      <c r="F1472" s="662">
        <f t="shared" si="3114"/>
        <v>0</v>
      </c>
      <c r="G1472" s="662">
        <f t="shared" si="3114"/>
        <v>0</v>
      </c>
      <c r="H1472" s="662">
        <f t="shared" si="3114"/>
        <v>0</v>
      </c>
      <c r="I1472" s="662">
        <f t="shared" si="3114"/>
        <v>0</v>
      </c>
      <c r="J1472" s="662">
        <f t="shared" si="3114"/>
        <v>0</v>
      </c>
      <c r="K1472" s="662">
        <f t="shared" si="3114"/>
        <v>0</v>
      </c>
      <c r="L1472" s="662">
        <f t="shared" si="3114"/>
        <v>0</v>
      </c>
      <c r="U1472" s="663"/>
      <c r="Z1472" s="663"/>
      <c r="AA1472" s="663"/>
      <c r="AB1472" s="663"/>
      <c r="AC1472" s="663"/>
      <c r="AD1472" s="663"/>
      <c r="AE1472" s="663"/>
      <c r="AF1472" s="663"/>
      <c r="AG1472" s="663"/>
      <c r="AH1472" s="663"/>
      <c r="AI1472" s="663"/>
      <c r="AJ1472" s="663"/>
      <c r="AK1472" s="663"/>
      <c r="AL1472" s="663"/>
      <c r="AM1472" s="663"/>
      <c r="AN1472" s="663"/>
    </row>
    <row r="1473" spans="2:40" ht="14.45" hidden="1" customHeight="1" x14ac:dyDescent="0.25">
      <c r="B1473" s="936">
        <f t="shared" ref="B1473:L1473" si="3115">B1457</f>
        <v>39843</v>
      </c>
      <c r="C1473" s="662">
        <f t="shared" si="3115"/>
        <v>0</v>
      </c>
      <c r="D1473" s="662">
        <f t="shared" si="3115"/>
        <v>0</v>
      </c>
      <c r="E1473" s="662">
        <f t="shared" si="3115"/>
        <v>0</v>
      </c>
      <c r="F1473" s="662">
        <f t="shared" si="3115"/>
        <v>0</v>
      </c>
      <c r="G1473" s="662">
        <f t="shared" si="3115"/>
        <v>0</v>
      </c>
      <c r="H1473" s="662">
        <f t="shared" si="3115"/>
        <v>0</v>
      </c>
      <c r="I1473" s="662">
        <f t="shared" si="3115"/>
        <v>0</v>
      </c>
      <c r="J1473" s="662">
        <f t="shared" si="3115"/>
        <v>0</v>
      </c>
      <c r="K1473" s="662">
        <f t="shared" si="3115"/>
        <v>0</v>
      </c>
      <c r="L1473" s="662">
        <f t="shared" si="3115"/>
        <v>0</v>
      </c>
      <c r="U1473" s="663"/>
      <c r="Z1473" s="663"/>
      <c r="AA1473" s="663"/>
      <c r="AB1473" s="663"/>
      <c r="AC1473" s="663"/>
      <c r="AD1473" s="663"/>
      <c r="AE1473" s="663"/>
      <c r="AF1473" s="663"/>
      <c r="AG1473" s="663"/>
      <c r="AH1473" s="663"/>
      <c r="AI1473" s="663"/>
      <c r="AJ1473" s="663"/>
      <c r="AK1473" s="663"/>
      <c r="AL1473" s="663"/>
      <c r="AM1473" s="663"/>
      <c r="AN1473" s="663"/>
    </row>
    <row r="1474" spans="2:40" ht="14.45" hidden="1" customHeight="1" x14ac:dyDescent="0.25">
      <c r="B1474" s="936">
        <f t="shared" ref="B1474:L1474" si="3116">B1458</f>
        <v>39843</v>
      </c>
      <c r="C1474" s="662">
        <f t="shared" si="3116"/>
        <v>0</v>
      </c>
      <c r="D1474" s="662">
        <f t="shared" si="3116"/>
        <v>0</v>
      </c>
      <c r="E1474" s="662">
        <f t="shared" si="3116"/>
        <v>0</v>
      </c>
      <c r="F1474" s="662">
        <f t="shared" si="3116"/>
        <v>0</v>
      </c>
      <c r="G1474" s="662">
        <f t="shared" si="3116"/>
        <v>0</v>
      </c>
      <c r="H1474" s="662">
        <f t="shared" si="3116"/>
        <v>0</v>
      </c>
      <c r="I1474" s="662">
        <f t="shared" si="3116"/>
        <v>0</v>
      </c>
      <c r="J1474" s="662">
        <f t="shared" si="3116"/>
        <v>0</v>
      </c>
      <c r="K1474" s="662">
        <f t="shared" si="3116"/>
        <v>0</v>
      </c>
      <c r="L1474" s="662">
        <f t="shared" si="3116"/>
        <v>0</v>
      </c>
      <c r="U1474" s="663"/>
      <c r="Z1474" s="663"/>
      <c r="AA1474" s="663"/>
      <c r="AB1474" s="663"/>
      <c r="AC1474" s="663"/>
      <c r="AD1474" s="663"/>
      <c r="AE1474" s="663"/>
      <c r="AF1474" s="663"/>
      <c r="AG1474" s="663"/>
      <c r="AH1474" s="663"/>
      <c r="AI1474" s="663"/>
      <c r="AJ1474" s="663"/>
      <c r="AK1474" s="663"/>
      <c r="AL1474" s="663"/>
      <c r="AM1474" s="663"/>
      <c r="AN1474" s="663"/>
    </row>
    <row r="1475" spans="2:40" ht="14.45" hidden="1" customHeight="1" x14ac:dyDescent="0.25">
      <c r="B1475" s="936">
        <f t="shared" ref="B1475:L1475" si="3117">B1459</f>
        <v>39843</v>
      </c>
      <c r="C1475" s="662">
        <f t="shared" si="3117"/>
        <v>0</v>
      </c>
      <c r="D1475" s="662">
        <f t="shared" si="3117"/>
        <v>0</v>
      </c>
      <c r="E1475" s="662">
        <f t="shared" si="3117"/>
        <v>0</v>
      </c>
      <c r="F1475" s="662">
        <f t="shared" si="3117"/>
        <v>0</v>
      </c>
      <c r="G1475" s="662">
        <f t="shared" si="3117"/>
        <v>0</v>
      </c>
      <c r="H1475" s="662">
        <f t="shared" si="3117"/>
        <v>0</v>
      </c>
      <c r="I1475" s="662">
        <f t="shared" si="3117"/>
        <v>0</v>
      </c>
      <c r="J1475" s="662">
        <f t="shared" si="3117"/>
        <v>0</v>
      </c>
      <c r="K1475" s="662">
        <f t="shared" si="3117"/>
        <v>0</v>
      </c>
      <c r="L1475" s="662">
        <f t="shared" si="3117"/>
        <v>0</v>
      </c>
      <c r="U1475" s="663"/>
      <c r="Z1475" s="663"/>
      <c r="AA1475" s="663"/>
      <c r="AB1475" s="663"/>
      <c r="AC1475" s="663"/>
      <c r="AD1475" s="663"/>
      <c r="AE1475" s="663"/>
      <c r="AF1475" s="663"/>
      <c r="AG1475" s="663"/>
      <c r="AH1475" s="663"/>
      <c r="AI1475" s="663"/>
      <c r="AJ1475" s="663"/>
      <c r="AK1475" s="663"/>
      <c r="AL1475" s="663"/>
      <c r="AM1475" s="663"/>
      <c r="AN1475" s="663"/>
    </row>
    <row r="1476" spans="2:40" ht="14.45" hidden="1" customHeight="1" x14ac:dyDescent="0.25">
      <c r="B1476" s="936">
        <f>B1410</f>
        <v>41719</v>
      </c>
      <c r="C1476" s="662">
        <f t="shared" ref="C1476:L1476" si="3118">C1460</f>
        <v>4078815.2610441777</v>
      </c>
      <c r="D1476" s="662">
        <f t="shared" si="3118"/>
        <v>6118222.8915662663</v>
      </c>
      <c r="E1476" s="662">
        <f t="shared" si="3118"/>
        <v>8157630.5220883554</v>
      </c>
      <c r="F1476" s="662">
        <f t="shared" si="3118"/>
        <v>10197038.152610444</v>
      </c>
      <c r="G1476" s="662">
        <f t="shared" si="3118"/>
        <v>12236445.783132533</v>
      </c>
      <c r="H1476" s="662">
        <f t="shared" si="3118"/>
        <v>14275853.413654622</v>
      </c>
      <c r="I1476" s="662">
        <f t="shared" si="3118"/>
        <v>16315261.044176711</v>
      </c>
      <c r="J1476" s="662">
        <f t="shared" si="3118"/>
        <v>18354668.6746988</v>
      </c>
      <c r="K1476" s="662">
        <f t="shared" si="3118"/>
        <v>20394076.305220887</v>
      </c>
      <c r="L1476" s="662">
        <f t="shared" si="3118"/>
        <v>22433483.935742974</v>
      </c>
      <c r="U1476" s="663"/>
      <c r="Z1476" s="663"/>
      <c r="AA1476" s="663"/>
      <c r="AB1476" s="663"/>
      <c r="AC1476" s="663"/>
      <c r="AD1476" s="663"/>
      <c r="AE1476" s="663"/>
      <c r="AF1476" s="663"/>
      <c r="AG1476" s="663"/>
      <c r="AH1476" s="663"/>
      <c r="AI1476" s="663"/>
      <c r="AJ1476" s="663"/>
      <c r="AK1476" s="663"/>
      <c r="AL1476" s="663"/>
      <c r="AM1476" s="663"/>
      <c r="AN1476" s="663"/>
    </row>
    <row r="1477" spans="2:40" ht="14.45" hidden="1" customHeight="1" x14ac:dyDescent="0.25">
      <c r="C1477" s="882" t="str">
        <f ca="1">IF(ISERROR(XIRR(INDIRECT(C1479):C1476,INDIRECT($B1479):$B1476,-20%)),XIRR(INDIRECT(C1479):C1476,INDIRECT($B1479):$B1476,20%),"N/A")</f>
        <v>N/A</v>
      </c>
      <c r="D1477" s="882" t="str">
        <f ca="1">IF(ISERROR(XIRR(INDIRECT(D1479):D1476,INDIRECT($B1479):$B1476,-20%)),XIRR(INDIRECT(D1479):D1476,INDIRECT($B1479):$B1476,20%),"N/A")</f>
        <v>N/A</v>
      </c>
      <c r="E1477" s="882" t="str">
        <f ca="1">IF(ISERROR(XIRR(INDIRECT(E1479):E1476,INDIRECT($B1479):$B1476,-20%)),XIRR(INDIRECT(E1479):E1476,INDIRECT($B1479):$B1476,20%),"N/A")</f>
        <v>N/A</v>
      </c>
      <c r="F1477" s="882">
        <f ca="1">IF(ISERROR(XIRR(INDIRECT(F1479):F1476,INDIRECT($B1479):$B1476,-20%)),XIRR(INDIRECT(F1479):F1476,INDIRECT($B1479):$B1476,20%),"N/A")</f>
        <v>2.0941802859306333E-2</v>
      </c>
      <c r="G1477" s="882">
        <f ca="1">IF(ISERROR(XIRR(INDIRECT(G1479):G1476,INDIRECT($B1479):$B1476,-20%)),XIRR(INDIRECT(G1479):G1476,INDIRECT($B1479):$B1476,20%),"N/A")</f>
        <v>5.780768692493439E-2</v>
      </c>
      <c r="H1477" s="882">
        <f ca="1">IF(ISERROR(XIRR(INDIRECT(H1479):H1476,INDIRECT($B1479):$B1476,-20%)),XIRR(INDIRECT(H1479):H1476,INDIRECT($B1479):$B1476,20%),"N/A")</f>
        <v>9.0014013648033145E-2</v>
      </c>
      <c r="I1477" s="882">
        <f ca="1">IF(ISERROR(XIRR(INDIRECT(I1479):I1476,INDIRECT($B1479):$B1476,-20%)),XIRR(INDIRECT(I1479):I1476,INDIRECT($B1479):$B1476,20%),"N/A")</f>
        <v>0.1187039315700531</v>
      </c>
      <c r="J1477" s="882">
        <f ca="1">IF(ISERROR(XIRR(INDIRECT(J1479):J1476,INDIRECT($B1479):$B1476,-20%)),XIRR(INDIRECT(J1479):J1476,INDIRECT($B1479):$B1476,20%),"N/A")</f>
        <v>0.14463638663291931</v>
      </c>
      <c r="K1477" s="882">
        <f ca="1">IF(ISERROR(XIRR(INDIRECT(K1479):K1476,INDIRECT($B1479):$B1476,-20%)),XIRR(INDIRECT(K1479):K1476,INDIRECT($B1479):$B1476,20%),"N/A")</f>
        <v>0.16834271550178528</v>
      </c>
      <c r="L1477" s="882">
        <f ca="1">IF(ISERROR(XIRR(INDIRECT(L1479):L1476,INDIRECT($B1479):$B1476,-20%)),XIRR(INDIRECT(L1479):L1476,INDIRECT($B1479):$B1476,20%),"N/A")</f>
        <v>0.19021038413047789</v>
      </c>
      <c r="U1477" s="663"/>
      <c r="Z1477" s="663"/>
      <c r="AA1477" s="663"/>
      <c r="AB1477" s="663"/>
      <c r="AC1477" s="663"/>
      <c r="AD1477" s="663"/>
      <c r="AE1477" s="663"/>
      <c r="AF1477" s="663"/>
      <c r="AG1477" s="663"/>
      <c r="AH1477" s="663"/>
      <c r="AI1477" s="663"/>
      <c r="AJ1477" s="663"/>
      <c r="AK1477" s="663"/>
      <c r="AL1477" s="663"/>
      <c r="AM1477" s="663"/>
      <c r="AN1477" s="663"/>
    </row>
    <row r="1478" spans="2:40" ht="14.45" hidden="1" customHeight="1" x14ac:dyDescent="0.25">
      <c r="B1478" s="898">
        <f>IF(C1466&lt;&gt;0,ROW(C1466),IF(C1467&lt;&gt;0,ROW(C1467),IF(C1468&lt;&gt;0,ROW(C1468),IF(C1469&lt;&gt;0,ROW(C1469),IF(C1470&lt;&gt;0,ROW(C1470),IF(C1471&lt;&gt;0,ROW(C1471),IF(C1472&lt;&gt;0,ROW(C1472),IF(C1473&lt;&gt;0,ROW(C1473),IF(C1474&lt;&gt;0,ROW(C1474),IF(C1475&lt;&gt;0,ROW(C1475)))))))))))</f>
        <v>1468</v>
      </c>
      <c r="C1478" s="882"/>
      <c r="U1478" s="663"/>
      <c r="Z1478" s="663"/>
      <c r="AA1478" s="663"/>
      <c r="AB1478" s="663"/>
      <c r="AC1478" s="663"/>
      <c r="AD1478" s="663"/>
      <c r="AE1478" s="663"/>
      <c r="AF1478" s="663"/>
      <c r="AG1478" s="663"/>
      <c r="AH1478" s="663"/>
      <c r="AI1478" s="663"/>
      <c r="AJ1478" s="663"/>
      <c r="AK1478" s="663"/>
      <c r="AL1478" s="663"/>
      <c r="AM1478" s="663"/>
      <c r="AN1478" s="663"/>
    </row>
    <row r="1479" spans="2:40" ht="14.45" hidden="1" customHeight="1" x14ac:dyDescent="0.25">
      <c r="B1479" s="899" t="str">
        <f>CONCATENATE(IF(COLUMN(B1478)&lt;=26,CHAR(96+COLUMN(B1478)),(CHAR(96+(ROUNDDOWN((COLUMN(B1478)-1)/26,0)))&amp;CHAR(96+IF(MOD(COLUMN(B1478),26)=0,26,MOD(COLUMN(B1478),26))))),B1478)</f>
        <v>b1468</v>
      </c>
      <c r="C1479" s="899" t="str">
        <f>CONCATENATE(IF(COLUMN(C1477)&lt;=26,CHAR(96+COLUMN(C1477)),(CHAR(96+(ROUNDDOWN((COLUMN(C1477)-1)/26,0)))&amp;CHAR(96+IF(MOD(COLUMN(C1477),26)=0,26,MOD(COLUMN(C1477),26))))),$B1478)</f>
        <v>c1468</v>
      </c>
      <c r="D1479" s="899" t="str">
        <f t="shared" ref="D1479" si="3119">CONCATENATE(IF(COLUMN(D1477)&lt;=26,CHAR(96+COLUMN(D1477)),(CHAR(96+(ROUNDDOWN((COLUMN(D1477)-1)/26,0)))&amp;CHAR(96+IF(MOD(COLUMN(D1477),26)=0,26,MOD(COLUMN(D1477),26))))),$B1478)</f>
        <v>d1468</v>
      </c>
      <c r="E1479" s="899" t="str">
        <f t="shared" ref="E1479" si="3120">CONCATENATE(IF(COLUMN(E1477)&lt;=26,CHAR(96+COLUMN(E1477)),(CHAR(96+(ROUNDDOWN((COLUMN(E1477)-1)/26,0)))&amp;CHAR(96+IF(MOD(COLUMN(E1477),26)=0,26,MOD(COLUMN(E1477),26))))),$B1478)</f>
        <v>e1468</v>
      </c>
      <c r="F1479" s="899" t="str">
        <f t="shared" ref="F1479" si="3121">CONCATENATE(IF(COLUMN(F1477)&lt;=26,CHAR(96+COLUMN(F1477)),(CHAR(96+(ROUNDDOWN((COLUMN(F1477)-1)/26,0)))&amp;CHAR(96+IF(MOD(COLUMN(F1477),26)=0,26,MOD(COLUMN(F1477),26))))),$B1478)</f>
        <v>f1468</v>
      </c>
      <c r="G1479" s="899" t="str">
        <f t="shared" ref="G1479" si="3122">CONCATENATE(IF(COLUMN(G1477)&lt;=26,CHAR(96+COLUMN(G1477)),(CHAR(96+(ROUNDDOWN((COLUMN(G1477)-1)/26,0)))&amp;CHAR(96+IF(MOD(COLUMN(G1477),26)=0,26,MOD(COLUMN(G1477),26))))),$B1478)</f>
        <v>g1468</v>
      </c>
      <c r="H1479" s="899" t="str">
        <f t="shared" ref="H1479" si="3123">CONCATENATE(IF(COLUMN(H1477)&lt;=26,CHAR(96+COLUMN(H1477)),(CHAR(96+(ROUNDDOWN((COLUMN(H1477)-1)/26,0)))&amp;CHAR(96+IF(MOD(COLUMN(H1477),26)=0,26,MOD(COLUMN(H1477),26))))),$B1478)</f>
        <v>h1468</v>
      </c>
      <c r="I1479" s="899" t="str">
        <f t="shared" ref="I1479" si="3124">CONCATENATE(IF(COLUMN(I1477)&lt;=26,CHAR(96+COLUMN(I1477)),(CHAR(96+(ROUNDDOWN((COLUMN(I1477)-1)/26,0)))&amp;CHAR(96+IF(MOD(COLUMN(I1477),26)=0,26,MOD(COLUMN(I1477),26))))),$B1478)</f>
        <v>i1468</v>
      </c>
      <c r="J1479" s="899" t="str">
        <f t="shared" ref="J1479" si="3125">CONCATENATE(IF(COLUMN(J1477)&lt;=26,CHAR(96+COLUMN(J1477)),(CHAR(96+(ROUNDDOWN((COLUMN(J1477)-1)/26,0)))&amp;CHAR(96+IF(MOD(COLUMN(J1477),26)=0,26,MOD(COLUMN(J1477),26))))),$B1478)</f>
        <v>j1468</v>
      </c>
      <c r="K1479" s="899" t="str">
        <f t="shared" ref="K1479" si="3126">CONCATENATE(IF(COLUMN(K1477)&lt;=26,CHAR(96+COLUMN(K1477)),(CHAR(96+(ROUNDDOWN((COLUMN(K1477)-1)/26,0)))&amp;CHAR(96+IF(MOD(COLUMN(K1477),26)=0,26,MOD(COLUMN(K1477),26))))),$B1478)</f>
        <v>k1468</v>
      </c>
      <c r="L1479" s="899" t="str">
        <f t="shared" ref="L1479" si="3127">CONCATENATE(IF(COLUMN(L1477)&lt;=26,CHAR(96+COLUMN(L1477)),(CHAR(96+(ROUNDDOWN((COLUMN(L1477)-1)/26,0)))&amp;CHAR(96+IF(MOD(COLUMN(L1477),26)=0,26,MOD(COLUMN(L1477),26))))),$B1478)</f>
        <v>l1468</v>
      </c>
      <c r="U1479" s="663"/>
      <c r="Z1479" s="663"/>
      <c r="AA1479" s="663"/>
      <c r="AB1479" s="663"/>
      <c r="AC1479" s="663"/>
      <c r="AD1479" s="663"/>
      <c r="AE1479" s="663"/>
      <c r="AF1479" s="663"/>
      <c r="AG1479" s="663"/>
      <c r="AH1479" s="663"/>
      <c r="AI1479" s="663"/>
      <c r="AJ1479" s="663"/>
      <c r="AK1479" s="663"/>
      <c r="AL1479" s="663"/>
      <c r="AM1479" s="663"/>
      <c r="AN1479" s="663"/>
    </row>
    <row r="1480" spans="2:40" ht="14.45" hidden="1" customHeight="1" x14ac:dyDescent="0.25">
      <c r="B1480" s="661"/>
      <c r="C1480" s="662"/>
      <c r="U1480" s="663"/>
      <c r="Z1480" s="663"/>
      <c r="AA1480" s="663"/>
      <c r="AB1480" s="663"/>
      <c r="AC1480" s="663"/>
      <c r="AD1480" s="663"/>
      <c r="AE1480" s="663"/>
      <c r="AF1480" s="663"/>
      <c r="AG1480" s="663"/>
      <c r="AH1480" s="663"/>
      <c r="AI1480" s="663"/>
      <c r="AJ1480" s="663"/>
      <c r="AK1480" s="663"/>
      <c r="AL1480" s="663"/>
      <c r="AM1480" s="663"/>
      <c r="AN1480" s="663"/>
    </row>
    <row r="1481" spans="2:40" ht="14.45" hidden="1" customHeight="1" x14ac:dyDescent="0.25">
      <c r="B1481" s="661"/>
      <c r="C1481" s="662"/>
      <c r="U1481" s="663"/>
      <c r="Z1481" s="663"/>
      <c r="AA1481" s="663"/>
      <c r="AB1481" s="663"/>
      <c r="AC1481" s="663"/>
      <c r="AD1481" s="663"/>
      <c r="AE1481" s="663"/>
      <c r="AF1481" s="663"/>
      <c r="AG1481" s="663"/>
      <c r="AH1481" s="663"/>
      <c r="AI1481" s="663"/>
      <c r="AJ1481" s="663"/>
      <c r="AK1481" s="663"/>
      <c r="AL1481" s="663"/>
      <c r="AM1481" s="663"/>
      <c r="AN1481" s="663"/>
    </row>
    <row r="1482" spans="2:40" ht="14.45" hidden="1" customHeight="1" x14ac:dyDescent="0.25">
      <c r="B1482" s="661"/>
      <c r="C1482" s="662"/>
      <c r="U1482" s="663"/>
      <c r="Z1482" s="663"/>
      <c r="AA1482" s="663"/>
      <c r="AB1482" s="663"/>
      <c r="AC1482" s="663"/>
      <c r="AD1482" s="663"/>
      <c r="AE1482" s="663"/>
      <c r="AF1482" s="663"/>
      <c r="AG1482" s="663"/>
      <c r="AH1482" s="663"/>
      <c r="AI1482" s="663"/>
      <c r="AJ1482" s="663"/>
      <c r="AK1482" s="663"/>
      <c r="AL1482" s="663"/>
      <c r="AM1482" s="663"/>
      <c r="AN1482" s="663"/>
    </row>
    <row r="1483" spans="2:40" ht="14.45" hidden="1" customHeight="1" x14ac:dyDescent="0.25">
      <c r="B1483" s="661" t="str">
        <f>B1736</f>
        <v>Other Investors Gross Return Analysis</v>
      </c>
      <c r="C1483" s="662"/>
      <c r="U1483" s="663"/>
      <c r="Z1483" s="663"/>
      <c r="AA1483" s="663"/>
      <c r="AB1483" s="663"/>
      <c r="AC1483" s="663"/>
      <c r="AD1483" s="663"/>
      <c r="AE1483" s="663"/>
      <c r="AF1483" s="663"/>
      <c r="AG1483" s="663"/>
      <c r="AH1483" s="663"/>
      <c r="AI1483" s="663"/>
      <c r="AJ1483" s="663"/>
      <c r="AK1483" s="663"/>
      <c r="AL1483" s="663"/>
      <c r="AM1483" s="663"/>
      <c r="AN1483" s="663"/>
    </row>
    <row r="1484" spans="2:40" ht="14.45" hidden="1" customHeight="1" x14ac:dyDescent="0.25">
      <c r="B1484" s="936">
        <f>B1418</f>
        <v>39113</v>
      </c>
      <c r="C1484" s="662">
        <f>C741</f>
        <v>0</v>
      </c>
      <c r="D1484" s="662">
        <f>C1484</f>
        <v>0</v>
      </c>
      <c r="E1484" s="662">
        <f t="shared" ref="E1484:L1484" si="3128">D1484</f>
        <v>0</v>
      </c>
      <c r="F1484" s="662">
        <f t="shared" si="3128"/>
        <v>0</v>
      </c>
      <c r="G1484" s="662">
        <f t="shared" si="3128"/>
        <v>0</v>
      </c>
      <c r="H1484" s="662">
        <f t="shared" si="3128"/>
        <v>0</v>
      </c>
      <c r="I1484" s="662">
        <f t="shared" si="3128"/>
        <v>0</v>
      </c>
      <c r="J1484" s="662">
        <f t="shared" si="3128"/>
        <v>0</v>
      </c>
      <c r="K1484" s="662">
        <f t="shared" si="3128"/>
        <v>0</v>
      </c>
      <c r="L1484" s="662">
        <f t="shared" si="3128"/>
        <v>0</v>
      </c>
      <c r="U1484" s="663"/>
      <c r="Z1484" s="663"/>
      <c r="AA1484" s="663"/>
      <c r="AB1484" s="663"/>
      <c r="AC1484" s="663"/>
      <c r="AD1484" s="663"/>
      <c r="AE1484" s="663"/>
      <c r="AF1484" s="663"/>
      <c r="AG1484" s="663"/>
      <c r="AH1484" s="663"/>
      <c r="AI1484" s="663"/>
      <c r="AJ1484" s="663"/>
      <c r="AK1484" s="663"/>
      <c r="AL1484" s="663"/>
      <c r="AM1484" s="663"/>
      <c r="AN1484" s="663"/>
    </row>
    <row r="1485" spans="2:40" ht="14.45" hidden="1" customHeight="1" x14ac:dyDescent="0.25">
      <c r="B1485" s="936">
        <f t="shared" ref="B1485:B1494" si="3129">B1419</f>
        <v>39478</v>
      </c>
      <c r="C1485" s="662">
        <f t="shared" ref="C1485:C1493" si="3130">C742</f>
        <v>0</v>
      </c>
      <c r="D1485" s="662">
        <f t="shared" ref="D1485:L1493" si="3131">C1485</f>
        <v>0</v>
      </c>
      <c r="E1485" s="662">
        <f t="shared" si="3131"/>
        <v>0</v>
      </c>
      <c r="F1485" s="662">
        <f t="shared" si="3131"/>
        <v>0</v>
      </c>
      <c r="G1485" s="662">
        <f t="shared" si="3131"/>
        <v>0</v>
      </c>
      <c r="H1485" s="662">
        <f t="shared" si="3131"/>
        <v>0</v>
      </c>
      <c r="I1485" s="662">
        <f t="shared" si="3131"/>
        <v>0</v>
      </c>
      <c r="J1485" s="662">
        <f t="shared" si="3131"/>
        <v>0</v>
      </c>
      <c r="K1485" s="662">
        <f t="shared" si="3131"/>
        <v>0</v>
      </c>
      <c r="L1485" s="662">
        <f t="shared" si="3131"/>
        <v>0</v>
      </c>
      <c r="U1485" s="663"/>
      <c r="Z1485" s="663"/>
      <c r="AA1485" s="663"/>
      <c r="AB1485" s="663"/>
      <c r="AC1485" s="663"/>
      <c r="AD1485" s="663"/>
      <c r="AE1485" s="663"/>
      <c r="AF1485" s="663"/>
      <c r="AG1485" s="663"/>
      <c r="AH1485" s="663"/>
      <c r="AI1485" s="663"/>
      <c r="AJ1485" s="663"/>
      <c r="AK1485" s="663"/>
      <c r="AL1485" s="663"/>
      <c r="AM1485" s="663"/>
      <c r="AN1485" s="663"/>
    </row>
    <row r="1486" spans="2:40" ht="14.45" hidden="1" customHeight="1" x14ac:dyDescent="0.25">
      <c r="B1486" s="936">
        <f t="shared" si="3129"/>
        <v>39843</v>
      </c>
      <c r="C1486" s="662">
        <f t="shared" si="3130"/>
        <v>0</v>
      </c>
      <c r="D1486" s="662">
        <f t="shared" si="3131"/>
        <v>0</v>
      </c>
      <c r="E1486" s="662">
        <f t="shared" si="3131"/>
        <v>0</v>
      </c>
      <c r="F1486" s="662">
        <f t="shared" si="3131"/>
        <v>0</v>
      </c>
      <c r="G1486" s="662">
        <f t="shared" si="3131"/>
        <v>0</v>
      </c>
      <c r="H1486" s="662">
        <f t="shared" si="3131"/>
        <v>0</v>
      </c>
      <c r="I1486" s="662">
        <f t="shared" si="3131"/>
        <v>0</v>
      </c>
      <c r="J1486" s="662">
        <f t="shared" si="3131"/>
        <v>0</v>
      </c>
      <c r="K1486" s="662">
        <f t="shared" si="3131"/>
        <v>0</v>
      </c>
      <c r="L1486" s="662">
        <f t="shared" si="3131"/>
        <v>0</v>
      </c>
      <c r="U1486" s="663"/>
      <c r="Z1486" s="663"/>
      <c r="AA1486" s="663"/>
      <c r="AB1486" s="663"/>
      <c r="AC1486" s="663"/>
      <c r="AD1486" s="663"/>
      <c r="AE1486" s="663"/>
      <c r="AF1486" s="663"/>
      <c r="AG1486" s="663"/>
      <c r="AH1486" s="663"/>
      <c r="AI1486" s="663"/>
      <c r="AJ1486" s="663"/>
      <c r="AK1486" s="663"/>
      <c r="AL1486" s="663"/>
      <c r="AM1486" s="663"/>
      <c r="AN1486" s="663"/>
    </row>
    <row r="1487" spans="2:40" ht="14.45" hidden="1" customHeight="1" x14ac:dyDescent="0.25">
      <c r="B1487" s="936">
        <f t="shared" si="3129"/>
        <v>39843</v>
      </c>
      <c r="C1487" s="662">
        <f t="shared" si="3130"/>
        <v>0</v>
      </c>
      <c r="D1487" s="662">
        <f t="shared" si="3131"/>
        <v>0</v>
      </c>
      <c r="E1487" s="662">
        <f t="shared" si="3131"/>
        <v>0</v>
      </c>
      <c r="F1487" s="662">
        <f t="shared" si="3131"/>
        <v>0</v>
      </c>
      <c r="G1487" s="662">
        <f t="shared" si="3131"/>
        <v>0</v>
      </c>
      <c r="H1487" s="662">
        <f t="shared" si="3131"/>
        <v>0</v>
      </c>
      <c r="I1487" s="662">
        <f t="shared" si="3131"/>
        <v>0</v>
      </c>
      <c r="J1487" s="662">
        <f t="shared" si="3131"/>
        <v>0</v>
      </c>
      <c r="K1487" s="662">
        <f t="shared" si="3131"/>
        <v>0</v>
      </c>
      <c r="L1487" s="662">
        <f t="shared" si="3131"/>
        <v>0</v>
      </c>
      <c r="U1487" s="663"/>
      <c r="Z1487" s="663"/>
      <c r="AA1487" s="663"/>
      <c r="AB1487" s="663"/>
      <c r="AC1487" s="663"/>
      <c r="AD1487" s="663"/>
      <c r="AE1487" s="663"/>
      <c r="AF1487" s="663"/>
      <c r="AG1487" s="663"/>
      <c r="AH1487" s="663"/>
      <c r="AI1487" s="663"/>
      <c r="AJ1487" s="663"/>
      <c r="AK1487" s="663"/>
      <c r="AL1487" s="663"/>
      <c r="AM1487" s="663"/>
      <c r="AN1487" s="663"/>
    </row>
    <row r="1488" spans="2:40" ht="14.45" hidden="1" customHeight="1" x14ac:dyDescent="0.25">
      <c r="B1488" s="936">
        <f t="shared" si="3129"/>
        <v>39843</v>
      </c>
      <c r="C1488" s="662">
        <f t="shared" si="3130"/>
        <v>0</v>
      </c>
      <c r="D1488" s="662">
        <f t="shared" si="3131"/>
        <v>0</v>
      </c>
      <c r="E1488" s="662">
        <f t="shared" si="3131"/>
        <v>0</v>
      </c>
      <c r="F1488" s="662">
        <f t="shared" si="3131"/>
        <v>0</v>
      </c>
      <c r="G1488" s="662">
        <f t="shared" si="3131"/>
        <v>0</v>
      </c>
      <c r="H1488" s="662">
        <f t="shared" si="3131"/>
        <v>0</v>
      </c>
      <c r="I1488" s="662">
        <f t="shared" si="3131"/>
        <v>0</v>
      </c>
      <c r="J1488" s="662">
        <f t="shared" si="3131"/>
        <v>0</v>
      </c>
      <c r="K1488" s="662">
        <f t="shared" si="3131"/>
        <v>0</v>
      </c>
      <c r="L1488" s="662">
        <f t="shared" si="3131"/>
        <v>0</v>
      </c>
      <c r="U1488" s="663"/>
      <c r="Z1488" s="663"/>
      <c r="AA1488" s="663"/>
      <c r="AB1488" s="663"/>
      <c r="AC1488" s="663"/>
      <c r="AD1488" s="663"/>
      <c r="AE1488" s="663"/>
      <c r="AF1488" s="663"/>
      <c r="AG1488" s="663"/>
      <c r="AH1488" s="663"/>
      <c r="AI1488" s="663"/>
      <c r="AJ1488" s="663"/>
      <c r="AK1488" s="663"/>
      <c r="AL1488" s="663"/>
      <c r="AM1488" s="663"/>
      <c r="AN1488" s="663"/>
    </row>
    <row r="1489" spans="2:40" ht="14.45" hidden="1" customHeight="1" x14ac:dyDescent="0.25">
      <c r="B1489" s="936">
        <f t="shared" si="3129"/>
        <v>39843</v>
      </c>
      <c r="C1489" s="662">
        <f t="shared" si="3130"/>
        <v>0</v>
      </c>
      <c r="D1489" s="662">
        <f t="shared" si="3131"/>
        <v>0</v>
      </c>
      <c r="E1489" s="662">
        <f t="shared" si="3131"/>
        <v>0</v>
      </c>
      <c r="F1489" s="662">
        <f t="shared" si="3131"/>
        <v>0</v>
      </c>
      <c r="G1489" s="662">
        <f t="shared" si="3131"/>
        <v>0</v>
      </c>
      <c r="H1489" s="662">
        <f t="shared" si="3131"/>
        <v>0</v>
      </c>
      <c r="I1489" s="662">
        <f t="shared" si="3131"/>
        <v>0</v>
      </c>
      <c r="J1489" s="662">
        <f t="shared" si="3131"/>
        <v>0</v>
      </c>
      <c r="K1489" s="662">
        <f t="shared" si="3131"/>
        <v>0</v>
      </c>
      <c r="L1489" s="662">
        <f t="shared" si="3131"/>
        <v>0</v>
      </c>
      <c r="U1489" s="663"/>
      <c r="Z1489" s="663"/>
      <c r="AA1489" s="663"/>
      <c r="AB1489" s="663"/>
      <c r="AC1489" s="663"/>
      <c r="AD1489" s="663"/>
      <c r="AE1489" s="663"/>
      <c r="AF1489" s="663"/>
      <c r="AG1489" s="663"/>
      <c r="AH1489" s="663"/>
      <c r="AI1489" s="663"/>
      <c r="AJ1489" s="663"/>
      <c r="AK1489" s="663"/>
      <c r="AL1489" s="663"/>
      <c r="AM1489" s="663"/>
      <c r="AN1489" s="663"/>
    </row>
    <row r="1490" spans="2:40" ht="14.45" hidden="1" customHeight="1" x14ac:dyDescent="0.25">
      <c r="B1490" s="936">
        <f t="shared" si="3129"/>
        <v>39843</v>
      </c>
      <c r="C1490" s="662">
        <f t="shared" si="3130"/>
        <v>0</v>
      </c>
      <c r="D1490" s="662">
        <f t="shared" si="3131"/>
        <v>0</v>
      </c>
      <c r="E1490" s="662">
        <f t="shared" si="3131"/>
        <v>0</v>
      </c>
      <c r="F1490" s="662">
        <f t="shared" si="3131"/>
        <v>0</v>
      </c>
      <c r="G1490" s="662">
        <f t="shared" si="3131"/>
        <v>0</v>
      </c>
      <c r="H1490" s="662">
        <f t="shared" si="3131"/>
        <v>0</v>
      </c>
      <c r="I1490" s="662">
        <f t="shared" si="3131"/>
        <v>0</v>
      </c>
      <c r="J1490" s="662">
        <f t="shared" si="3131"/>
        <v>0</v>
      </c>
      <c r="K1490" s="662">
        <f t="shared" si="3131"/>
        <v>0</v>
      </c>
      <c r="L1490" s="662">
        <f t="shared" si="3131"/>
        <v>0</v>
      </c>
      <c r="U1490" s="663"/>
      <c r="Z1490" s="663"/>
      <c r="AA1490" s="663"/>
      <c r="AB1490" s="663"/>
      <c r="AC1490" s="663"/>
      <c r="AD1490" s="663"/>
      <c r="AE1490" s="663"/>
      <c r="AF1490" s="663"/>
      <c r="AG1490" s="663"/>
      <c r="AH1490" s="663"/>
      <c r="AI1490" s="663"/>
      <c r="AJ1490" s="663"/>
      <c r="AK1490" s="663"/>
      <c r="AL1490" s="663"/>
      <c r="AM1490" s="663"/>
      <c r="AN1490" s="663"/>
    </row>
    <row r="1491" spans="2:40" ht="14.45" hidden="1" customHeight="1" x14ac:dyDescent="0.25">
      <c r="B1491" s="936">
        <f t="shared" si="3129"/>
        <v>39843</v>
      </c>
      <c r="C1491" s="662">
        <f t="shared" si="3130"/>
        <v>0</v>
      </c>
      <c r="D1491" s="662">
        <f t="shared" si="3131"/>
        <v>0</v>
      </c>
      <c r="E1491" s="662">
        <f t="shared" si="3131"/>
        <v>0</v>
      </c>
      <c r="F1491" s="662">
        <f t="shared" si="3131"/>
        <v>0</v>
      </c>
      <c r="G1491" s="662">
        <f t="shared" si="3131"/>
        <v>0</v>
      </c>
      <c r="H1491" s="662">
        <f t="shared" si="3131"/>
        <v>0</v>
      </c>
      <c r="I1491" s="662">
        <f t="shared" si="3131"/>
        <v>0</v>
      </c>
      <c r="J1491" s="662">
        <f t="shared" si="3131"/>
        <v>0</v>
      </c>
      <c r="K1491" s="662">
        <f t="shared" si="3131"/>
        <v>0</v>
      </c>
      <c r="L1491" s="662">
        <f t="shared" si="3131"/>
        <v>0</v>
      </c>
      <c r="U1491" s="663"/>
      <c r="Z1491" s="663"/>
      <c r="AA1491" s="663"/>
      <c r="AB1491" s="663"/>
      <c r="AC1491" s="663"/>
      <c r="AD1491" s="663"/>
      <c r="AE1491" s="663"/>
      <c r="AF1491" s="663"/>
      <c r="AG1491" s="663"/>
      <c r="AH1491" s="663"/>
      <c r="AI1491" s="663"/>
      <c r="AJ1491" s="663"/>
      <c r="AK1491" s="663"/>
      <c r="AL1491" s="663"/>
      <c r="AM1491" s="663"/>
      <c r="AN1491" s="663"/>
    </row>
    <row r="1492" spans="2:40" ht="14.45" hidden="1" customHeight="1" x14ac:dyDescent="0.25">
      <c r="B1492" s="936">
        <f t="shared" si="3129"/>
        <v>39843</v>
      </c>
      <c r="C1492" s="662">
        <f t="shared" si="3130"/>
        <v>0</v>
      </c>
      <c r="D1492" s="662">
        <f t="shared" si="3131"/>
        <v>0</v>
      </c>
      <c r="E1492" s="662">
        <f t="shared" si="3131"/>
        <v>0</v>
      </c>
      <c r="F1492" s="662">
        <f t="shared" si="3131"/>
        <v>0</v>
      </c>
      <c r="G1492" s="662">
        <f t="shared" si="3131"/>
        <v>0</v>
      </c>
      <c r="H1492" s="662">
        <f t="shared" si="3131"/>
        <v>0</v>
      </c>
      <c r="I1492" s="662">
        <f t="shared" si="3131"/>
        <v>0</v>
      </c>
      <c r="J1492" s="662">
        <f t="shared" si="3131"/>
        <v>0</v>
      </c>
      <c r="K1492" s="662">
        <f t="shared" si="3131"/>
        <v>0</v>
      </c>
      <c r="L1492" s="662">
        <f t="shared" si="3131"/>
        <v>0</v>
      </c>
      <c r="U1492" s="663"/>
      <c r="Z1492" s="663"/>
      <c r="AA1492" s="663"/>
      <c r="AB1492" s="663"/>
      <c r="AC1492" s="663"/>
      <c r="AD1492" s="663"/>
      <c r="AE1492" s="663"/>
      <c r="AF1492" s="663"/>
      <c r="AG1492" s="663"/>
      <c r="AH1492" s="663"/>
      <c r="AI1492" s="663"/>
      <c r="AJ1492" s="663"/>
      <c r="AK1492" s="663"/>
      <c r="AL1492" s="663"/>
      <c r="AM1492" s="663"/>
      <c r="AN1492" s="663"/>
    </row>
    <row r="1493" spans="2:40" ht="14.45" hidden="1" customHeight="1" x14ac:dyDescent="0.25">
      <c r="B1493" s="936">
        <f t="shared" si="3129"/>
        <v>39843</v>
      </c>
      <c r="C1493" s="662">
        <f t="shared" si="3130"/>
        <v>0</v>
      </c>
      <c r="D1493" s="662">
        <f t="shared" si="3131"/>
        <v>0</v>
      </c>
      <c r="E1493" s="662">
        <f t="shared" si="3131"/>
        <v>0</v>
      </c>
      <c r="F1493" s="662">
        <f t="shared" si="3131"/>
        <v>0</v>
      </c>
      <c r="G1493" s="662">
        <f t="shared" si="3131"/>
        <v>0</v>
      </c>
      <c r="H1493" s="662">
        <f t="shared" si="3131"/>
        <v>0</v>
      </c>
      <c r="I1493" s="662">
        <f t="shared" si="3131"/>
        <v>0</v>
      </c>
      <c r="J1493" s="662">
        <f t="shared" si="3131"/>
        <v>0</v>
      </c>
      <c r="K1493" s="662">
        <f t="shared" si="3131"/>
        <v>0</v>
      </c>
      <c r="L1493" s="662">
        <f t="shared" si="3131"/>
        <v>0</v>
      </c>
      <c r="U1493" s="663"/>
      <c r="Z1493" s="663"/>
      <c r="AA1493" s="663"/>
      <c r="AB1493" s="663"/>
      <c r="AC1493" s="663"/>
      <c r="AD1493" s="663"/>
      <c r="AE1493" s="663"/>
      <c r="AF1493" s="663"/>
      <c r="AG1493" s="663"/>
      <c r="AH1493" s="663"/>
      <c r="AI1493" s="663"/>
      <c r="AJ1493" s="663"/>
      <c r="AK1493" s="663"/>
      <c r="AL1493" s="663"/>
      <c r="AM1493" s="663"/>
      <c r="AN1493" s="663"/>
    </row>
    <row r="1494" spans="2:40" ht="14.45" hidden="1" customHeight="1" x14ac:dyDescent="0.25">
      <c r="B1494" s="936">
        <f t="shared" si="3129"/>
        <v>41179</v>
      </c>
      <c r="C1494" s="662">
        <f>C1737</f>
        <v>0</v>
      </c>
      <c r="D1494" s="662">
        <f t="shared" ref="D1494:L1494" si="3132">D1737</f>
        <v>0</v>
      </c>
      <c r="E1494" s="662">
        <f t="shared" si="3132"/>
        <v>0</v>
      </c>
      <c r="F1494" s="662">
        <f t="shared" si="3132"/>
        <v>0</v>
      </c>
      <c r="G1494" s="662">
        <f t="shared" si="3132"/>
        <v>0</v>
      </c>
      <c r="H1494" s="662">
        <f t="shared" si="3132"/>
        <v>0</v>
      </c>
      <c r="I1494" s="662">
        <f t="shared" si="3132"/>
        <v>0</v>
      </c>
      <c r="J1494" s="662">
        <f t="shared" si="3132"/>
        <v>0</v>
      </c>
      <c r="K1494" s="662">
        <f t="shared" si="3132"/>
        <v>0</v>
      </c>
      <c r="L1494" s="662">
        <f t="shared" si="3132"/>
        <v>0</v>
      </c>
      <c r="U1494" s="663"/>
      <c r="Z1494" s="663"/>
      <c r="AA1494" s="663"/>
      <c r="AB1494" s="663"/>
      <c r="AC1494" s="663"/>
      <c r="AD1494" s="663"/>
      <c r="AE1494" s="663"/>
      <c r="AF1494" s="663"/>
      <c r="AG1494" s="663"/>
      <c r="AH1494" s="663"/>
      <c r="AI1494" s="663"/>
      <c r="AJ1494" s="663"/>
      <c r="AK1494" s="663"/>
      <c r="AL1494" s="663"/>
      <c r="AM1494" s="663"/>
      <c r="AN1494" s="663"/>
    </row>
    <row r="1495" spans="2:40" ht="14.45" hidden="1" customHeight="1" x14ac:dyDescent="0.25">
      <c r="C1495" s="882" t="e">
        <f ca="1">IF(ISERROR(XIRR(INDIRECT(C1497):C1494,INDIRECT($B1497):$B1494,-20%)),XIRR(INDIRECT(C1497):C1494,INDIRECT($B1497):$B1494,20%),"N/A")</f>
        <v>#REF!</v>
      </c>
      <c r="D1495" s="882" t="e">
        <f ca="1">IF(ISERROR(XIRR(INDIRECT(D1497):D1494,INDIRECT($B1497):$B1494,-20%)),XIRR(INDIRECT(D1497):D1494,INDIRECT($B1497):$B1494,20%),"N/A")</f>
        <v>#REF!</v>
      </c>
      <c r="E1495" s="882" t="e">
        <f ca="1">IF(ISERROR(XIRR(INDIRECT(E1497):E1494,INDIRECT($B1497):$B1494,-20%)),XIRR(INDIRECT(E1497):E1494,INDIRECT($B1497):$B1494,20%),"N/A")</f>
        <v>#REF!</v>
      </c>
      <c r="F1495" s="882" t="e">
        <f ca="1">IF(ISERROR(XIRR(INDIRECT(F1497):F1494,INDIRECT($B1497):$B1494,-20%)),XIRR(INDIRECT(F1497):F1494,INDIRECT($B1497):$B1494,20%),"N/A")</f>
        <v>#REF!</v>
      </c>
      <c r="G1495" s="882" t="e">
        <f ca="1">IF(ISERROR(XIRR(INDIRECT(G1497):G1494,INDIRECT($B1497):$B1494,-20%)),XIRR(INDIRECT(G1497):G1494,INDIRECT($B1497):$B1494,20%),"N/A")</f>
        <v>#REF!</v>
      </c>
      <c r="H1495" s="882" t="e">
        <f ca="1">IF(ISERROR(XIRR(INDIRECT(H1497):H1494,INDIRECT($B1497):$B1494,-20%)),XIRR(INDIRECT(H1497):H1494,INDIRECT($B1497):$B1494,20%),"N/A")</f>
        <v>#REF!</v>
      </c>
      <c r="I1495" s="882" t="e">
        <f ca="1">IF(ISERROR(XIRR(INDIRECT(I1497):I1494,INDIRECT($B1497):$B1494,-20%)),XIRR(INDIRECT(I1497):I1494,INDIRECT($B1497):$B1494,20%),"N/A")</f>
        <v>#REF!</v>
      </c>
      <c r="J1495" s="882" t="e">
        <f ca="1">IF(ISERROR(XIRR(INDIRECT(J1497):J1494,INDIRECT($B1497):$B1494,-20%)),XIRR(INDIRECT(J1497):J1494,INDIRECT($B1497):$B1494,20%),"N/A")</f>
        <v>#REF!</v>
      </c>
      <c r="K1495" s="882" t="e">
        <f ca="1">IF(ISERROR(XIRR(INDIRECT(K1497):K1494,INDIRECT($B1497):$B1494,-20%)),XIRR(INDIRECT(K1497):K1494,INDIRECT($B1497):$B1494,20%),"N/A")</f>
        <v>#REF!</v>
      </c>
      <c r="L1495" s="882" t="e">
        <f ca="1">IF(ISERROR(XIRR(INDIRECT(L1497):L1494,INDIRECT($B1497):$B1494,-20%)),XIRR(INDIRECT(L1497):L1494,INDIRECT($B1497):$B1494,20%),"N/A")</f>
        <v>#REF!</v>
      </c>
      <c r="U1495" s="663"/>
      <c r="Z1495" s="663"/>
      <c r="AA1495" s="663"/>
      <c r="AB1495" s="663"/>
      <c r="AC1495" s="663"/>
      <c r="AD1495" s="663"/>
      <c r="AE1495" s="663"/>
      <c r="AF1495" s="663"/>
      <c r="AG1495" s="663"/>
      <c r="AH1495" s="663"/>
      <c r="AI1495" s="663"/>
      <c r="AJ1495" s="663"/>
      <c r="AK1495" s="663"/>
      <c r="AL1495" s="663"/>
      <c r="AM1495" s="663"/>
      <c r="AN1495" s="663"/>
    </row>
    <row r="1496" spans="2:40" ht="14.45" hidden="1" customHeight="1" x14ac:dyDescent="0.25">
      <c r="B1496" s="898" t="b">
        <f>IF(C1484&lt;&gt;0,ROW(C1484),IF(C1485&lt;&gt;0,ROW(C1485),IF(C1486&lt;&gt;0,ROW(C1486),IF(C1487&lt;&gt;0,ROW(C1487),IF(C1488&lt;&gt;0,ROW(C1488),IF(C1489&lt;&gt;0,ROW(C1489),IF(C1490&lt;&gt;0,ROW(C1490),IF(C1491&lt;&gt;0,ROW(C1491),IF(C1492&lt;&gt;0,ROW(C1492),IF(C1493&lt;&gt;0,ROW(C1493)))))))))))</f>
        <v>0</v>
      </c>
      <c r="C1496" s="882"/>
      <c r="U1496" s="663"/>
      <c r="Z1496" s="663"/>
      <c r="AA1496" s="663"/>
      <c r="AB1496" s="663"/>
      <c r="AC1496" s="663"/>
      <c r="AD1496" s="663"/>
      <c r="AE1496" s="663"/>
      <c r="AF1496" s="663"/>
      <c r="AG1496" s="663"/>
      <c r="AH1496" s="663"/>
      <c r="AI1496" s="663"/>
      <c r="AJ1496" s="663"/>
      <c r="AK1496" s="663"/>
      <c r="AL1496" s="663"/>
      <c r="AM1496" s="663"/>
      <c r="AN1496" s="663"/>
    </row>
    <row r="1497" spans="2:40" ht="14.45" hidden="1" customHeight="1" x14ac:dyDescent="0.25">
      <c r="B1497" s="899" t="str">
        <f>CONCATENATE(IF(COLUMN(B1496)&lt;=26,CHAR(96+COLUMN(B1496)),(CHAR(96+(ROUNDDOWN((COLUMN(B1496)-1)/26,0)))&amp;CHAR(96+IF(MOD(COLUMN(B1496),26)=0,26,MOD(COLUMN(B1496),26))))),B1496)</f>
        <v>bFALSE</v>
      </c>
      <c r="C1497" s="899" t="str">
        <f>CONCATENATE(IF(COLUMN(C1495)&lt;=26,CHAR(96+COLUMN(C1495)),(CHAR(96+(ROUNDDOWN((COLUMN(C1495)-1)/26,0)))&amp;CHAR(96+IF(MOD(COLUMN(C1495),26)=0,26,MOD(COLUMN(C1495),26))))),$B1496)</f>
        <v>cFALSE</v>
      </c>
      <c r="D1497" s="899" t="str">
        <f t="shared" ref="D1497" si="3133">CONCATENATE(IF(COLUMN(D1495)&lt;=26,CHAR(96+COLUMN(D1495)),(CHAR(96+(ROUNDDOWN((COLUMN(D1495)-1)/26,0)))&amp;CHAR(96+IF(MOD(COLUMN(D1495),26)=0,26,MOD(COLUMN(D1495),26))))),$B1496)</f>
        <v>dFALSE</v>
      </c>
      <c r="E1497" s="899" t="str">
        <f t="shared" ref="E1497" si="3134">CONCATENATE(IF(COLUMN(E1495)&lt;=26,CHAR(96+COLUMN(E1495)),(CHAR(96+(ROUNDDOWN((COLUMN(E1495)-1)/26,0)))&amp;CHAR(96+IF(MOD(COLUMN(E1495),26)=0,26,MOD(COLUMN(E1495),26))))),$B1496)</f>
        <v>eFALSE</v>
      </c>
      <c r="F1497" s="899" t="str">
        <f t="shared" ref="F1497" si="3135">CONCATENATE(IF(COLUMN(F1495)&lt;=26,CHAR(96+COLUMN(F1495)),(CHAR(96+(ROUNDDOWN((COLUMN(F1495)-1)/26,0)))&amp;CHAR(96+IF(MOD(COLUMN(F1495),26)=0,26,MOD(COLUMN(F1495),26))))),$B1496)</f>
        <v>fFALSE</v>
      </c>
      <c r="G1497" s="899" t="str">
        <f t="shared" ref="G1497" si="3136">CONCATENATE(IF(COLUMN(G1495)&lt;=26,CHAR(96+COLUMN(G1495)),(CHAR(96+(ROUNDDOWN((COLUMN(G1495)-1)/26,0)))&amp;CHAR(96+IF(MOD(COLUMN(G1495),26)=0,26,MOD(COLUMN(G1495),26))))),$B1496)</f>
        <v>gFALSE</v>
      </c>
      <c r="H1497" s="899" t="str">
        <f t="shared" ref="H1497" si="3137">CONCATENATE(IF(COLUMN(H1495)&lt;=26,CHAR(96+COLUMN(H1495)),(CHAR(96+(ROUNDDOWN((COLUMN(H1495)-1)/26,0)))&amp;CHAR(96+IF(MOD(COLUMN(H1495),26)=0,26,MOD(COLUMN(H1495),26))))),$B1496)</f>
        <v>hFALSE</v>
      </c>
      <c r="I1497" s="899" t="str">
        <f t="shared" ref="I1497" si="3138">CONCATENATE(IF(COLUMN(I1495)&lt;=26,CHAR(96+COLUMN(I1495)),(CHAR(96+(ROUNDDOWN((COLUMN(I1495)-1)/26,0)))&amp;CHAR(96+IF(MOD(COLUMN(I1495),26)=0,26,MOD(COLUMN(I1495),26))))),$B1496)</f>
        <v>iFALSE</v>
      </c>
      <c r="J1497" s="899" t="str">
        <f t="shared" ref="J1497" si="3139">CONCATENATE(IF(COLUMN(J1495)&lt;=26,CHAR(96+COLUMN(J1495)),(CHAR(96+(ROUNDDOWN((COLUMN(J1495)-1)/26,0)))&amp;CHAR(96+IF(MOD(COLUMN(J1495),26)=0,26,MOD(COLUMN(J1495),26))))),$B1496)</f>
        <v>jFALSE</v>
      </c>
      <c r="K1497" s="899" t="str">
        <f t="shared" ref="K1497" si="3140">CONCATENATE(IF(COLUMN(K1495)&lt;=26,CHAR(96+COLUMN(K1495)),(CHAR(96+(ROUNDDOWN((COLUMN(K1495)-1)/26,0)))&amp;CHAR(96+IF(MOD(COLUMN(K1495),26)=0,26,MOD(COLUMN(K1495),26))))),$B1496)</f>
        <v>kFALSE</v>
      </c>
      <c r="L1497" s="899" t="str">
        <f t="shared" ref="L1497" si="3141">CONCATENATE(IF(COLUMN(L1495)&lt;=26,CHAR(96+COLUMN(L1495)),(CHAR(96+(ROUNDDOWN((COLUMN(L1495)-1)/26,0)))&amp;CHAR(96+IF(MOD(COLUMN(L1495),26)=0,26,MOD(COLUMN(L1495),26))))),$B1496)</f>
        <v>lFALSE</v>
      </c>
      <c r="U1497" s="663"/>
      <c r="Z1497" s="663"/>
      <c r="AA1497" s="663"/>
      <c r="AB1497" s="663"/>
      <c r="AC1497" s="663"/>
      <c r="AD1497" s="663"/>
      <c r="AE1497" s="663"/>
      <c r="AF1497" s="663"/>
      <c r="AG1497" s="663"/>
      <c r="AH1497" s="663"/>
      <c r="AI1497" s="663"/>
      <c r="AJ1497" s="663"/>
      <c r="AK1497" s="663"/>
      <c r="AL1497" s="663"/>
      <c r="AM1497" s="663"/>
      <c r="AN1497" s="663"/>
    </row>
    <row r="1498" spans="2:40" ht="14.45" hidden="1" customHeight="1" x14ac:dyDescent="0.25">
      <c r="B1498" s="661"/>
      <c r="C1498" s="662"/>
      <c r="U1498" s="663"/>
      <c r="Z1498" s="663"/>
      <c r="AA1498" s="663"/>
      <c r="AB1498" s="663"/>
      <c r="AC1498" s="663"/>
      <c r="AD1498" s="663"/>
      <c r="AE1498" s="663"/>
      <c r="AF1498" s="663"/>
      <c r="AG1498" s="663"/>
      <c r="AH1498" s="663"/>
      <c r="AI1498" s="663"/>
      <c r="AJ1498" s="663"/>
      <c r="AK1498" s="663"/>
      <c r="AL1498" s="663"/>
      <c r="AM1498" s="663"/>
      <c r="AN1498" s="663"/>
    </row>
    <row r="1499" spans="2:40" ht="14.45" hidden="1" customHeight="1" x14ac:dyDescent="0.25">
      <c r="B1499" s="661"/>
      <c r="C1499" s="662"/>
      <c r="U1499" s="663"/>
      <c r="Z1499" s="663"/>
      <c r="AA1499" s="663"/>
      <c r="AB1499" s="663"/>
      <c r="AC1499" s="663"/>
      <c r="AD1499" s="663"/>
      <c r="AE1499" s="663"/>
      <c r="AF1499" s="663"/>
      <c r="AG1499" s="663"/>
      <c r="AH1499" s="663"/>
      <c r="AI1499" s="663"/>
      <c r="AJ1499" s="663"/>
      <c r="AK1499" s="663"/>
      <c r="AL1499" s="663"/>
      <c r="AM1499" s="663"/>
      <c r="AN1499" s="663"/>
    </row>
    <row r="1500" spans="2:40" ht="14.45" hidden="1" customHeight="1" x14ac:dyDescent="0.25">
      <c r="B1500" s="936">
        <f>B1484</f>
        <v>39113</v>
      </c>
      <c r="C1500" s="662">
        <f>C1484</f>
        <v>0</v>
      </c>
      <c r="D1500" s="662">
        <f t="shared" ref="D1500:L1500" si="3142">D1484</f>
        <v>0</v>
      </c>
      <c r="E1500" s="662">
        <f t="shared" si="3142"/>
        <v>0</v>
      </c>
      <c r="F1500" s="662">
        <f t="shared" si="3142"/>
        <v>0</v>
      </c>
      <c r="G1500" s="662">
        <f t="shared" si="3142"/>
        <v>0</v>
      </c>
      <c r="H1500" s="662">
        <f t="shared" si="3142"/>
        <v>0</v>
      </c>
      <c r="I1500" s="662">
        <f t="shared" si="3142"/>
        <v>0</v>
      </c>
      <c r="J1500" s="662">
        <f t="shared" si="3142"/>
        <v>0</v>
      </c>
      <c r="K1500" s="662">
        <f t="shared" si="3142"/>
        <v>0</v>
      </c>
      <c r="L1500" s="662">
        <f t="shared" si="3142"/>
        <v>0</v>
      </c>
      <c r="U1500" s="663"/>
      <c r="Z1500" s="663"/>
      <c r="AA1500" s="663"/>
      <c r="AB1500" s="663"/>
      <c r="AC1500" s="663"/>
      <c r="AD1500" s="663"/>
      <c r="AE1500" s="663"/>
      <c r="AF1500" s="663"/>
      <c r="AG1500" s="663"/>
      <c r="AH1500" s="663"/>
      <c r="AI1500" s="663"/>
      <c r="AJ1500" s="663"/>
      <c r="AK1500" s="663"/>
      <c r="AL1500" s="663"/>
      <c r="AM1500" s="663"/>
      <c r="AN1500" s="663"/>
    </row>
    <row r="1501" spans="2:40" ht="14.45" hidden="1" customHeight="1" x14ac:dyDescent="0.25">
      <c r="B1501" s="936">
        <f t="shared" ref="B1501:L1501" si="3143">B1485</f>
        <v>39478</v>
      </c>
      <c r="C1501" s="662">
        <f t="shared" si="3143"/>
        <v>0</v>
      </c>
      <c r="D1501" s="662">
        <f t="shared" si="3143"/>
        <v>0</v>
      </c>
      <c r="E1501" s="662">
        <f t="shared" si="3143"/>
        <v>0</v>
      </c>
      <c r="F1501" s="662">
        <f t="shared" si="3143"/>
        <v>0</v>
      </c>
      <c r="G1501" s="662">
        <f t="shared" si="3143"/>
        <v>0</v>
      </c>
      <c r="H1501" s="662">
        <f t="shared" si="3143"/>
        <v>0</v>
      </c>
      <c r="I1501" s="662">
        <f t="shared" si="3143"/>
        <v>0</v>
      </c>
      <c r="J1501" s="662">
        <f t="shared" si="3143"/>
        <v>0</v>
      </c>
      <c r="K1501" s="662">
        <f t="shared" si="3143"/>
        <v>0</v>
      </c>
      <c r="L1501" s="662">
        <f t="shared" si="3143"/>
        <v>0</v>
      </c>
      <c r="U1501" s="663"/>
      <c r="Z1501" s="663"/>
      <c r="AA1501" s="663"/>
      <c r="AB1501" s="663"/>
      <c r="AC1501" s="663"/>
      <c r="AD1501" s="663"/>
      <c r="AE1501" s="663"/>
      <c r="AF1501" s="663"/>
      <c r="AG1501" s="663"/>
      <c r="AH1501" s="663"/>
      <c r="AI1501" s="663"/>
      <c r="AJ1501" s="663"/>
      <c r="AK1501" s="663"/>
      <c r="AL1501" s="663"/>
      <c r="AM1501" s="663"/>
      <c r="AN1501" s="663"/>
    </row>
    <row r="1502" spans="2:40" ht="14.45" hidden="1" customHeight="1" x14ac:dyDescent="0.25">
      <c r="B1502" s="936">
        <f t="shared" ref="B1502:L1502" si="3144">B1486</f>
        <v>39843</v>
      </c>
      <c r="C1502" s="662">
        <f t="shared" si="3144"/>
        <v>0</v>
      </c>
      <c r="D1502" s="662">
        <f t="shared" si="3144"/>
        <v>0</v>
      </c>
      <c r="E1502" s="662">
        <f t="shared" si="3144"/>
        <v>0</v>
      </c>
      <c r="F1502" s="662">
        <f t="shared" si="3144"/>
        <v>0</v>
      </c>
      <c r="G1502" s="662">
        <f t="shared" si="3144"/>
        <v>0</v>
      </c>
      <c r="H1502" s="662">
        <f t="shared" si="3144"/>
        <v>0</v>
      </c>
      <c r="I1502" s="662">
        <f t="shared" si="3144"/>
        <v>0</v>
      </c>
      <c r="J1502" s="662">
        <f t="shared" si="3144"/>
        <v>0</v>
      </c>
      <c r="K1502" s="662">
        <f t="shared" si="3144"/>
        <v>0</v>
      </c>
      <c r="L1502" s="662">
        <f t="shared" si="3144"/>
        <v>0</v>
      </c>
      <c r="U1502" s="663"/>
      <c r="Z1502" s="663"/>
      <c r="AA1502" s="663"/>
      <c r="AB1502" s="663"/>
      <c r="AC1502" s="663"/>
      <c r="AD1502" s="663"/>
      <c r="AE1502" s="663"/>
      <c r="AF1502" s="663"/>
      <c r="AG1502" s="663"/>
      <c r="AH1502" s="663"/>
      <c r="AI1502" s="663"/>
      <c r="AJ1502" s="663"/>
      <c r="AK1502" s="663"/>
      <c r="AL1502" s="663"/>
      <c r="AM1502" s="663"/>
      <c r="AN1502" s="663"/>
    </row>
    <row r="1503" spans="2:40" ht="14.45" hidden="1" customHeight="1" x14ac:dyDescent="0.25">
      <c r="B1503" s="936">
        <f t="shared" ref="B1503:L1503" si="3145">B1487</f>
        <v>39843</v>
      </c>
      <c r="C1503" s="662">
        <f t="shared" si="3145"/>
        <v>0</v>
      </c>
      <c r="D1503" s="662">
        <f t="shared" si="3145"/>
        <v>0</v>
      </c>
      <c r="E1503" s="662">
        <f t="shared" si="3145"/>
        <v>0</v>
      </c>
      <c r="F1503" s="662">
        <f t="shared" si="3145"/>
        <v>0</v>
      </c>
      <c r="G1503" s="662">
        <f t="shared" si="3145"/>
        <v>0</v>
      </c>
      <c r="H1503" s="662">
        <f t="shared" si="3145"/>
        <v>0</v>
      </c>
      <c r="I1503" s="662">
        <f t="shared" si="3145"/>
        <v>0</v>
      </c>
      <c r="J1503" s="662">
        <f t="shared" si="3145"/>
        <v>0</v>
      </c>
      <c r="K1503" s="662">
        <f t="shared" si="3145"/>
        <v>0</v>
      </c>
      <c r="L1503" s="662">
        <f t="shared" si="3145"/>
        <v>0</v>
      </c>
      <c r="U1503" s="663"/>
      <c r="Z1503" s="663"/>
      <c r="AA1503" s="663"/>
      <c r="AB1503" s="663"/>
      <c r="AC1503" s="663"/>
      <c r="AD1503" s="663"/>
      <c r="AE1503" s="663"/>
      <c r="AF1503" s="663"/>
      <c r="AG1503" s="663"/>
      <c r="AH1503" s="663"/>
      <c r="AI1503" s="663"/>
      <c r="AJ1503" s="663"/>
      <c r="AK1503" s="663"/>
      <c r="AL1503" s="663"/>
      <c r="AM1503" s="663"/>
      <c r="AN1503" s="663"/>
    </row>
    <row r="1504" spans="2:40" ht="14.45" hidden="1" customHeight="1" x14ac:dyDescent="0.25">
      <c r="B1504" s="936">
        <f t="shared" ref="B1504:L1504" si="3146">B1488</f>
        <v>39843</v>
      </c>
      <c r="C1504" s="662">
        <f t="shared" si="3146"/>
        <v>0</v>
      </c>
      <c r="D1504" s="662">
        <f t="shared" si="3146"/>
        <v>0</v>
      </c>
      <c r="E1504" s="662">
        <f t="shared" si="3146"/>
        <v>0</v>
      </c>
      <c r="F1504" s="662">
        <f t="shared" si="3146"/>
        <v>0</v>
      </c>
      <c r="G1504" s="662">
        <f t="shared" si="3146"/>
        <v>0</v>
      </c>
      <c r="H1504" s="662">
        <f t="shared" si="3146"/>
        <v>0</v>
      </c>
      <c r="I1504" s="662">
        <f t="shared" si="3146"/>
        <v>0</v>
      </c>
      <c r="J1504" s="662">
        <f t="shared" si="3146"/>
        <v>0</v>
      </c>
      <c r="K1504" s="662">
        <f t="shared" si="3146"/>
        <v>0</v>
      </c>
      <c r="L1504" s="662">
        <f t="shared" si="3146"/>
        <v>0</v>
      </c>
      <c r="U1504" s="663"/>
      <c r="Z1504" s="663"/>
      <c r="AA1504" s="663"/>
      <c r="AB1504" s="663"/>
      <c r="AC1504" s="663"/>
      <c r="AD1504" s="663"/>
      <c r="AE1504" s="663"/>
      <c r="AF1504" s="663"/>
      <c r="AG1504" s="663"/>
      <c r="AH1504" s="663"/>
      <c r="AI1504" s="663"/>
      <c r="AJ1504" s="663"/>
      <c r="AK1504" s="663"/>
      <c r="AL1504" s="663"/>
      <c r="AM1504" s="663"/>
      <c r="AN1504" s="663"/>
    </row>
    <row r="1505" spans="2:40" ht="14.45" hidden="1" customHeight="1" x14ac:dyDescent="0.25">
      <c r="B1505" s="936">
        <f t="shared" ref="B1505:L1505" si="3147">B1489</f>
        <v>39843</v>
      </c>
      <c r="C1505" s="662">
        <f t="shared" si="3147"/>
        <v>0</v>
      </c>
      <c r="D1505" s="662">
        <f t="shared" si="3147"/>
        <v>0</v>
      </c>
      <c r="E1505" s="662">
        <f t="shared" si="3147"/>
        <v>0</v>
      </c>
      <c r="F1505" s="662">
        <f t="shared" si="3147"/>
        <v>0</v>
      </c>
      <c r="G1505" s="662">
        <f t="shared" si="3147"/>
        <v>0</v>
      </c>
      <c r="H1505" s="662">
        <f t="shared" si="3147"/>
        <v>0</v>
      </c>
      <c r="I1505" s="662">
        <f t="shared" si="3147"/>
        <v>0</v>
      </c>
      <c r="J1505" s="662">
        <f t="shared" si="3147"/>
        <v>0</v>
      </c>
      <c r="K1505" s="662">
        <f t="shared" si="3147"/>
        <v>0</v>
      </c>
      <c r="L1505" s="662">
        <f t="shared" si="3147"/>
        <v>0</v>
      </c>
      <c r="U1505" s="663"/>
      <c r="Z1505" s="663"/>
      <c r="AA1505" s="663"/>
      <c r="AB1505" s="663"/>
      <c r="AC1505" s="663"/>
      <c r="AD1505" s="663"/>
      <c r="AE1505" s="663"/>
      <c r="AF1505" s="663"/>
      <c r="AG1505" s="663"/>
      <c r="AH1505" s="663"/>
      <c r="AI1505" s="663"/>
      <c r="AJ1505" s="663"/>
      <c r="AK1505" s="663"/>
      <c r="AL1505" s="663"/>
      <c r="AM1505" s="663"/>
      <c r="AN1505" s="663"/>
    </row>
    <row r="1506" spans="2:40" ht="14.45" hidden="1" customHeight="1" x14ac:dyDescent="0.25">
      <c r="B1506" s="936">
        <f t="shared" ref="B1506:L1506" si="3148">B1490</f>
        <v>39843</v>
      </c>
      <c r="C1506" s="662">
        <f t="shared" si="3148"/>
        <v>0</v>
      </c>
      <c r="D1506" s="662">
        <f t="shared" si="3148"/>
        <v>0</v>
      </c>
      <c r="E1506" s="662">
        <f t="shared" si="3148"/>
        <v>0</v>
      </c>
      <c r="F1506" s="662">
        <f t="shared" si="3148"/>
        <v>0</v>
      </c>
      <c r="G1506" s="662">
        <f t="shared" si="3148"/>
        <v>0</v>
      </c>
      <c r="H1506" s="662">
        <f t="shared" si="3148"/>
        <v>0</v>
      </c>
      <c r="I1506" s="662">
        <f t="shared" si="3148"/>
        <v>0</v>
      </c>
      <c r="J1506" s="662">
        <f t="shared" si="3148"/>
        <v>0</v>
      </c>
      <c r="K1506" s="662">
        <f t="shared" si="3148"/>
        <v>0</v>
      </c>
      <c r="L1506" s="662">
        <f t="shared" si="3148"/>
        <v>0</v>
      </c>
      <c r="U1506" s="663"/>
      <c r="Z1506" s="663"/>
      <c r="AA1506" s="663"/>
      <c r="AB1506" s="663"/>
      <c r="AC1506" s="663"/>
      <c r="AD1506" s="663"/>
      <c r="AE1506" s="663"/>
      <c r="AF1506" s="663"/>
      <c r="AG1506" s="663"/>
      <c r="AH1506" s="663"/>
      <c r="AI1506" s="663"/>
      <c r="AJ1506" s="663"/>
      <c r="AK1506" s="663"/>
      <c r="AL1506" s="663"/>
      <c r="AM1506" s="663"/>
      <c r="AN1506" s="663"/>
    </row>
    <row r="1507" spans="2:40" ht="14.45" hidden="1" customHeight="1" x14ac:dyDescent="0.25">
      <c r="B1507" s="936">
        <f t="shared" ref="B1507:L1507" si="3149">B1491</f>
        <v>39843</v>
      </c>
      <c r="C1507" s="662">
        <f t="shared" si="3149"/>
        <v>0</v>
      </c>
      <c r="D1507" s="662">
        <f t="shared" si="3149"/>
        <v>0</v>
      </c>
      <c r="E1507" s="662">
        <f t="shared" si="3149"/>
        <v>0</v>
      </c>
      <c r="F1507" s="662">
        <f t="shared" si="3149"/>
        <v>0</v>
      </c>
      <c r="G1507" s="662">
        <f t="shared" si="3149"/>
        <v>0</v>
      </c>
      <c r="H1507" s="662">
        <f t="shared" si="3149"/>
        <v>0</v>
      </c>
      <c r="I1507" s="662">
        <f t="shared" si="3149"/>
        <v>0</v>
      </c>
      <c r="J1507" s="662">
        <f t="shared" si="3149"/>
        <v>0</v>
      </c>
      <c r="K1507" s="662">
        <f t="shared" si="3149"/>
        <v>0</v>
      </c>
      <c r="L1507" s="662">
        <f t="shared" si="3149"/>
        <v>0</v>
      </c>
      <c r="U1507" s="663"/>
      <c r="Z1507" s="663"/>
      <c r="AA1507" s="663"/>
      <c r="AB1507" s="663"/>
      <c r="AC1507" s="663"/>
      <c r="AD1507" s="663"/>
      <c r="AE1507" s="663"/>
      <c r="AF1507" s="663"/>
      <c r="AG1507" s="663"/>
      <c r="AH1507" s="663"/>
      <c r="AI1507" s="663"/>
      <c r="AJ1507" s="663"/>
      <c r="AK1507" s="663"/>
      <c r="AL1507" s="663"/>
      <c r="AM1507" s="663"/>
      <c r="AN1507" s="663"/>
    </row>
    <row r="1508" spans="2:40" ht="14.45" hidden="1" customHeight="1" x14ac:dyDescent="0.25">
      <c r="B1508" s="936">
        <f t="shared" ref="B1508:L1508" si="3150">B1492</f>
        <v>39843</v>
      </c>
      <c r="C1508" s="662">
        <f t="shared" si="3150"/>
        <v>0</v>
      </c>
      <c r="D1508" s="662">
        <f t="shared" si="3150"/>
        <v>0</v>
      </c>
      <c r="E1508" s="662">
        <f t="shared" si="3150"/>
        <v>0</v>
      </c>
      <c r="F1508" s="662">
        <f t="shared" si="3150"/>
        <v>0</v>
      </c>
      <c r="G1508" s="662">
        <f t="shared" si="3150"/>
        <v>0</v>
      </c>
      <c r="H1508" s="662">
        <f t="shared" si="3150"/>
        <v>0</v>
      </c>
      <c r="I1508" s="662">
        <f t="shared" si="3150"/>
        <v>0</v>
      </c>
      <c r="J1508" s="662">
        <f t="shared" si="3150"/>
        <v>0</v>
      </c>
      <c r="K1508" s="662">
        <f t="shared" si="3150"/>
        <v>0</v>
      </c>
      <c r="L1508" s="662">
        <f t="shared" si="3150"/>
        <v>0</v>
      </c>
      <c r="U1508" s="663"/>
      <c r="Z1508" s="663"/>
      <c r="AA1508" s="663"/>
      <c r="AB1508" s="663"/>
      <c r="AC1508" s="663"/>
      <c r="AD1508" s="663"/>
      <c r="AE1508" s="663"/>
      <c r="AF1508" s="663"/>
      <c r="AG1508" s="663"/>
      <c r="AH1508" s="663"/>
      <c r="AI1508" s="663"/>
      <c r="AJ1508" s="663"/>
      <c r="AK1508" s="663"/>
      <c r="AL1508" s="663"/>
      <c r="AM1508" s="663"/>
      <c r="AN1508" s="663"/>
    </row>
    <row r="1509" spans="2:40" ht="14.45" hidden="1" customHeight="1" x14ac:dyDescent="0.25">
      <c r="B1509" s="936">
        <f t="shared" ref="B1509:L1509" si="3151">B1493</f>
        <v>39843</v>
      </c>
      <c r="C1509" s="662">
        <f t="shared" si="3151"/>
        <v>0</v>
      </c>
      <c r="D1509" s="662">
        <f t="shared" si="3151"/>
        <v>0</v>
      </c>
      <c r="E1509" s="662">
        <f t="shared" si="3151"/>
        <v>0</v>
      </c>
      <c r="F1509" s="662">
        <f t="shared" si="3151"/>
        <v>0</v>
      </c>
      <c r="G1509" s="662">
        <f t="shared" si="3151"/>
        <v>0</v>
      </c>
      <c r="H1509" s="662">
        <f t="shared" si="3151"/>
        <v>0</v>
      </c>
      <c r="I1509" s="662">
        <f t="shared" si="3151"/>
        <v>0</v>
      </c>
      <c r="J1509" s="662">
        <f t="shared" si="3151"/>
        <v>0</v>
      </c>
      <c r="K1509" s="662">
        <f t="shared" si="3151"/>
        <v>0</v>
      </c>
      <c r="L1509" s="662">
        <f t="shared" si="3151"/>
        <v>0</v>
      </c>
      <c r="U1509" s="663"/>
      <c r="Z1509" s="663"/>
      <c r="AA1509" s="663"/>
      <c r="AB1509" s="663"/>
      <c r="AC1509" s="663"/>
      <c r="AD1509" s="663"/>
      <c r="AE1509" s="663"/>
      <c r="AF1509" s="663"/>
      <c r="AG1509" s="663"/>
      <c r="AH1509" s="663"/>
      <c r="AI1509" s="663"/>
      <c r="AJ1509" s="663"/>
      <c r="AK1509" s="663"/>
      <c r="AL1509" s="663"/>
      <c r="AM1509" s="663"/>
      <c r="AN1509" s="663"/>
    </row>
    <row r="1510" spans="2:40" ht="14.45" hidden="1" customHeight="1" x14ac:dyDescent="0.25">
      <c r="B1510" s="936">
        <f>B1444</f>
        <v>41359</v>
      </c>
      <c r="C1510" s="662">
        <f t="shared" ref="C1510:L1510" si="3152">C1494</f>
        <v>0</v>
      </c>
      <c r="D1510" s="662">
        <f t="shared" si="3152"/>
        <v>0</v>
      </c>
      <c r="E1510" s="662">
        <f t="shared" si="3152"/>
        <v>0</v>
      </c>
      <c r="F1510" s="662">
        <f t="shared" si="3152"/>
        <v>0</v>
      </c>
      <c r="G1510" s="662">
        <f t="shared" si="3152"/>
        <v>0</v>
      </c>
      <c r="H1510" s="662">
        <f t="shared" si="3152"/>
        <v>0</v>
      </c>
      <c r="I1510" s="662">
        <f t="shared" si="3152"/>
        <v>0</v>
      </c>
      <c r="J1510" s="662">
        <f t="shared" si="3152"/>
        <v>0</v>
      </c>
      <c r="K1510" s="662">
        <f t="shared" si="3152"/>
        <v>0</v>
      </c>
      <c r="L1510" s="662">
        <f t="shared" si="3152"/>
        <v>0</v>
      </c>
      <c r="U1510" s="663"/>
      <c r="Z1510" s="663"/>
      <c r="AA1510" s="663"/>
      <c r="AB1510" s="663"/>
      <c r="AC1510" s="663"/>
      <c r="AD1510" s="663"/>
      <c r="AE1510" s="663"/>
      <c r="AF1510" s="663"/>
      <c r="AG1510" s="663"/>
      <c r="AH1510" s="663"/>
      <c r="AI1510" s="663"/>
      <c r="AJ1510" s="663"/>
      <c r="AK1510" s="663"/>
      <c r="AL1510" s="663"/>
      <c r="AM1510" s="663"/>
      <c r="AN1510" s="663"/>
    </row>
    <row r="1511" spans="2:40" ht="14.45" hidden="1" customHeight="1" x14ac:dyDescent="0.25">
      <c r="C1511" s="882" t="e">
        <f ca="1">IF(ISERROR(XIRR(INDIRECT(C1513):C1510,INDIRECT($B1513):$B1510,-20%)),XIRR(INDIRECT(C1513):C1510,INDIRECT($B1513):$B1510,20%),"N/A")</f>
        <v>#REF!</v>
      </c>
      <c r="D1511" s="882" t="e">
        <f ca="1">IF(ISERROR(XIRR(INDIRECT(D1513):D1510,INDIRECT($B1513):$B1510,-20%)),XIRR(INDIRECT(D1513):D1510,INDIRECT($B1513):$B1510,20%),"N/A")</f>
        <v>#REF!</v>
      </c>
      <c r="E1511" s="882" t="e">
        <f ca="1">IF(ISERROR(XIRR(INDIRECT(E1513):E1510,INDIRECT($B1513):$B1510,-20%)),XIRR(INDIRECT(E1513):E1510,INDIRECT($B1513):$B1510,20%),"N/A")</f>
        <v>#REF!</v>
      </c>
      <c r="F1511" s="882" t="e">
        <f ca="1">IF(ISERROR(XIRR(INDIRECT(F1513):F1510,INDIRECT($B1513):$B1510,-20%)),XIRR(INDIRECT(F1513):F1510,INDIRECT($B1513):$B1510,20%),"N/A")</f>
        <v>#REF!</v>
      </c>
      <c r="G1511" s="882" t="e">
        <f ca="1">IF(ISERROR(XIRR(INDIRECT(G1513):G1510,INDIRECT($B1513):$B1510,-20%)),XIRR(INDIRECT(G1513):G1510,INDIRECT($B1513):$B1510,20%),"N/A")</f>
        <v>#REF!</v>
      </c>
      <c r="H1511" s="882" t="e">
        <f ca="1">IF(ISERROR(XIRR(INDIRECT(H1513):H1510,INDIRECT($B1513):$B1510,-20%)),XIRR(INDIRECT(H1513):H1510,INDIRECT($B1513):$B1510,20%),"N/A")</f>
        <v>#REF!</v>
      </c>
      <c r="I1511" s="882" t="e">
        <f ca="1">IF(ISERROR(XIRR(INDIRECT(I1513):I1510,INDIRECT($B1513):$B1510,-20%)),XIRR(INDIRECT(I1513):I1510,INDIRECT($B1513):$B1510,20%),"N/A")</f>
        <v>#REF!</v>
      </c>
      <c r="J1511" s="882" t="e">
        <f ca="1">IF(ISERROR(XIRR(INDIRECT(J1513):J1510,INDIRECT($B1513):$B1510,-20%)),XIRR(INDIRECT(J1513):J1510,INDIRECT($B1513):$B1510,20%),"N/A")</f>
        <v>#REF!</v>
      </c>
      <c r="K1511" s="882" t="e">
        <f ca="1">IF(ISERROR(XIRR(INDIRECT(K1513):K1510,INDIRECT($B1513):$B1510,-20%)),XIRR(INDIRECT(K1513):K1510,INDIRECT($B1513):$B1510,20%),"N/A")</f>
        <v>#REF!</v>
      </c>
      <c r="L1511" s="882" t="e">
        <f ca="1">IF(ISERROR(XIRR(INDIRECT(L1513):L1510,INDIRECT($B1513):$B1510,-20%)),XIRR(INDIRECT(L1513):L1510,INDIRECT($B1513):$B1510,20%),"N/A")</f>
        <v>#REF!</v>
      </c>
      <c r="U1511" s="663"/>
      <c r="Z1511" s="663"/>
      <c r="AA1511" s="663"/>
      <c r="AB1511" s="663"/>
      <c r="AC1511" s="663"/>
      <c r="AD1511" s="663"/>
      <c r="AE1511" s="663"/>
      <c r="AF1511" s="663"/>
      <c r="AG1511" s="663"/>
      <c r="AH1511" s="663"/>
      <c r="AI1511" s="663"/>
      <c r="AJ1511" s="663"/>
      <c r="AK1511" s="663"/>
      <c r="AL1511" s="663"/>
      <c r="AM1511" s="663"/>
      <c r="AN1511" s="663"/>
    </row>
    <row r="1512" spans="2:40" ht="14.45" hidden="1" customHeight="1" x14ac:dyDescent="0.25">
      <c r="B1512" s="898" t="b">
        <f>IF(C1500&lt;&gt;0,ROW(C1500),IF(C1501&lt;&gt;0,ROW(C1501),IF(C1502&lt;&gt;0,ROW(C1502),IF(C1503&lt;&gt;0,ROW(C1503),IF(C1504&lt;&gt;0,ROW(C1504),IF(C1505&lt;&gt;0,ROW(C1505),IF(C1506&lt;&gt;0,ROW(C1506),IF(C1507&lt;&gt;0,ROW(C1507),IF(C1508&lt;&gt;0,ROW(C1508),IF(C1509&lt;&gt;0,ROW(C1509)))))))))))</f>
        <v>0</v>
      </c>
      <c r="C1512" s="882"/>
      <c r="U1512" s="663"/>
      <c r="Z1512" s="663"/>
      <c r="AA1512" s="663"/>
      <c r="AB1512" s="663"/>
      <c r="AC1512" s="663"/>
      <c r="AD1512" s="663"/>
      <c r="AE1512" s="663"/>
      <c r="AF1512" s="663"/>
      <c r="AG1512" s="663"/>
      <c r="AH1512" s="663"/>
      <c r="AI1512" s="663"/>
      <c r="AJ1512" s="663"/>
      <c r="AK1512" s="663"/>
      <c r="AL1512" s="663"/>
      <c r="AM1512" s="663"/>
      <c r="AN1512" s="663"/>
    </row>
    <row r="1513" spans="2:40" ht="14.45" hidden="1" customHeight="1" x14ac:dyDescent="0.25">
      <c r="B1513" s="899" t="str">
        <f>CONCATENATE(IF(COLUMN(B1512)&lt;=26,CHAR(96+COLUMN(B1512)),(CHAR(96+(ROUNDDOWN((COLUMN(B1512)-1)/26,0)))&amp;CHAR(96+IF(MOD(COLUMN(B1512),26)=0,26,MOD(COLUMN(B1512),26))))),B1512)</f>
        <v>bFALSE</v>
      </c>
      <c r="C1513" s="899" t="str">
        <f>CONCATENATE(IF(COLUMN(C1511)&lt;=26,CHAR(96+COLUMN(C1511)),(CHAR(96+(ROUNDDOWN((COLUMN(C1511)-1)/26,0)))&amp;CHAR(96+IF(MOD(COLUMN(C1511),26)=0,26,MOD(COLUMN(C1511),26))))),$B1512)</f>
        <v>cFALSE</v>
      </c>
      <c r="D1513" s="899" t="str">
        <f t="shared" ref="D1513" si="3153">CONCATENATE(IF(COLUMN(D1511)&lt;=26,CHAR(96+COLUMN(D1511)),(CHAR(96+(ROUNDDOWN((COLUMN(D1511)-1)/26,0)))&amp;CHAR(96+IF(MOD(COLUMN(D1511),26)=0,26,MOD(COLUMN(D1511),26))))),$B1512)</f>
        <v>dFALSE</v>
      </c>
      <c r="E1513" s="899" t="str">
        <f t="shared" ref="E1513" si="3154">CONCATENATE(IF(COLUMN(E1511)&lt;=26,CHAR(96+COLUMN(E1511)),(CHAR(96+(ROUNDDOWN((COLUMN(E1511)-1)/26,0)))&amp;CHAR(96+IF(MOD(COLUMN(E1511),26)=0,26,MOD(COLUMN(E1511),26))))),$B1512)</f>
        <v>eFALSE</v>
      </c>
      <c r="F1513" s="899" t="str">
        <f t="shared" ref="F1513" si="3155">CONCATENATE(IF(COLUMN(F1511)&lt;=26,CHAR(96+COLUMN(F1511)),(CHAR(96+(ROUNDDOWN((COLUMN(F1511)-1)/26,0)))&amp;CHAR(96+IF(MOD(COLUMN(F1511),26)=0,26,MOD(COLUMN(F1511),26))))),$B1512)</f>
        <v>fFALSE</v>
      </c>
      <c r="G1513" s="899" t="str">
        <f t="shared" ref="G1513" si="3156">CONCATENATE(IF(COLUMN(G1511)&lt;=26,CHAR(96+COLUMN(G1511)),(CHAR(96+(ROUNDDOWN((COLUMN(G1511)-1)/26,0)))&amp;CHAR(96+IF(MOD(COLUMN(G1511),26)=0,26,MOD(COLUMN(G1511),26))))),$B1512)</f>
        <v>gFALSE</v>
      </c>
      <c r="H1513" s="899" t="str">
        <f t="shared" ref="H1513" si="3157">CONCATENATE(IF(COLUMN(H1511)&lt;=26,CHAR(96+COLUMN(H1511)),(CHAR(96+(ROUNDDOWN((COLUMN(H1511)-1)/26,0)))&amp;CHAR(96+IF(MOD(COLUMN(H1511),26)=0,26,MOD(COLUMN(H1511),26))))),$B1512)</f>
        <v>hFALSE</v>
      </c>
      <c r="I1513" s="899" t="str">
        <f t="shared" ref="I1513" si="3158">CONCATENATE(IF(COLUMN(I1511)&lt;=26,CHAR(96+COLUMN(I1511)),(CHAR(96+(ROUNDDOWN((COLUMN(I1511)-1)/26,0)))&amp;CHAR(96+IF(MOD(COLUMN(I1511),26)=0,26,MOD(COLUMN(I1511),26))))),$B1512)</f>
        <v>iFALSE</v>
      </c>
      <c r="J1513" s="899" t="str">
        <f t="shared" ref="J1513" si="3159">CONCATENATE(IF(COLUMN(J1511)&lt;=26,CHAR(96+COLUMN(J1511)),(CHAR(96+(ROUNDDOWN((COLUMN(J1511)-1)/26,0)))&amp;CHAR(96+IF(MOD(COLUMN(J1511),26)=0,26,MOD(COLUMN(J1511),26))))),$B1512)</f>
        <v>jFALSE</v>
      </c>
      <c r="K1513" s="899" t="str">
        <f t="shared" ref="K1513" si="3160">CONCATENATE(IF(COLUMN(K1511)&lt;=26,CHAR(96+COLUMN(K1511)),(CHAR(96+(ROUNDDOWN((COLUMN(K1511)-1)/26,0)))&amp;CHAR(96+IF(MOD(COLUMN(K1511),26)=0,26,MOD(COLUMN(K1511),26))))),$B1512)</f>
        <v>kFALSE</v>
      </c>
      <c r="L1513" s="899" t="str">
        <f t="shared" ref="L1513" si="3161">CONCATENATE(IF(COLUMN(L1511)&lt;=26,CHAR(96+COLUMN(L1511)),(CHAR(96+(ROUNDDOWN((COLUMN(L1511)-1)/26,0)))&amp;CHAR(96+IF(MOD(COLUMN(L1511),26)=0,26,MOD(COLUMN(L1511),26))))),$B1512)</f>
        <v>lFALSE</v>
      </c>
      <c r="U1513" s="663"/>
      <c r="Z1513" s="663"/>
      <c r="AA1513" s="663"/>
      <c r="AB1513" s="663"/>
      <c r="AC1513" s="663"/>
      <c r="AD1513" s="663"/>
      <c r="AE1513" s="663"/>
      <c r="AF1513" s="663"/>
      <c r="AG1513" s="663"/>
      <c r="AH1513" s="663"/>
      <c r="AI1513" s="663"/>
      <c r="AJ1513" s="663"/>
      <c r="AK1513" s="663"/>
      <c r="AL1513" s="663"/>
      <c r="AM1513" s="663"/>
      <c r="AN1513" s="663"/>
    </row>
    <row r="1514" spans="2:40" ht="14.45" hidden="1" customHeight="1" x14ac:dyDescent="0.25">
      <c r="C1514" s="662"/>
      <c r="U1514" s="663"/>
      <c r="Z1514" s="663"/>
      <c r="AA1514" s="663"/>
      <c r="AB1514" s="663"/>
      <c r="AC1514" s="663"/>
      <c r="AD1514" s="663"/>
      <c r="AE1514" s="663"/>
      <c r="AF1514" s="663"/>
      <c r="AG1514" s="663"/>
      <c r="AH1514" s="663"/>
      <c r="AI1514" s="663"/>
      <c r="AJ1514" s="663"/>
      <c r="AK1514" s="663"/>
      <c r="AL1514" s="663"/>
      <c r="AM1514" s="663"/>
      <c r="AN1514" s="663"/>
    </row>
    <row r="1515" spans="2:40" ht="14.45" hidden="1" customHeight="1" x14ac:dyDescent="0.25">
      <c r="C1515" s="662"/>
      <c r="U1515" s="663"/>
      <c r="Z1515" s="663"/>
      <c r="AA1515" s="663"/>
      <c r="AB1515" s="663"/>
      <c r="AC1515" s="663"/>
      <c r="AD1515" s="663"/>
      <c r="AE1515" s="663"/>
      <c r="AF1515" s="663"/>
      <c r="AG1515" s="663"/>
      <c r="AH1515" s="663"/>
      <c r="AI1515" s="663"/>
      <c r="AJ1515" s="663"/>
      <c r="AK1515" s="663"/>
      <c r="AL1515" s="663"/>
      <c r="AM1515" s="663"/>
      <c r="AN1515" s="663"/>
    </row>
    <row r="1516" spans="2:40" ht="14.45" hidden="1" customHeight="1" x14ac:dyDescent="0.25">
      <c r="B1516" s="936">
        <f>B1500</f>
        <v>39113</v>
      </c>
      <c r="C1516" s="662">
        <f>C1500</f>
        <v>0</v>
      </c>
      <c r="D1516" s="662">
        <f t="shared" ref="D1516:L1516" si="3162">D1500</f>
        <v>0</v>
      </c>
      <c r="E1516" s="662">
        <f t="shared" si="3162"/>
        <v>0</v>
      </c>
      <c r="F1516" s="662">
        <f t="shared" si="3162"/>
        <v>0</v>
      </c>
      <c r="G1516" s="662">
        <f t="shared" si="3162"/>
        <v>0</v>
      </c>
      <c r="H1516" s="662">
        <f t="shared" si="3162"/>
        <v>0</v>
      </c>
      <c r="I1516" s="662">
        <f t="shared" si="3162"/>
        <v>0</v>
      </c>
      <c r="J1516" s="662">
        <f t="shared" si="3162"/>
        <v>0</v>
      </c>
      <c r="K1516" s="662">
        <f t="shared" si="3162"/>
        <v>0</v>
      </c>
      <c r="L1516" s="662">
        <f t="shared" si="3162"/>
        <v>0</v>
      </c>
      <c r="U1516" s="663"/>
      <c r="Z1516" s="663"/>
      <c r="AA1516" s="663"/>
      <c r="AB1516" s="663"/>
      <c r="AC1516" s="663"/>
      <c r="AD1516" s="663"/>
      <c r="AE1516" s="663"/>
      <c r="AF1516" s="663"/>
      <c r="AG1516" s="663"/>
      <c r="AH1516" s="663"/>
      <c r="AI1516" s="663"/>
      <c r="AJ1516" s="663"/>
      <c r="AK1516" s="663"/>
      <c r="AL1516" s="663"/>
      <c r="AM1516" s="663"/>
      <c r="AN1516" s="663"/>
    </row>
    <row r="1517" spans="2:40" ht="14.45" hidden="1" customHeight="1" x14ac:dyDescent="0.25">
      <c r="B1517" s="936">
        <f t="shared" ref="B1517:L1517" si="3163">B1501</f>
        <v>39478</v>
      </c>
      <c r="C1517" s="662">
        <f t="shared" si="3163"/>
        <v>0</v>
      </c>
      <c r="D1517" s="662">
        <f t="shared" si="3163"/>
        <v>0</v>
      </c>
      <c r="E1517" s="662">
        <f t="shared" si="3163"/>
        <v>0</v>
      </c>
      <c r="F1517" s="662">
        <f t="shared" si="3163"/>
        <v>0</v>
      </c>
      <c r="G1517" s="662">
        <f t="shared" si="3163"/>
        <v>0</v>
      </c>
      <c r="H1517" s="662">
        <f t="shared" si="3163"/>
        <v>0</v>
      </c>
      <c r="I1517" s="662">
        <f t="shared" si="3163"/>
        <v>0</v>
      </c>
      <c r="J1517" s="662">
        <f t="shared" si="3163"/>
        <v>0</v>
      </c>
      <c r="K1517" s="662">
        <f t="shared" si="3163"/>
        <v>0</v>
      </c>
      <c r="L1517" s="662">
        <f t="shared" si="3163"/>
        <v>0</v>
      </c>
      <c r="U1517" s="663"/>
      <c r="Z1517" s="663"/>
      <c r="AA1517" s="663"/>
      <c r="AB1517" s="663"/>
      <c r="AC1517" s="663"/>
      <c r="AD1517" s="663"/>
      <c r="AE1517" s="663"/>
      <c r="AF1517" s="663"/>
      <c r="AG1517" s="663"/>
      <c r="AH1517" s="663"/>
      <c r="AI1517" s="663"/>
      <c r="AJ1517" s="663"/>
      <c r="AK1517" s="663"/>
      <c r="AL1517" s="663"/>
      <c r="AM1517" s="663"/>
      <c r="AN1517" s="663"/>
    </row>
    <row r="1518" spans="2:40" ht="14.45" hidden="1" customHeight="1" x14ac:dyDescent="0.25">
      <c r="B1518" s="936">
        <f t="shared" ref="B1518:L1518" si="3164">B1502</f>
        <v>39843</v>
      </c>
      <c r="C1518" s="662">
        <f t="shared" si="3164"/>
        <v>0</v>
      </c>
      <c r="D1518" s="662">
        <f t="shared" si="3164"/>
        <v>0</v>
      </c>
      <c r="E1518" s="662">
        <f t="shared" si="3164"/>
        <v>0</v>
      </c>
      <c r="F1518" s="662">
        <f t="shared" si="3164"/>
        <v>0</v>
      </c>
      <c r="G1518" s="662">
        <f t="shared" si="3164"/>
        <v>0</v>
      </c>
      <c r="H1518" s="662">
        <f t="shared" si="3164"/>
        <v>0</v>
      </c>
      <c r="I1518" s="662">
        <f t="shared" si="3164"/>
        <v>0</v>
      </c>
      <c r="J1518" s="662">
        <f t="shared" si="3164"/>
        <v>0</v>
      </c>
      <c r="K1518" s="662">
        <f t="shared" si="3164"/>
        <v>0</v>
      </c>
      <c r="L1518" s="662">
        <f t="shared" si="3164"/>
        <v>0</v>
      </c>
      <c r="U1518" s="663"/>
      <c r="Z1518" s="663"/>
      <c r="AA1518" s="663"/>
      <c r="AB1518" s="663"/>
      <c r="AC1518" s="663"/>
      <c r="AD1518" s="663"/>
      <c r="AE1518" s="663"/>
      <c r="AF1518" s="663"/>
      <c r="AG1518" s="663"/>
      <c r="AH1518" s="663"/>
      <c r="AI1518" s="663"/>
      <c r="AJ1518" s="663"/>
      <c r="AK1518" s="663"/>
      <c r="AL1518" s="663"/>
      <c r="AM1518" s="663"/>
      <c r="AN1518" s="663"/>
    </row>
    <row r="1519" spans="2:40" ht="14.45" hidden="1" customHeight="1" x14ac:dyDescent="0.25">
      <c r="B1519" s="936">
        <f t="shared" ref="B1519:L1519" si="3165">B1503</f>
        <v>39843</v>
      </c>
      <c r="C1519" s="662">
        <f t="shared" si="3165"/>
        <v>0</v>
      </c>
      <c r="D1519" s="662">
        <f t="shared" si="3165"/>
        <v>0</v>
      </c>
      <c r="E1519" s="662">
        <f t="shared" si="3165"/>
        <v>0</v>
      </c>
      <c r="F1519" s="662">
        <f t="shared" si="3165"/>
        <v>0</v>
      </c>
      <c r="G1519" s="662">
        <f t="shared" si="3165"/>
        <v>0</v>
      </c>
      <c r="H1519" s="662">
        <f t="shared" si="3165"/>
        <v>0</v>
      </c>
      <c r="I1519" s="662">
        <f t="shared" si="3165"/>
        <v>0</v>
      </c>
      <c r="J1519" s="662">
        <f t="shared" si="3165"/>
        <v>0</v>
      </c>
      <c r="K1519" s="662">
        <f t="shared" si="3165"/>
        <v>0</v>
      </c>
      <c r="L1519" s="662">
        <f t="shared" si="3165"/>
        <v>0</v>
      </c>
      <c r="U1519" s="663"/>
      <c r="Z1519" s="663"/>
      <c r="AA1519" s="663"/>
      <c r="AB1519" s="663"/>
      <c r="AC1519" s="663"/>
      <c r="AD1519" s="663"/>
      <c r="AE1519" s="663"/>
      <c r="AF1519" s="663"/>
      <c r="AG1519" s="663"/>
      <c r="AH1519" s="663"/>
      <c r="AI1519" s="663"/>
      <c r="AJ1519" s="663"/>
      <c r="AK1519" s="663"/>
      <c r="AL1519" s="663"/>
      <c r="AM1519" s="663"/>
      <c r="AN1519" s="663"/>
    </row>
    <row r="1520" spans="2:40" ht="14.45" hidden="1" customHeight="1" x14ac:dyDescent="0.25">
      <c r="B1520" s="936">
        <f t="shared" ref="B1520:L1520" si="3166">B1504</f>
        <v>39843</v>
      </c>
      <c r="C1520" s="662">
        <f t="shared" si="3166"/>
        <v>0</v>
      </c>
      <c r="D1520" s="662">
        <f t="shared" si="3166"/>
        <v>0</v>
      </c>
      <c r="E1520" s="662">
        <f t="shared" si="3166"/>
        <v>0</v>
      </c>
      <c r="F1520" s="662">
        <f t="shared" si="3166"/>
        <v>0</v>
      </c>
      <c r="G1520" s="662">
        <f t="shared" si="3166"/>
        <v>0</v>
      </c>
      <c r="H1520" s="662">
        <f t="shared" si="3166"/>
        <v>0</v>
      </c>
      <c r="I1520" s="662">
        <f t="shared" si="3166"/>
        <v>0</v>
      </c>
      <c r="J1520" s="662">
        <f t="shared" si="3166"/>
        <v>0</v>
      </c>
      <c r="K1520" s="662">
        <f t="shared" si="3166"/>
        <v>0</v>
      </c>
      <c r="L1520" s="662">
        <f t="shared" si="3166"/>
        <v>0</v>
      </c>
      <c r="U1520" s="663"/>
      <c r="Z1520" s="663"/>
      <c r="AA1520" s="663"/>
      <c r="AB1520" s="663"/>
      <c r="AC1520" s="663"/>
      <c r="AD1520" s="663"/>
      <c r="AE1520" s="663"/>
      <c r="AF1520" s="663"/>
      <c r="AG1520" s="663"/>
      <c r="AH1520" s="663"/>
      <c r="AI1520" s="663"/>
      <c r="AJ1520" s="663"/>
      <c r="AK1520" s="663"/>
      <c r="AL1520" s="663"/>
      <c r="AM1520" s="663"/>
      <c r="AN1520" s="663"/>
    </row>
    <row r="1521" spans="2:40" ht="14.45" hidden="1" customHeight="1" x14ac:dyDescent="0.25">
      <c r="B1521" s="936">
        <f t="shared" ref="B1521:L1521" si="3167">B1505</f>
        <v>39843</v>
      </c>
      <c r="C1521" s="662">
        <f t="shared" si="3167"/>
        <v>0</v>
      </c>
      <c r="D1521" s="662">
        <f t="shared" si="3167"/>
        <v>0</v>
      </c>
      <c r="E1521" s="662">
        <f t="shared" si="3167"/>
        <v>0</v>
      </c>
      <c r="F1521" s="662">
        <f t="shared" si="3167"/>
        <v>0</v>
      </c>
      <c r="G1521" s="662">
        <f t="shared" si="3167"/>
        <v>0</v>
      </c>
      <c r="H1521" s="662">
        <f t="shared" si="3167"/>
        <v>0</v>
      </c>
      <c r="I1521" s="662">
        <f t="shared" si="3167"/>
        <v>0</v>
      </c>
      <c r="J1521" s="662">
        <f t="shared" si="3167"/>
        <v>0</v>
      </c>
      <c r="K1521" s="662">
        <f t="shared" si="3167"/>
        <v>0</v>
      </c>
      <c r="L1521" s="662">
        <f t="shared" si="3167"/>
        <v>0</v>
      </c>
      <c r="U1521" s="663"/>
      <c r="Z1521" s="663"/>
      <c r="AA1521" s="663"/>
      <c r="AB1521" s="663"/>
      <c r="AC1521" s="663"/>
      <c r="AD1521" s="663"/>
      <c r="AE1521" s="663"/>
      <c r="AF1521" s="663"/>
      <c r="AG1521" s="663"/>
      <c r="AH1521" s="663"/>
      <c r="AI1521" s="663"/>
      <c r="AJ1521" s="663"/>
      <c r="AK1521" s="663"/>
      <c r="AL1521" s="663"/>
      <c r="AM1521" s="663"/>
      <c r="AN1521" s="663"/>
    </row>
    <row r="1522" spans="2:40" ht="14.45" hidden="1" customHeight="1" x14ac:dyDescent="0.25">
      <c r="B1522" s="936">
        <f t="shared" ref="B1522:L1522" si="3168">B1506</f>
        <v>39843</v>
      </c>
      <c r="C1522" s="662">
        <f t="shared" si="3168"/>
        <v>0</v>
      </c>
      <c r="D1522" s="662">
        <f t="shared" si="3168"/>
        <v>0</v>
      </c>
      <c r="E1522" s="662">
        <f t="shared" si="3168"/>
        <v>0</v>
      </c>
      <c r="F1522" s="662">
        <f t="shared" si="3168"/>
        <v>0</v>
      </c>
      <c r="G1522" s="662">
        <f t="shared" si="3168"/>
        <v>0</v>
      </c>
      <c r="H1522" s="662">
        <f t="shared" si="3168"/>
        <v>0</v>
      </c>
      <c r="I1522" s="662">
        <f t="shared" si="3168"/>
        <v>0</v>
      </c>
      <c r="J1522" s="662">
        <f t="shared" si="3168"/>
        <v>0</v>
      </c>
      <c r="K1522" s="662">
        <f t="shared" si="3168"/>
        <v>0</v>
      </c>
      <c r="L1522" s="662">
        <f t="shared" si="3168"/>
        <v>0</v>
      </c>
      <c r="U1522" s="663"/>
      <c r="Z1522" s="663"/>
      <c r="AA1522" s="663"/>
      <c r="AB1522" s="663"/>
      <c r="AC1522" s="663"/>
      <c r="AD1522" s="663"/>
      <c r="AE1522" s="663"/>
      <c r="AF1522" s="663"/>
      <c r="AG1522" s="663"/>
      <c r="AH1522" s="663"/>
      <c r="AI1522" s="663"/>
      <c r="AJ1522" s="663"/>
      <c r="AK1522" s="663"/>
      <c r="AL1522" s="663"/>
      <c r="AM1522" s="663"/>
      <c r="AN1522" s="663"/>
    </row>
    <row r="1523" spans="2:40" ht="14.45" hidden="1" customHeight="1" x14ac:dyDescent="0.25">
      <c r="B1523" s="936">
        <f t="shared" ref="B1523:L1523" si="3169">B1507</f>
        <v>39843</v>
      </c>
      <c r="C1523" s="662">
        <f t="shared" si="3169"/>
        <v>0</v>
      </c>
      <c r="D1523" s="662">
        <f t="shared" si="3169"/>
        <v>0</v>
      </c>
      <c r="E1523" s="662">
        <f t="shared" si="3169"/>
        <v>0</v>
      </c>
      <c r="F1523" s="662">
        <f t="shared" si="3169"/>
        <v>0</v>
      </c>
      <c r="G1523" s="662">
        <f t="shared" si="3169"/>
        <v>0</v>
      </c>
      <c r="H1523" s="662">
        <f t="shared" si="3169"/>
        <v>0</v>
      </c>
      <c r="I1523" s="662">
        <f t="shared" si="3169"/>
        <v>0</v>
      </c>
      <c r="J1523" s="662">
        <f t="shared" si="3169"/>
        <v>0</v>
      </c>
      <c r="K1523" s="662">
        <f t="shared" si="3169"/>
        <v>0</v>
      </c>
      <c r="L1523" s="662">
        <f t="shared" si="3169"/>
        <v>0</v>
      </c>
      <c r="U1523" s="663"/>
      <c r="Z1523" s="663"/>
      <c r="AA1523" s="663"/>
      <c r="AB1523" s="663"/>
      <c r="AC1523" s="663"/>
      <c r="AD1523" s="663"/>
      <c r="AE1523" s="663"/>
      <c r="AF1523" s="663"/>
      <c r="AG1523" s="663"/>
      <c r="AH1523" s="663"/>
      <c r="AI1523" s="663"/>
      <c r="AJ1523" s="663"/>
      <c r="AK1523" s="663"/>
      <c r="AL1523" s="663"/>
      <c r="AM1523" s="663"/>
      <c r="AN1523" s="663"/>
    </row>
    <row r="1524" spans="2:40" ht="14.45" hidden="1" customHeight="1" x14ac:dyDescent="0.25">
      <c r="B1524" s="936">
        <f t="shared" ref="B1524:L1524" si="3170">B1508</f>
        <v>39843</v>
      </c>
      <c r="C1524" s="662">
        <f t="shared" si="3170"/>
        <v>0</v>
      </c>
      <c r="D1524" s="662">
        <f t="shared" si="3170"/>
        <v>0</v>
      </c>
      <c r="E1524" s="662">
        <f t="shared" si="3170"/>
        <v>0</v>
      </c>
      <c r="F1524" s="662">
        <f t="shared" si="3170"/>
        <v>0</v>
      </c>
      <c r="G1524" s="662">
        <f t="shared" si="3170"/>
        <v>0</v>
      </c>
      <c r="H1524" s="662">
        <f t="shared" si="3170"/>
        <v>0</v>
      </c>
      <c r="I1524" s="662">
        <f t="shared" si="3170"/>
        <v>0</v>
      </c>
      <c r="J1524" s="662">
        <f t="shared" si="3170"/>
        <v>0</v>
      </c>
      <c r="K1524" s="662">
        <f t="shared" si="3170"/>
        <v>0</v>
      </c>
      <c r="L1524" s="662">
        <f t="shared" si="3170"/>
        <v>0</v>
      </c>
      <c r="U1524" s="663"/>
      <c r="Z1524" s="663"/>
      <c r="AA1524" s="663"/>
      <c r="AB1524" s="663"/>
      <c r="AC1524" s="663"/>
      <c r="AD1524" s="663"/>
      <c r="AE1524" s="663"/>
      <c r="AF1524" s="663"/>
      <c r="AG1524" s="663"/>
      <c r="AH1524" s="663"/>
      <c r="AI1524" s="663"/>
      <c r="AJ1524" s="663"/>
      <c r="AK1524" s="663"/>
      <c r="AL1524" s="663"/>
      <c r="AM1524" s="663"/>
      <c r="AN1524" s="663"/>
    </row>
    <row r="1525" spans="2:40" ht="14.45" hidden="1" customHeight="1" x14ac:dyDescent="0.25">
      <c r="B1525" s="936">
        <f t="shared" ref="B1525:L1525" si="3171">B1509</f>
        <v>39843</v>
      </c>
      <c r="C1525" s="662">
        <f t="shared" si="3171"/>
        <v>0</v>
      </c>
      <c r="D1525" s="662">
        <f t="shared" si="3171"/>
        <v>0</v>
      </c>
      <c r="E1525" s="662">
        <f t="shared" si="3171"/>
        <v>0</v>
      </c>
      <c r="F1525" s="662">
        <f t="shared" si="3171"/>
        <v>0</v>
      </c>
      <c r="G1525" s="662">
        <f t="shared" si="3171"/>
        <v>0</v>
      </c>
      <c r="H1525" s="662">
        <f t="shared" si="3171"/>
        <v>0</v>
      </c>
      <c r="I1525" s="662">
        <f t="shared" si="3171"/>
        <v>0</v>
      </c>
      <c r="J1525" s="662">
        <f t="shared" si="3171"/>
        <v>0</v>
      </c>
      <c r="K1525" s="662">
        <f t="shared" si="3171"/>
        <v>0</v>
      </c>
      <c r="L1525" s="662">
        <f t="shared" si="3171"/>
        <v>0</v>
      </c>
      <c r="U1525" s="663"/>
      <c r="Z1525" s="663"/>
      <c r="AA1525" s="663"/>
      <c r="AB1525" s="663"/>
      <c r="AC1525" s="663"/>
      <c r="AD1525" s="663"/>
      <c r="AE1525" s="663"/>
      <c r="AF1525" s="663"/>
      <c r="AG1525" s="663"/>
      <c r="AH1525" s="663"/>
      <c r="AI1525" s="663"/>
      <c r="AJ1525" s="663"/>
      <c r="AK1525" s="663"/>
      <c r="AL1525" s="663"/>
      <c r="AM1525" s="663"/>
      <c r="AN1525" s="663"/>
    </row>
    <row r="1526" spans="2:40" ht="14.45" hidden="1" customHeight="1" x14ac:dyDescent="0.25">
      <c r="B1526" s="936">
        <f>B1460</f>
        <v>41539</v>
      </c>
      <c r="C1526" s="662">
        <f t="shared" ref="C1526:L1526" si="3172">C1510</f>
        <v>0</v>
      </c>
      <c r="D1526" s="662">
        <f t="shared" si="3172"/>
        <v>0</v>
      </c>
      <c r="E1526" s="662">
        <f t="shared" si="3172"/>
        <v>0</v>
      </c>
      <c r="F1526" s="662">
        <f t="shared" si="3172"/>
        <v>0</v>
      </c>
      <c r="G1526" s="662">
        <f t="shared" si="3172"/>
        <v>0</v>
      </c>
      <c r="H1526" s="662">
        <f t="shared" si="3172"/>
        <v>0</v>
      </c>
      <c r="I1526" s="662">
        <f t="shared" si="3172"/>
        <v>0</v>
      </c>
      <c r="J1526" s="662">
        <f t="shared" si="3172"/>
        <v>0</v>
      </c>
      <c r="K1526" s="662">
        <f t="shared" si="3172"/>
        <v>0</v>
      </c>
      <c r="L1526" s="662">
        <f t="shared" si="3172"/>
        <v>0</v>
      </c>
      <c r="U1526" s="663"/>
      <c r="Z1526" s="663"/>
      <c r="AA1526" s="663"/>
      <c r="AB1526" s="663"/>
      <c r="AC1526" s="663"/>
      <c r="AD1526" s="663"/>
      <c r="AE1526" s="663"/>
      <c r="AF1526" s="663"/>
      <c r="AG1526" s="663"/>
      <c r="AH1526" s="663"/>
      <c r="AI1526" s="663"/>
      <c r="AJ1526" s="663"/>
      <c r="AK1526" s="663"/>
      <c r="AL1526" s="663"/>
      <c r="AM1526" s="663"/>
      <c r="AN1526" s="663"/>
    </row>
    <row r="1527" spans="2:40" ht="14.45" hidden="1" customHeight="1" x14ac:dyDescent="0.25">
      <c r="C1527" s="882" t="e">
        <f ca="1">IF(ISERROR(XIRR(INDIRECT(C1529):C1526,INDIRECT($B1529):$B1526,-20%)),XIRR(INDIRECT(C1529):C1526,INDIRECT($B1529):$B1526,20%),"N/A")</f>
        <v>#REF!</v>
      </c>
      <c r="D1527" s="882" t="e">
        <f ca="1">IF(ISERROR(XIRR(INDIRECT(D1529):D1526,INDIRECT($B1529):$B1526,-20%)),XIRR(INDIRECT(D1529):D1526,INDIRECT($B1529):$B1526,20%),"N/A")</f>
        <v>#REF!</v>
      </c>
      <c r="E1527" s="882" t="e">
        <f ca="1">IF(ISERROR(XIRR(INDIRECT(E1529):E1526,INDIRECT($B1529):$B1526,-20%)),XIRR(INDIRECT(E1529):E1526,INDIRECT($B1529):$B1526,20%),"N/A")</f>
        <v>#REF!</v>
      </c>
      <c r="F1527" s="882" t="e">
        <f ca="1">IF(ISERROR(XIRR(INDIRECT(F1529):F1526,INDIRECT($B1529):$B1526,-20%)),XIRR(INDIRECT(F1529):F1526,INDIRECT($B1529):$B1526,20%),"N/A")</f>
        <v>#REF!</v>
      </c>
      <c r="G1527" s="882" t="e">
        <f ca="1">IF(ISERROR(XIRR(INDIRECT(G1529):G1526,INDIRECT($B1529):$B1526,-20%)),XIRR(INDIRECT(G1529):G1526,INDIRECT($B1529):$B1526,20%),"N/A")</f>
        <v>#REF!</v>
      </c>
      <c r="H1527" s="882" t="e">
        <f ca="1">IF(ISERROR(XIRR(INDIRECT(H1529):H1526,INDIRECT($B1529):$B1526,-20%)),XIRR(INDIRECT(H1529):H1526,INDIRECT($B1529):$B1526,20%),"N/A")</f>
        <v>#REF!</v>
      </c>
      <c r="I1527" s="882" t="e">
        <f ca="1">IF(ISERROR(XIRR(INDIRECT(I1529):I1526,INDIRECT($B1529):$B1526,-20%)),XIRR(INDIRECT(I1529):I1526,INDIRECT($B1529):$B1526,20%),"N/A")</f>
        <v>#REF!</v>
      </c>
      <c r="J1527" s="882" t="e">
        <f ca="1">IF(ISERROR(XIRR(INDIRECT(J1529):J1526,INDIRECT($B1529):$B1526,-20%)),XIRR(INDIRECT(J1529):J1526,INDIRECT($B1529):$B1526,20%),"N/A")</f>
        <v>#REF!</v>
      </c>
      <c r="K1527" s="882" t="e">
        <f ca="1">IF(ISERROR(XIRR(INDIRECT(K1529):K1526,INDIRECT($B1529):$B1526,-20%)),XIRR(INDIRECT(K1529):K1526,INDIRECT($B1529):$B1526,20%),"N/A")</f>
        <v>#REF!</v>
      </c>
      <c r="L1527" s="882" t="e">
        <f ca="1">IF(ISERROR(XIRR(INDIRECT(L1529):L1526,INDIRECT($B1529):$B1526,-20%)),XIRR(INDIRECT(L1529):L1526,INDIRECT($B1529):$B1526,20%),"N/A")</f>
        <v>#REF!</v>
      </c>
      <c r="U1527" s="663"/>
      <c r="Z1527" s="663"/>
      <c r="AA1527" s="663"/>
      <c r="AB1527" s="663"/>
      <c r="AC1527" s="663"/>
      <c r="AD1527" s="663"/>
      <c r="AE1527" s="663"/>
      <c r="AF1527" s="663"/>
      <c r="AG1527" s="663"/>
      <c r="AH1527" s="663"/>
      <c r="AI1527" s="663"/>
      <c r="AJ1527" s="663"/>
      <c r="AK1527" s="663"/>
      <c r="AL1527" s="663"/>
      <c r="AM1527" s="663"/>
      <c r="AN1527" s="663"/>
    </row>
    <row r="1528" spans="2:40" ht="14.45" hidden="1" customHeight="1" x14ac:dyDescent="0.25">
      <c r="B1528" s="898" t="b">
        <f>IF(C1516&lt;&gt;0,ROW(C1516),IF(C1517&lt;&gt;0,ROW(C1517),IF(C1518&lt;&gt;0,ROW(C1518),IF(C1519&lt;&gt;0,ROW(C1519),IF(C1520&lt;&gt;0,ROW(C1520),IF(C1521&lt;&gt;0,ROW(C1521),IF(C1522&lt;&gt;0,ROW(C1522),IF(C1523&lt;&gt;0,ROW(C1523),IF(C1524&lt;&gt;0,ROW(C1524),IF(C1525&lt;&gt;0,ROW(C1525)))))))))))</f>
        <v>0</v>
      </c>
      <c r="C1528" s="882"/>
      <c r="U1528" s="663"/>
      <c r="Z1528" s="663"/>
      <c r="AA1528" s="663"/>
      <c r="AB1528" s="663"/>
      <c r="AC1528" s="663"/>
      <c r="AD1528" s="663"/>
      <c r="AE1528" s="663"/>
      <c r="AF1528" s="663"/>
      <c r="AG1528" s="663"/>
      <c r="AH1528" s="663"/>
      <c r="AI1528" s="663"/>
      <c r="AJ1528" s="663"/>
      <c r="AK1528" s="663"/>
      <c r="AL1528" s="663"/>
      <c r="AM1528" s="663"/>
      <c r="AN1528" s="663"/>
    </row>
    <row r="1529" spans="2:40" ht="14.45" hidden="1" customHeight="1" x14ac:dyDescent="0.25">
      <c r="B1529" s="899" t="str">
        <f>CONCATENATE(IF(COLUMN(B1528)&lt;=26,CHAR(96+COLUMN(B1528)),(CHAR(96+(ROUNDDOWN((COLUMN(B1528)-1)/26,0)))&amp;CHAR(96+IF(MOD(COLUMN(B1528),26)=0,26,MOD(COLUMN(B1528),26))))),B1528)</f>
        <v>bFALSE</v>
      </c>
      <c r="C1529" s="899" t="str">
        <f>CONCATENATE(IF(COLUMN(C1527)&lt;=26,CHAR(96+COLUMN(C1527)),(CHAR(96+(ROUNDDOWN((COLUMN(C1527)-1)/26,0)))&amp;CHAR(96+IF(MOD(COLUMN(C1527),26)=0,26,MOD(COLUMN(C1527),26))))),$B1528)</f>
        <v>cFALSE</v>
      </c>
      <c r="D1529" s="899" t="str">
        <f t="shared" ref="D1529" si="3173">CONCATENATE(IF(COLUMN(D1527)&lt;=26,CHAR(96+COLUMN(D1527)),(CHAR(96+(ROUNDDOWN((COLUMN(D1527)-1)/26,0)))&amp;CHAR(96+IF(MOD(COLUMN(D1527),26)=0,26,MOD(COLUMN(D1527),26))))),$B1528)</f>
        <v>dFALSE</v>
      </c>
      <c r="E1529" s="899" t="str">
        <f t="shared" ref="E1529" si="3174">CONCATENATE(IF(COLUMN(E1527)&lt;=26,CHAR(96+COLUMN(E1527)),(CHAR(96+(ROUNDDOWN((COLUMN(E1527)-1)/26,0)))&amp;CHAR(96+IF(MOD(COLUMN(E1527),26)=0,26,MOD(COLUMN(E1527),26))))),$B1528)</f>
        <v>eFALSE</v>
      </c>
      <c r="F1529" s="899" t="str">
        <f t="shared" ref="F1529" si="3175">CONCATENATE(IF(COLUMN(F1527)&lt;=26,CHAR(96+COLUMN(F1527)),(CHAR(96+(ROUNDDOWN((COLUMN(F1527)-1)/26,0)))&amp;CHAR(96+IF(MOD(COLUMN(F1527),26)=0,26,MOD(COLUMN(F1527),26))))),$B1528)</f>
        <v>fFALSE</v>
      </c>
      <c r="G1529" s="899" t="str">
        <f t="shared" ref="G1529" si="3176">CONCATENATE(IF(COLUMN(G1527)&lt;=26,CHAR(96+COLUMN(G1527)),(CHAR(96+(ROUNDDOWN((COLUMN(G1527)-1)/26,0)))&amp;CHAR(96+IF(MOD(COLUMN(G1527),26)=0,26,MOD(COLUMN(G1527),26))))),$B1528)</f>
        <v>gFALSE</v>
      </c>
      <c r="H1529" s="899" t="str">
        <f t="shared" ref="H1529" si="3177">CONCATENATE(IF(COLUMN(H1527)&lt;=26,CHAR(96+COLUMN(H1527)),(CHAR(96+(ROUNDDOWN((COLUMN(H1527)-1)/26,0)))&amp;CHAR(96+IF(MOD(COLUMN(H1527),26)=0,26,MOD(COLUMN(H1527),26))))),$B1528)</f>
        <v>hFALSE</v>
      </c>
      <c r="I1529" s="899" t="str">
        <f t="shared" ref="I1529" si="3178">CONCATENATE(IF(COLUMN(I1527)&lt;=26,CHAR(96+COLUMN(I1527)),(CHAR(96+(ROUNDDOWN((COLUMN(I1527)-1)/26,0)))&amp;CHAR(96+IF(MOD(COLUMN(I1527),26)=0,26,MOD(COLUMN(I1527),26))))),$B1528)</f>
        <v>iFALSE</v>
      </c>
      <c r="J1529" s="899" t="str">
        <f t="shared" ref="J1529" si="3179">CONCATENATE(IF(COLUMN(J1527)&lt;=26,CHAR(96+COLUMN(J1527)),(CHAR(96+(ROUNDDOWN((COLUMN(J1527)-1)/26,0)))&amp;CHAR(96+IF(MOD(COLUMN(J1527),26)=0,26,MOD(COLUMN(J1527),26))))),$B1528)</f>
        <v>jFALSE</v>
      </c>
      <c r="K1529" s="899" t="str">
        <f t="shared" ref="K1529" si="3180">CONCATENATE(IF(COLUMN(K1527)&lt;=26,CHAR(96+COLUMN(K1527)),(CHAR(96+(ROUNDDOWN((COLUMN(K1527)-1)/26,0)))&amp;CHAR(96+IF(MOD(COLUMN(K1527),26)=0,26,MOD(COLUMN(K1527),26))))),$B1528)</f>
        <v>kFALSE</v>
      </c>
      <c r="L1529" s="899" t="str">
        <f t="shared" ref="L1529" si="3181">CONCATENATE(IF(COLUMN(L1527)&lt;=26,CHAR(96+COLUMN(L1527)),(CHAR(96+(ROUNDDOWN((COLUMN(L1527)-1)/26,0)))&amp;CHAR(96+IF(MOD(COLUMN(L1527),26)=0,26,MOD(COLUMN(L1527),26))))),$B1528)</f>
        <v>lFALSE</v>
      </c>
      <c r="U1529" s="663"/>
      <c r="Z1529" s="663"/>
      <c r="AA1529" s="663"/>
      <c r="AB1529" s="663"/>
      <c r="AC1529" s="663"/>
      <c r="AD1529" s="663"/>
      <c r="AE1529" s="663"/>
      <c r="AF1529" s="663"/>
      <c r="AG1529" s="663"/>
      <c r="AH1529" s="663"/>
      <c r="AI1529" s="663"/>
      <c r="AJ1529" s="663"/>
      <c r="AK1529" s="663"/>
      <c r="AL1529" s="663"/>
      <c r="AM1529" s="663"/>
      <c r="AN1529" s="663"/>
    </row>
    <row r="1530" spans="2:40" ht="14.45" hidden="1" customHeight="1" x14ac:dyDescent="0.25">
      <c r="C1530" s="662"/>
      <c r="U1530" s="663"/>
      <c r="Z1530" s="663"/>
      <c r="AA1530" s="663"/>
      <c r="AB1530" s="663"/>
      <c r="AC1530" s="663"/>
      <c r="AD1530" s="663"/>
      <c r="AE1530" s="663"/>
      <c r="AF1530" s="663"/>
      <c r="AG1530" s="663"/>
      <c r="AH1530" s="663"/>
      <c r="AI1530" s="663"/>
      <c r="AJ1530" s="663"/>
      <c r="AK1530" s="663"/>
      <c r="AL1530" s="663"/>
      <c r="AM1530" s="663"/>
      <c r="AN1530" s="663"/>
    </row>
    <row r="1531" spans="2:40" ht="14.45" hidden="1" customHeight="1" x14ac:dyDescent="0.25">
      <c r="C1531" s="662"/>
      <c r="U1531" s="663"/>
      <c r="Z1531" s="663"/>
      <c r="AA1531" s="663"/>
      <c r="AB1531" s="663"/>
      <c r="AC1531" s="663"/>
      <c r="AD1531" s="663"/>
      <c r="AE1531" s="663"/>
      <c r="AF1531" s="663"/>
      <c r="AG1531" s="663"/>
      <c r="AH1531" s="663"/>
      <c r="AI1531" s="663"/>
      <c r="AJ1531" s="663"/>
      <c r="AK1531" s="663"/>
      <c r="AL1531" s="663"/>
      <c r="AM1531" s="663"/>
      <c r="AN1531" s="663"/>
    </row>
    <row r="1532" spans="2:40" ht="14.45" hidden="1" customHeight="1" x14ac:dyDescent="0.25">
      <c r="B1532" s="936">
        <f>B1516</f>
        <v>39113</v>
      </c>
      <c r="C1532" s="662">
        <f>C1516</f>
        <v>0</v>
      </c>
      <c r="D1532" s="662">
        <f t="shared" ref="D1532:L1532" si="3182">D1516</f>
        <v>0</v>
      </c>
      <c r="E1532" s="662">
        <f t="shared" si="3182"/>
        <v>0</v>
      </c>
      <c r="F1532" s="662">
        <f t="shared" si="3182"/>
        <v>0</v>
      </c>
      <c r="G1532" s="662">
        <f t="shared" si="3182"/>
        <v>0</v>
      </c>
      <c r="H1532" s="662">
        <f t="shared" si="3182"/>
        <v>0</v>
      </c>
      <c r="I1532" s="662">
        <f t="shared" si="3182"/>
        <v>0</v>
      </c>
      <c r="J1532" s="662">
        <f t="shared" si="3182"/>
        <v>0</v>
      </c>
      <c r="K1532" s="662">
        <f t="shared" si="3182"/>
        <v>0</v>
      </c>
      <c r="L1532" s="662">
        <f t="shared" si="3182"/>
        <v>0</v>
      </c>
      <c r="U1532" s="663"/>
      <c r="Z1532" s="663"/>
      <c r="AA1532" s="663"/>
      <c r="AB1532" s="663"/>
      <c r="AC1532" s="663"/>
      <c r="AD1532" s="663"/>
      <c r="AE1532" s="663"/>
      <c r="AF1532" s="663"/>
      <c r="AG1532" s="663"/>
      <c r="AH1532" s="663"/>
      <c r="AI1532" s="663"/>
      <c r="AJ1532" s="663"/>
      <c r="AK1532" s="663"/>
      <c r="AL1532" s="663"/>
      <c r="AM1532" s="663"/>
      <c r="AN1532" s="663"/>
    </row>
    <row r="1533" spans="2:40" ht="14.45" hidden="1" customHeight="1" x14ac:dyDescent="0.25">
      <c r="B1533" s="936">
        <f t="shared" ref="B1533:L1533" si="3183">B1517</f>
        <v>39478</v>
      </c>
      <c r="C1533" s="662">
        <f t="shared" si="3183"/>
        <v>0</v>
      </c>
      <c r="D1533" s="662">
        <f t="shared" si="3183"/>
        <v>0</v>
      </c>
      <c r="E1533" s="662">
        <f t="shared" si="3183"/>
        <v>0</v>
      </c>
      <c r="F1533" s="662">
        <f t="shared" si="3183"/>
        <v>0</v>
      </c>
      <c r="G1533" s="662">
        <f t="shared" si="3183"/>
        <v>0</v>
      </c>
      <c r="H1533" s="662">
        <f t="shared" si="3183"/>
        <v>0</v>
      </c>
      <c r="I1533" s="662">
        <f t="shared" si="3183"/>
        <v>0</v>
      </c>
      <c r="J1533" s="662">
        <f t="shared" si="3183"/>
        <v>0</v>
      </c>
      <c r="K1533" s="662">
        <f t="shared" si="3183"/>
        <v>0</v>
      </c>
      <c r="L1533" s="662">
        <f t="shared" si="3183"/>
        <v>0</v>
      </c>
      <c r="U1533" s="663"/>
      <c r="Z1533" s="663"/>
      <c r="AA1533" s="663"/>
      <c r="AB1533" s="663"/>
      <c r="AC1533" s="663"/>
      <c r="AD1533" s="663"/>
      <c r="AE1533" s="663"/>
      <c r="AF1533" s="663"/>
      <c r="AG1533" s="663"/>
      <c r="AH1533" s="663"/>
      <c r="AI1533" s="663"/>
      <c r="AJ1533" s="663"/>
      <c r="AK1533" s="663"/>
      <c r="AL1533" s="663"/>
      <c r="AM1533" s="663"/>
      <c r="AN1533" s="663"/>
    </row>
    <row r="1534" spans="2:40" ht="14.45" hidden="1" customHeight="1" x14ac:dyDescent="0.25">
      <c r="B1534" s="936">
        <f t="shared" ref="B1534:L1534" si="3184">B1518</f>
        <v>39843</v>
      </c>
      <c r="C1534" s="662">
        <f t="shared" si="3184"/>
        <v>0</v>
      </c>
      <c r="D1534" s="662">
        <f t="shared" si="3184"/>
        <v>0</v>
      </c>
      <c r="E1534" s="662">
        <f t="shared" si="3184"/>
        <v>0</v>
      </c>
      <c r="F1534" s="662">
        <f t="shared" si="3184"/>
        <v>0</v>
      </c>
      <c r="G1534" s="662">
        <f t="shared" si="3184"/>
        <v>0</v>
      </c>
      <c r="H1534" s="662">
        <f t="shared" si="3184"/>
        <v>0</v>
      </c>
      <c r="I1534" s="662">
        <f t="shared" si="3184"/>
        <v>0</v>
      </c>
      <c r="J1534" s="662">
        <f t="shared" si="3184"/>
        <v>0</v>
      </c>
      <c r="K1534" s="662">
        <f t="shared" si="3184"/>
        <v>0</v>
      </c>
      <c r="L1534" s="662">
        <f t="shared" si="3184"/>
        <v>0</v>
      </c>
      <c r="U1534" s="663"/>
      <c r="Z1534" s="663"/>
      <c r="AA1534" s="663"/>
      <c r="AB1534" s="663"/>
      <c r="AC1534" s="663"/>
      <c r="AD1534" s="663"/>
      <c r="AE1534" s="663"/>
      <c r="AF1534" s="663"/>
      <c r="AG1534" s="663"/>
      <c r="AH1534" s="663"/>
      <c r="AI1534" s="663"/>
      <c r="AJ1534" s="663"/>
      <c r="AK1534" s="663"/>
      <c r="AL1534" s="663"/>
      <c r="AM1534" s="663"/>
      <c r="AN1534" s="663"/>
    </row>
    <row r="1535" spans="2:40" ht="14.45" hidden="1" customHeight="1" x14ac:dyDescent="0.25">
      <c r="B1535" s="936">
        <f t="shared" ref="B1535:L1535" si="3185">B1519</f>
        <v>39843</v>
      </c>
      <c r="C1535" s="662">
        <f t="shared" si="3185"/>
        <v>0</v>
      </c>
      <c r="D1535" s="662">
        <f t="shared" si="3185"/>
        <v>0</v>
      </c>
      <c r="E1535" s="662">
        <f t="shared" si="3185"/>
        <v>0</v>
      </c>
      <c r="F1535" s="662">
        <f t="shared" si="3185"/>
        <v>0</v>
      </c>
      <c r="G1535" s="662">
        <f t="shared" si="3185"/>
        <v>0</v>
      </c>
      <c r="H1535" s="662">
        <f t="shared" si="3185"/>
        <v>0</v>
      </c>
      <c r="I1535" s="662">
        <f t="shared" si="3185"/>
        <v>0</v>
      </c>
      <c r="J1535" s="662">
        <f t="shared" si="3185"/>
        <v>0</v>
      </c>
      <c r="K1535" s="662">
        <f t="shared" si="3185"/>
        <v>0</v>
      </c>
      <c r="L1535" s="662">
        <f t="shared" si="3185"/>
        <v>0</v>
      </c>
      <c r="U1535" s="663"/>
      <c r="Z1535" s="663"/>
      <c r="AA1535" s="663"/>
      <c r="AB1535" s="663"/>
      <c r="AC1535" s="663"/>
      <c r="AD1535" s="663"/>
      <c r="AE1535" s="663"/>
      <c r="AF1535" s="663"/>
      <c r="AG1535" s="663"/>
      <c r="AH1535" s="663"/>
      <c r="AI1535" s="663"/>
      <c r="AJ1535" s="663"/>
      <c r="AK1535" s="663"/>
      <c r="AL1535" s="663"/>
      <c r="AM1535" s="663"/>
      <c r="AN1535" s="663"/>
    </row>
    <row r="1536" spans="2:40" ht="14.45" hidden="1" customHeight="1" x14ac:dyDescent="0.25">
      <c r="B1536" s="936">
        <f t="shared" ref="B1536:L1536" si="3186">B1520</f>
        <v>39843</v>
      </c>
      <c r="C1536" s="662">
        <f t="shared" si="3186"/>
        <v>0</v>
      </c>
      <c r="D1536" s="662">
        <f t="shared" si="3186"/>
        <v>0</v>
      </c>
      <c r="E1536" s="662">
        <f t="shared" si="3186"/>
        <v>0</v>
      </c>
      <c r="F1536" s="662">
        <f t="shared" si="3186"/>
        <v>0</v>
      </c>
      <c r="G1536" s="662">
        <f t="shared" si="3186"/>
        <v>0</v>
      </c>
      <c r="H1536" s="662">
        <f t="shared" si="3186"/>
        <v>0</v>
      </c>
      <c r="I1536" s="662">
        <f t="shared" si="3186"/>
        <v>0</v>
      </c>
      <c r="J1536" s="662">
        <f t="shared" si="3186"/>
        <v>0</v>
      </c>
      <c r="K1536" s="662">
        <f t="shared" si="3186"/>
        <v>0</v>
      </c>
      <c r="L1536" s="662">
        <f t="shared" si="3186"/>
        <v>0</v>
      </c>
      <c r="U1536" s="663"/>
      <c r="Z1536" s="663"/>
      <c r="AA1536" s="663"/>
      <c r="AB1536" s="663"/>
      <c r="AC1536" s="663"/>
      <c r="AD1536" s="663"/>
      <c r="AE1536" s="663"/>
      <c r="AF1536" s="663"/>
      <c r="AG1536" s="663"/>
      <c r="AH1536" s="663"/>
      <c r="AI1536" s="663"/>
      <c r="AJ1536" s="663"/>
      <c r="AK1536" s="663"/>
      <c r="AL1536" s="663"/>
      <c r="AM1536" s="663"/>
      <c r="AN1536" s="663"/>
    </row>
    <row r="1537" spans="2:40" ht="14.45" hidden="1" customHeight="1" x14ac:dyDescent="0.25">
      <c r="B1537" s="936">
        <f t="shared" ref="B1537:L1537" si="3187">B1521</f>
        <v>39843</v>
      </c>
      <c r="C1537" s="662">
        <f t="shared" si="3187"/>
        <v>0</v>
      </c>
      <c r="D1537" s="662">
        <f t="shared" si="3187"/>
        <v>0</v>
      </c>
      <c r="E1537" s="662">
        <f t="shared" si="3187"/>
        <v>0</v>
      </c>
      <c r="F1537" s="662">
        <f t="shared" si="3187"/>
        <v>0</v>
      </c>
      <c r="G1537" s="662">
        <f t="shared" si="3187"/>
        <v>0</v>
      </c>
      <c r="H1537" s="662">
        <f t="shared" si="3187"/>
        <v>0</v>
      </c>
      <c r="I1537" s="662">
        <f t="shared" si="3187"/>
        <v>0</v>
      </c>
      <c r="J1537" s="662">
        <f t="shared" si="3187"/>
        <v>0</v>
      </c>
      <c r="K1537" s="662">
        <f t="shared" si="3187"/>
        <v>0</v>
      </c>
      <c r="L1537" s="662">
        <f t="shared" si="3187"/>
        <v>0</v>
      </c>
      <c r="U1537" s="663"/>
      <c r="Z1537" s="663"/>
      <c r="AA1537" s="663"/>
      <c r="AB1537" s="663"/>
      <c r="AC1537" s="663"/>
      <c r="AD1537" s="663"/>
      <c r="AE1537" s="663"/>
      <c r="AF1537" s="663"/>
      <c r="AG1537" s="663"/>
      <c r="AH1537" s="663"/>
      <c r="AI1537" s="663"/>
      <c r="AJ1537" s="663"/>
      <c r="AK1537" s="663"/>
      <c r="AL1537" s="663"/>
      <c r="AM1537" s="663"/>
      <c r="AN1537" s="663"/>
    </row>
    <row r="1538" spans="2:40" ht="14.45" hidden="1" customHeight="1" x14ac:dyDescent="0.25">
      <c r="B1538" s="936">
        <f t="shared" ref="B1538:L1538" si="3188">B1522</f>
        <v>39843</v>
      </c>
      <c r="C1538" s="662">
        <f t="shared" si="3188"/>
        <v>0</v>
      </c>
      <c r="D1538" s="662">
        <f t="shared" si="3188"/>
        <v>0</v>
      </c>
      <c r="E1538" s="662">
        <f t="shared" si="3188"/>
        <v>0</v>
      </c>
      <c r="F1538" s="662">
        <f t="shared" si="3188"/>
        <v>0</v>
      </c>
      <c r="G1538" s="662">
        <f t="shared" si="3188"/>
        <v>0</v>
      </c>
      <c r="H1538" s="662">
        <f t="shared" si="3188"/>
        <v>0</v>
      </c>
      <c r="I1538" s="662">
        <f t="shared" si="3188"/>
        <v>0</v>
      </c>
      <c r="J1538" s="662">
        <f t="shared" si="3188"/>
        <v>0</v>
      </c>
      <c r="K1538" s="662">
        <f t="shared" si="3188"/>
        <v>0</v>
      </c>
      <c r="L1538" s="662">
        <f t="shared" si="3188"/>
        <v>0</v>
      </c>
      <c r="U1538" s="663"/>
      <c r="Z1538" s="663"/>
      <c r="AA1538" s="663"/>
      <c r="AB1538" s="663"/>
      <c r="AC1538" s="663"/>
      <c r="AD1538" s="663"/>
      <c r="AE1538" s="663"/>
      <c r="AF1538" s="663"/>
      <c r="AG1538" s="663"/>
      <c r="AH1538" s="663"/>
      <c r="AI1538" s="663"/>
      <c r="AJ1538" s="663"/>
      <c r="AK1538" s="663"/>
      <c r="AL1538" s="663"/>
      <c r="AM1538" s="663"/>
      <c r="AN1538" s="663"/>
    </row>
    <row r="1539" spans="2:40" ht="14.45" hidden="1" customHeight="1" x14ac:dyDescent="0.25">
      <c r="B1539" s="936">
        <f t="shared" ref="B1539:L1539" si="3189">B1523</f>
        <v>39843</v>
      </c>
      <c r="C1539" s="662">
        <f t="shared" si="3189"/>
        <v>0</v>
      </c>
      <c r="D1539" s="662">
        <f t="shared" si="3189"/>
        <v>0</v>
      </c>
      <c r="E1539" s="662">
        <f t="shared" si="3189"/>
        <v>0</v>
      </c>
      <c r="F1539" s="662">
        <f t="shared" si="3189"/>
        <v>0</v>
      </c>
      <c r="G1539" s="662">
        <f t="shared" si="3189"/>
        <v>0</v>
      </c>
      <c r="H1539" s="662">
        <f t="shared" si="3189"/>
        <v>0</v>
      </c>
      <c r="I1539" s="662">
        <f t="shared" si="3189"/>
        <v>0</v>
      </c>
      <c r="J1539" s="662">
        <f t="shared" si="3189"/>
        <v>0</v>
      </c>
      <c r="K1539" s="662">
        <f t="shared" si="3189"/>
        <v>0</v>
      </c>
      <c r="L1539" s="662">
        <f t="shared" si="3189"/>
        <v>0</v>
      </c>
      <c r="U1539" s="663"/>
      <c r="Z1539" s="663"/>
      <c r="AA1539" s="663"/>
      <c r="AB1539" s="663"/>
      <c r="AC1539" s="663"/>
      <c r="AD1539" s="663"/>
      <c r="AE1539" s="663"/>
      <c r="AF1539" s="663"/>
      <c r="AG1539" s="663"/>
      <c r="AH1539" s="663"/>
      <c r="AI1539" s="663"/>
      <c r="AJ1539" s="663"/>
      <c r="AK1539" s="663"/>
      <c r="AL1539" s="663"/>
      <c r="AM1539" s="663"/>
      <c r="AN1539" s="663"/>
    </row>
    <row r="1540" spans="2:40" ht="14.45" hidden="1" customHeight="1" x14ac:dyDescent="0.25">
      <c r="B1540" s="936">
        <f t="shared" ref="B1540:L1540" si="3190">B1524</f>
        <v>39843</v>
      </c>
      <c r="C1540" s="662">
        <f t="shared" si="3190"/>
        <v>0</v>
      </c>
      <c r="D1540" s="662">
        <f t="shared" si="3190"/>
        <v>0</v>
      </c>
      <c r="E1540" s="662">
        <f t="shared" si="3190"/>
        <v>0</v>
      </c>
      <c r="F1540" s="662">
        <f t="shared" si="3190"/>
        <v>0</v>
      </c>
      <c r="G1540" s="662">
        <f t="shared" si="3190"/>
        <v>0</v>
      </c>
      <c r="H1540" s="662">
        <f t="shared" si="3190"/>
        <v>0</v>
      </c>
      <c r="I1540" s="662">
        <f t="shared" si="3190"/>
        <v>0</v>
      </c>
      <c r="J1540" s="662">
        <f t="shared" si="3190"/>
        <v>0</v>
      </c>
      <c r="K1540" s="662">
        <f t="shared" si="3190"/>
        <v>0</v>
      </c>
      <c r="L1540" s="662">
        <f t="shared" si="3190"/>
        <v>0</v>
      </c>
      <c r="U1540" s="663"/>
      <c r="Z1540" s="663"/>
      <c r="AA1540" s="663"/>
      <c r="AB1540" s="663"/>
      <c r="AC1540" s="663"/>
      <c r="AD1540" s="663"/>
      <c r="AE1540" s="663"/>
      <c r="AF1540" s="663"/>
      <c r="AG1540" s="663"/>
      <c r="AH1540" s="663"/>
      <c r="AI1540" s="663"/>
      <c r="AJ1540" s="663"/>
      <c r="AK1540" s="663"/>
      <c r="AL1540" s="663"/>
      <c r="AM1540" s="663"/>
      <c r="AN1540" s="663"/>
    </row>
    <row r="1541" spans="2:40" ht="14.45" hidden="1" customHeight="1" x14ac:dyDescent="0.25">
      <c r="B1541" s="936">
        <f t="shared" ref="B1541:L1541" si="3191">B1525</f>
        <v>39843</v>
      </c>
      <c r="C1541" s="662">
        <f t="shared" si="3191"/>
        <v>0</v>
      </c>
      <c r="D1541" s="662">
        <f t="shared" si="3191"/>
        <v>0</v>
      </c>
      <c r="E1541" s="662">
        <f t="shared" si="3191"/>
        <v>0</v>
      </c>
      <c r="F1541" s="662">
        <f t="shared" si="3191"/>
        <v>0</v>
      </c>
      <c r="G1541" s="662">
        <f t="shared" si="3191"/>
        <v>0</v>
      </c>
      <c r="H1541" s="662">
        <f t="shared" si="3191"/>
        <v>0</v>
      </c>
      <c r="I1541" s="662">
        <f t="shared" si="3191"/>
        <v>0</v>
      </c>
      <c r="J1541" s="662">
        <f t="shared" si="3191"/>
        <v>0</v>
      </c>
      <c r="K1541" s="662">
        <f t="shared" si="3191"/>
        <v>0</v>
      </c>
      <c r="L1541" s="662">
        <f t="shared" si="3191"/>
        <v>0</v>
      </c>
      <c r="U1541" s="663"/>
      <c r="Z1541" s="663"/>
      <c r="AA1541" s="663"/>
      <c r="AB1541" s="663"/>
      <c r="AC1541" s="663"/>
      <c r="AD1541" s="663"/>
      <c r="AE1541" s="663"/>
      <c r="AF1541" s="663"/>
      <c r="AG1541" s="663"/>
      <c r="AH1541" s="663"/>
      <c r="AI1541" s="663"/>
      <c r="AJ1541" s="663"/>
      <c r="AK1541" s="663"/>
      <c r="AL1541" s="663"/>
      <c r="AM1541" s="663"/>
      <c r="AN1541" s="663"/>
    </row>
    <row r="1542" spans="2:40" ht="14.45" hidden="1" customHeight="1" x14ac:dyDescent="0.25">
      <c r="B1542" s="936">
        <f>B1476</f>
        <v>41719</v>
      </c>
      <c r="C1542" s="662">
        <f t="shared" ref="C1542:L1542" si="3192">C1526</f>
        <v>0</v>
      </c>
      <c r="D1542" s="662">
        <f t="shared" si="3192"/>
        <v>0</v>
      </c>
      <c r="E1542" s="662">
        <f t="shared" si="3192"/>
        <v>0</v>
      </c>
      <c r="F1542" s="662">
        <f t="shared" si="3192"/>
        <v>0</v>
      </c>
      <c r="G1542" s="662">
        <f t="shared" si="3192"/>
        <v>0</v>
      </c>
      <c r="H1542" s="662">
        <f t="shared" si="3192"/>
        <v>0</v>
      </c>
      <c r="I1542" s="662">
        <f t="shared" si="3192"/>
        <v>0</v>
      </c>
      <c r="J1542" s="662">
        <f t="shared" si="3192"/>
        <v>0</v>
      </c>
      <c r="K1542" s="662">
        <f t="shared" si="3192"/>
        <v>0</v>
      </c>
      <c r="L1542" s="662">
        <f t="shared" si="3192"/>
        <v>0</v>
      </c>
      <c r="U1542" s="663"/>
      <c r="Z1542" s="663"/>
      <c r="AA1542" s="663"/>
      <c r="AB1542" s="663"/>
      <c r="AC1542" s="663"/>
      <c r="AD1542" s="663"/>
      <c r="AE1542" s="663"/>
      <c r="AF1542" s="663"/>
      <c r="AG1542" s="663"/>
      <c r="AH1542" s="663"/>
      <c r="AI1542" s="663"/>
      <c r="AJ1542" s="663"/>
      <c r="AK1542" s="663"/>
      <c r="AL1542" s="663"/>
      <c r="AM1542" s="663"/>
      <c r="AN1542" s="663"/>
    </row>
    <row r="1543" spans="2:40" ht="14.45" hidden="1" customHeight="1" x14ac:dyDescent="0.25">
      <c r="C1543" s="882" t="e">
        <f ca="1">IF(ISERROR(XIRR(INDIRECT(C1545):C1542,INDIRECT($B1545):$B1542,-20%)),XIRR(INDIRECT(C1545):C1542,INDIRECT($B1545):$B1542,20%),"N/A")</f>
        <v>#REF!</v>
      </c>
      <c r="D1543" s="882" t="e">
        <f ca="1">IF(ISERROR(XIRR(INDIRECT(D1545):D1542,INDIRECT($B1545):$B1542,-20%)),XIRR(INDIRECT(D1545):D1542,INDIRECT($B1545):$B1542,20%),"N/A")</f>
        <v>#REF!</v>
      </c>
      <c r="E1543" s="882" t="e">
        <f ca="1">IF(ISERROR(XIRR(INDIRECT(E1545):E1542,INDIRECT($B1545):$B1542,-20%)),XIRR(INDIRECT(E1545):E1542,INDIRECT($B1545):$B1542,20%),"N/A")</f>
        <v>#REF!</v>
      </c>
      <c r="F1543" s="882" t="e">
        <f ca="1">IF(ISERROR(XIRR(INDIRECT(F1545):F1542,INDIRECT($B1545):$B1542,-20%)),XIRR(INDIRECT(F1545):F1542,INDIRECT($B1545):$B1542,20%),"N/A")</f>
        <v>#REF!</v>
      </c>
      <c r="G1543" s="882" t="e">
        <f ca="1">IF(ISERROR(XIRR(INDIRECT(G1545):G1542,INDIRECT($B1545):$B1542,-20%)),XIRR(INDIRECT(G1545):G1542,INDIRECT($B1545):$B1542,20%),"N/A")</f>
        <v>#REF!</v>
      </c>
      <c r="H1543" s="882" t="e">
        <f ca="1">IF(ISERROR(XIRR(INDIRECT(H1545):H1542,INDIRECT($B1545):$B1542,-20%)),XIRR(INDIRECT(H1545):H1542,INDIRECT($B1545):$B1542,20%),"N/A")</f>
        <v>#REF!</v>
      </c>
      <c r="I1543" s="882" t="e">
        <f ca="1">IF(ISERROR(XIRR(INDIRECT(I1545):I1542,INDIRECT($B1545):$B1542,-20%)),XIRR(INDIRECT(I1545):I1542,INDIRECT($B1545):$B1542,20%),"N/A")</f>
        <v>#REF!</v>
      </c>
      <c r="J1543" s="882" t="e">
        <f ca="1">IF(ISERROR(XIRR(INDIRECT(J1545):J1542,INDIRECT($B1545):$B1542,-20%)),XIRR(INDIRECT(J1545):J1542,INDIRECT($B1545):$B1542,20%),"N/A")</f>
        <v>#REF!</v>
      </c>
      <c r="K1543" s="882" t="e">
        <f ca="1">IF(ISERROR(XIRR(INDIRECT(K1545):K1542,INDIRECT($B1545):$B1542,-20%)),XIRR(INDIRECT(K1545):K1542,INDIRECT($B1545):$B1542,20%),"N/A")</f>
        <v>#REF!</v>
      </c>
      <c r="L1543" s="882" t="e">
        <f ca="1">IF(ISERROR(XIRR(INDIRECT(L1545):L1542,INDIRECT($B1545):$B1542,-20%)),XIRR(INDIRECT(L1545):L1542,INDIRECT($B1545):$B1542,20%),"N/A")</f>
        <v>#REF!</v>
      </c>
      <c r="U1543" s="663"/>
      <c r="Z1543" s="663"/>
      <c r="AA1543" s="663"/>
      <c r="AB1543" s="663"/>
      <c r="AC1543" s="663"/>
      <c r="AD1543" s="663"/>
      <c r="AE1543" s="663"/>
      <c r="AF1543" s="663"/>
      <c r="AG1543" s="663"/>
      <c r="AH1543" s="663"/>
      <c r="AI1543" s="663"/>
      <c r="AJ1543" s="663"/>
      <c r="AK1543" s="663"/>
      <c r="AL1543" s="663"/>
      <c r="AM1543" s="663"/>
      <c r="AN1543" s="663"/>
    </row>
    <row r="1544" spans="2:40" ht="14.45" hidden="1" customHeight="1" x14ac:dyDescent="0.25">
      <c r="B1544" s="898" t="b">
        <f>IF(C1532&lt;&gt;0,ROW(C1532),IF(C1533&lt;&gt;0,ROW(C1533),IF(C1534&lt;&gt;0,ROW(C1534),IF(C1535&lt;&gt;0,ROW(C1535),IF(C1536&lt;&gt;0,ROW(C1536),IF(C1537&lt;&gt;0,ROW(C1537),IF(C1538&lt;&gt;0,ROW(C1538),IF(C1539&lt;&gt;0,ROW(C1539),IF(C1540&lt;&gt;0,ROW(C1540),IF(C1541&lt;&gt;0,ROW(C1541)))))))))))</f>
        <v>0</v>
      </c>
      <c r="C1544" s="882"/>
      <c r="U1544" s="663"/>
      <c r="Z1544" s="663"/>
      <c r="AA1544" s="663"/>
      <c r="AB1544" s="663"/>
      <c r="AC1544" s="663"/>
      <c r="AD1544" s="663"/>
      <c r="AE1544" s="663"/>
      <c r="AF1544" s="663"/>
      <c r="AG1544" s="663"/>
      <c r="AH1544" s="663"/>
      <c r="AI1544" s="663"/>
      <c r="AJ1544" s="663"/>
      <c r="AK1544" s="663"/>
      <c r="AL1544" s="663"/>
      <c r="AM1544" s="663"/>
      <c r="AN1544" s="663"/>
    </row>
    <row r="1545" spans="2:40" ht="14.45" hidden="1" customHeight="1" x14ac:dyDescent="0.25">
      <c r="B1545" s="899" t="str">
        <f>CONCATENATE(IF(COLUMN(B1544)&lt;=26,CHAR(96+COLUMN(B1544)),(CHAR(96+(ROUNDDOWN((COLUMN(B1544)-1)/26,0)))&amp;CHAR(96+IF(MOD(COLUMN(B1544),26)=0,26,MOD(COLUMN(B1544),26))))),B1544)</f>
        <v>bFALSE</v>
      </c>
      <c r="C1545" s="899" t="str">
        <f>CONCATENATE(IF(COLUMN(C1543)&lt;=26,CHAR(96+COLUMN(C1543)),(CHAR(96+(ROUNDDOWN((COLUMN(C1543)-1)/26,0)))&amp;CHAR(96+IF(MOD(COLUMN(C1543),26)=0,26,MOD(COLUMN(C1543),26))))),$B1544)</f>
        <v>cFALSE</v>
      </c>
      <c r="D1545" s="899" t="str">
        <f t="shared" ref="D1545" si="3193">CONCATENATE(IF(COLUMN(D1543)&lt;=26,CHAR(96+COLUMN(D1543)),(CHAR(96+(ROUNDDOWN((COLUMN(D1543)-1)/26,0)))&amp;CHAR(96+IF(MOD(COLUMN(D1543),26)=0,26,MOD(COLUMN(D1543),26))))),$B1544)</f>
        <v>dFALSE</v>
      </c>
      <c r="E1545" s="899" t="str">
        <f t="shared" ref="E1545" si="3194">CONCATENATE(IF(COLUMN(E1543)&lt;=26,CHAR(96+COLUMN(E1543)),(CHAR(96+(ROUNDDOWN((COLUMN(E1543)-1)/26,0)))&amp;CHAR(96+IF(MOD(COLUMN(E1543),26)=0,26,MOD(COLUMN(E1543),26))))),$B1544)</f>
        <v>eFALSE</v>
      </c>
      <c r="F1545" s="899" t="str">
        <f t="shared" ref="F1545" si="3195">CONCATENATE(IF(COLUMN(F1543)&lt;=26,CHAR(96+COLUMN(F1543)),(CHAR(96+(ROUNDDOWN((COLUMN(F1543)-1)/26,0)))&amp;CHAR(96+IF(MOD(COLUMN(F1543),26)=0,26,MOD(COLUMN(F1543),26))))),$B1544)</f>
        <v>fFALSE</v>
      </c>
      <c r="G1545" s="899" t="str">
        <f t="shared" ref="G1545" si="3196">CONCATENATE(IF(COLUMN(G1543)&lt;=26,CHAR(96+COLUMN(G1543)),(CHAR(96+(ROUNDDOWN((COLUMN(G1543)-1)/26,0)))&amp;CHAR(96+IF(MOD(COLUMN(G1543),26)=0,26,MOD(COLUMN(G1543),26))))),$B1544)</f>
        <v>gFALSE</v>
      </c>
      <c r="H1545" s="899" t="str">
        <f t="shared" ref="H1545" si="3197">CONCATENATE(IF(COLUMN(H1543)&lt;=26,CHAR(96+COLUMN(H1543)),(CHAR(96+(ROUNDDOWN((COLUMN(H1543)-1)/26,0)))&amp;CHAR(96+IF(MOD(COLUMN(H1543),26)=0,26,MOD(COLUMN(H1543),26))))),$B1544)</f>
        <v>hFALSE</v>
      </c>
      <c r="I1545" s="899" t="str">
        <f t="shared" ref="I1545" si="3198">CONCATENATE(IF(COLUMN(I1543)&lt;=26,CHAR(96+COLUMN(I1543)),(CHAR(96+(ROUNDDOWN((COLUMN(I1543)-1)/26,0)))&amp;CHAR(96+IF(MOD(COLUMN(I1543),26)=0,26,MOD(COLUMN(I1543),26))))),$B1544)</f>
        <v>iFALSE</v>
      </c>
      <c r="J1545" s="899" t="str">
        <f t="shared" ref="J1545" si="3199">CONCATENATE(IF(COLUMN(J1543)&lt;=26,CHAR(96+COLUMN(J1543)),(CHAR(96+(ROUNDDOWN((COLUMN(J1543)-1)/26,0)))&amp;CHAR(96+IF(MOD(COLUMN(J1543),26)=0,26,MOD(COLUMN(J1543),26))))),$B1544)</f>
        <v>jFALSE</v>
      </c>
      <c r="K1545" s="899" t="str">
        <f t="shared" ref="K1545" si="3200">CONCATENATE(IF(COLUMN(K1543)&lt;=26,CHAR(96+COLUMN(K1543)),(CHAR(96+(ROUNDDOWN((COLUMN(K1543)-1)/26,0)))&amp;CHAR(96+IF(MOD(COLUMN(K1543),26)=0,26,MOD(COLUMN(K1543),26))))),$B1544)</f>
        <v>kFALSE</v>
      </c>
      <c r="L1545" s="899" t="str">
        <f t="shared" ref="L1545" si="3201">CONCATENATE(IF(COLUMN(L1543)&lt;=26,CHAR(96+COLUMN(L1543)),(CHAR(96+(ROUNDDOWN((COLUMN(L1543)-1)/26,0)))&amp;CHAR(96+IF(MOD(COLUMN(L1543),26)=0,26,MOD(COLUMN(L1543),26))))),$B1544)</f>
        <v>lFALSE</v>
      </c>
      <c r="U1545" s="663"/>
      <c r="Z1545" s="663"/>
      <c r="AA1545" s="663"/>
      <c r="AB1545" s="663"/>
      <c r="AC1545" s="663"/>
      <c r="AD1545" s="663"/>
      <c r="AE1545" s="663"/>
      <c r="AF1545" s="663"/>
      <c r="AG1545" s="663"/>
      <c r="AH1545" s="663"/>
      <c r="AI1545" s="663"/>
      <c r="AJ1545" s="663"/>
      <c r="AK1545" s="663"/>
      <c r="AL1545" s="663"/>
      <c r="AM1545" s="663"/>
      <c r="AN1545" s="663"/>
    </row>
    <row r="1546" spans="2:40" ht="14.45" hidden="1" customHeight="1" x14ac:dyDescent="0.25">
      <c r="B1546" s="661"/>
      <c r="C1546" s="662"/>
      <c r="U1546" s="663"/>
      <c r="Z1546" s="663"/>
      <c r="AA1546" s="663"/>
      <c r="AB1546" s="663"/>
      <c r="AC1546" s="663"/>
      <c r="AD1546" s="663"/>
      <c r="AE1546" s="663"/>
      <c r="AF1546" s="663"/>
      <c r="AG1546" s="663"/>
      <c r="AH1546" s="663"/>
      <c r="AI1546" s="663"/>
      <c r="AJ1546" s="663"/>
      <c r="AK1546" s="663"/>
      <c r="AL1546" s="663"/>
      <c r="AM1546" s="663"/>
      <c r="AN1546" s="663"/>
    </row>
    <row r="1547" spans="2:40" ht="14.45" hidden="1" customHeight="1" x14ac:dyDescent="0.25">
      <c r="B1547" s="661"/>
      <c r="C1547" s="662"/>
      <c r="U1547" s="663"/>
      <c r="Z1547" s="663"/>
      <c r="AA1547" s="663"/>
      <c r="AB1547" s="663"/>
      <c r="AC1547" s="663"/>
      <c r="AD1547" s="663"/>
      <c r="AE1547" s="663"/>
      <c r="AF1547" s="663"/>
      <c r="AG1547" s="663"/>
      <c r="AH1547" s="663"/>
      <c r="AI1547" s="663"/>
      <c r="AJ1547" s="663"/>
      <c r="AK1547" s="663"/>
      <c r="AL1547" s="663"/>
      <c r="AM1547" s="663"/>
      <c r="AN1547" s="663"/>
    </row>
    <row r="1548" spans="2:40" ht="14.45" hidden="1" customHeight="1" x14ac:dyDescent="0.25">
      <c r="B1548" s="661"/>
      <c r="C1548" s="662"/>
      <c r="U1548" s="663"/>
      <c r="Z1548" s="663"/>
      <c r="AA1548" s="663"/>
      <c r="AB1548" s="663"/>
      <c r="AC1548" s="663"/>
      <c r="AD1548" s="663"/>
      <c r="AE1548" s="663"/>
      <c r="AF1548" s="663"/>
      <c r="AG1548" s="663"/>
      <c r="AH1548" s="663"/>
      <c r="AI1548" s="663"/>
      <c r="AJ1548" s="663"/>
      <c r="AK1548" s="663"/>
      <c r="AL1548" s="663"/>
      <c r="AM1548" s="663"/>
      <c r="AN1548" s="663"/>
    </row>
    <row r="1549" spans="2:40" ht="14.45" hidden="1" customHeight="1" x14ac:dyDescent="0.25">
      <c r="C1549" s="662"/>
      <c r="U1549" s="663"/>
      <c r="Z1549" s="663"/>
      <c r="AA1549" s="663"/>
      <c r="AB1549" s="663"/>
      <c r="AC1549" s="663"/>
      <c r="AD1549" s="663"/>
      <c r="AE1549" s="663"/>
      <c r="AF1549" s="663"/>
      <c r="AG1549" s="663"/>
      <c r="AH1549" s="663"/>
      <c r="AI1549" s="663"/>
      <c r="AJ1549" s="663"/>
      <c r="AK1549" s="663"/>
      <c r="AL1549" s="663"/>
      <c r="AM1549" s="663"/>
      <c r="AN1549" s="663"/>
    </row>
    <row r="1550" spans="2:40" ht="14.45" hidden="1" customHeight="1" x14ac:dyDescent="0.25">
      <c r="C1550" s="662"/>
      <c r="U1550" s="663"/>
      <c r="Z1550" s="663"/>
      <c r="AA1550" s="663"/>
      <c r="AB1550" s="663"/>
      <c r="AC1550" s="663"/>
      <c r="AD1550" s="663"/>
      <c r="AE1550" s="663"/>
      <c r="AF1550" s="663"/>
      <c r="AG1550" s="663"/>
      <c r="AH1550" s="663"/>
      <c r="AI1550" s="663"/>
      <c r="AJ1550" s="663"/>
      <c r="AK1550" s="663"/>
      <c r="AL1550" s="663"/>
      <c r="AM1550" s="663"/>
      <c r="AN1550" s="663"/>
    </row>
    <row r="1551" spans="2:40" ht="14.45" hidden="1" customHeight="1" x14ac:dyDescent="0.25">
      <c r="C1551" s="662"/>
      <c r="U1551" s="663"/>
      <c r="Z1551" s="663"/>
      <c r="AA1551" s="663"/>
      <c r="AB1551" s="663"/>
      <c r="AC1551" s="663"/>
      <c r="AD1551" s="663"/>
      <c r="AE1551" s="663"/>
      <c r="AF1551" s="663"/>
      <c r="AG1551" s="663"/>
      <c r="AH1551" s="663"/>
      <c r="AI1551" s="663"/>
      <c r="AJ1551" s="663"/>
      <c r="AK1551" s="663"/>
      <c r="AL1551" s="663"/>
      <c r="AM1551" s="663"/>
      <c r="AN1551" s="663"/>
    </row>
    <row r="1552" spans="2:40" ht="14.45" hidden="1" customHeight="1" x14ac:dyDescent="0.25">
      <c r="C1552" s="662"/>
      <c r="U1552" s="663"/>
      <c r="Z1552" s="663"/>
      <c r="AA1552" s="663"/>
      <c r="AB1552" s="663"/>
      <c r="AC1552" s="663"/>
      <c r="AD1552" s="663"/>
      <c r="AE1552" s="663"/>
      <c r="AF1552" s="663"/>
      <c r="AG1552" s="663"/>
      <c r="AH1552" s="663"/>
      <c r="AI1552" s="663"/>
      <c r="AJ1552" s="663"/>
      <c r="AK1552" s="663"/>
      <c r="AL1552" s="663"/>
      <c r="AM1552" s="663"/>
      <c r="AN1552" s="663"/>
    </row>
    <row r="1553" spans="3:40" ht="27" hidden="1" customHeight="1" x14ac:dyDescent="0.25">
      <c r="C1553" s="662"/>
      <c r="F1553" s="912" t="s">
        <v>134</v>
      </c>
      <c r="G1553" s="912" t="s">
        <v>137</v>
      </c>
      <c r="J1553" s="912" t="s">
        <v>134</v>
      </c>
      <c r="K1553" s="912" t="s">
        <v>137</v>
      </c>
      <c r="M1553" s="912" t="s">
        <v>141</v>
      </c>
      <c r="U1553" s="663"/>
      <c r="Z1553" s="663"/>
      <c r="AA1553" s="663"/>
      <c r="AB1553" s="663"/>
      <c r="AC1553" s="663"/>
      <c r="AD1553" s="663"/>
      <c r="AE1553" s="663"/>
      <c r="AF1553" s="663"/>
      <c r="AG1553" s="663"/>
      <c r="AH1553" s="663"/>
      <c r="AI1553" s="663"/>
      <c r="AJ1553" s="663"/>
      <c r="AK1553" s="663"/>
      <c r="AL1553" s="663"/>
      <c r="AM1553" s="663"/>
      <c r="AN1553" s="663"/>
    </row>
    <row r="1554" spans="3:40" ht="14.45" hidden="1" customHeight="1" x14ac:dyDescent="0.25">
      <c r="C1554" s="662"/>
      <c r="E1554" s="883" t="str">
        <f>B825</f>
        <v>Series A</v>
      </c>
      <c r="F1554" s="927">
        <f>SUM(F10:F18)*F51</f>
        <v>5000000</v>
      </c>
      <c r="G1554" s="926">
        <f>F1554/$F$1576</f>
        <v>0.16005121638924455</v>
      </c>
      <c r="I1554" s="883" t="str">
        <f>B29</f>
        <v>HTGC</v>
      </c>
      <c r="J1554" s="927">
        <f t="shared" ref="J1554:J1563" si="3202">F10*F$51+G10*G$51+H10*H$51+I10*I$51+J10*J$51+K10*K$51+L10*L$51+M10*M$51+N10*N$51+O10*O$51</f>
        <v>2000000</v>
      </c>
      <c r="K1554" s="926">
        <f t="shared" ref="K1554:K1564" si="3203">J1554/$J$1567</f>
        <v>6.4020486555697809E-2</v>
      </c>
      <c r="M1554" s="926">
        <f t="shared" ref="M1554:M1564" si="3204">J1554/$C$1585</f>
        <v>1.8825301204819279E-2</v>
      </c>
      <c r="U1554" s="663"/>
      <c r="Z1554" s="663"/>
      <c r="AA1554" s="663"/>
      <c r="AB1554" s="663"/>
      <c r="AC1554" s="663"/>
      <c r="AD1554" s="663"/>
      <c r="AE1554" s="663"/>
      <c r="AF1554" s="663"/>
      <c r="AG1554" s="663"/>
      <c r="AH1554" s="663"/>
      <c r="AI1554" s="663"/>
      <c r="AJ1554" s="663"/>
      <c r="AK1554" s="663"/>
      <c r="AL1554" s="663"/>
      <c r="AM1554" s="663"/>
      <c r="AN1554" s="663"/>
    </row>
    <row r="1555" spans="3:40" ht="14.45" hidden="1" customHeight="1" x14ac:dyDescent="0.25">
      <c r="C1555" s="662"/>
      <c r="E1555" s="883" t="str">
        <f t="shared" ref="E1555:E1575" si="3205">B826</f>
        <v>Series B</v>
      </c>
      <c r="F1555" s="927">
        <f>SUM(G10:G18)*G51</f>
        <v>5000000</v>
      </c>
      <c r="G1555" s="926">
        <f t="shared" ref="G1555:G1575" si="3206">F1555/$F$1576</f>
        <v>0.16005121638924455</v>
      </c>
      <c r="I1555" s="883" t="str">
        <f t="shared" ref="I1555:I1562" si="3207">B30</f>
        <v>Inv B</v>
      </c>
      <c r="J1555" s="927">
        <f t="shared" si="3202"/>
        <v>2000000</v>
      </c>
      <c r="K1555" s="926">
        <f t="shared" si="3203"/>
        <v>6.4020486555697809E-2</v>
      </c>
      <c r="M1555" s="926">
        <f t="shared" si="3204"/>
        <v>1.8825301204819279E-2</v>
      </c>
      <c r="U1555" s="663"/>
      <c r="Z1555" s="663"/>
      <c r="AA1555" s="663"/>
      <c r="AB1555" s="663"/>
      <c r="AC1555" s="663"/>
      <c r="AD1555" s="663"/>
      <c r="AE1555" s="663"/>
      <c r="AF1555" s="663"/>
      <c r="AG1555" s="663"/>
      <c r="AH1555" s="663"/>
      <c r="AI1555" s="663"/>
      <c r="AJ1555" s="663"/>
      <c r="AK1555" s="663"/>
      <c r="AL1555" s="663"/>
      <c r="AM1555" s="663"/>
      <c r="AN1555" s="663"/>
    </row>
    <row r="1556" spans="3:40" ht="14.45" hidden="1" customHeight="1" x14ac:dyDescent="0.25">
      <c r="C1556" s="662"/>
      <c r="E1556" s="883" t="str">
        <f t="shared" si="3205"/>
        <v>Series C</v>
      </c>
      <c r="F1556" s="927">
        <f>SUM(H10:H18)*H51</f>
        <v>6000000</v>
      </c>
      <c r="G1556" s="926">
        <f t="shared" si="3206"/>
        <v>0.19206145966709348</v>
      </c>
      <c r="I1556" s="883" t="str">
        <f t="shared" si="3207"/>
        <v>Inv C</v>
      </c>
      <c r="J1556" s="927">
        <f t="shared" si="3202"/>
        <v>3000000</v>
      </c>
      <c r="K1556" s="926">
        <f t="shared" si="3203"/>
        <v>9.6030729833546713E-2</v>
      </c>
      <c r="M1556" s="926">
        <f t="shared" si="3204"/>
        <v>2.8237951807228916E-2</v>
      </c>
      <c r="U1556" s="663"/>
      <c r="Z1556" s="663"/>
      <c r="AA1556" s="663"/>
      <c r="AB1556" s="663"/>
      <c r="AC1556" s="663"/>
      <c r="AD1556" s="663"/>
      <c r="AE1556" s="663"/>
      <c r="AF1556" s="663"/>
      <c r="AG1556" s="663"/>
      <c r="AH1556" s="663"/>
      <c r="AI1556" s="663"/>
      <c r="AJ1556" s="663"/>
      <c r="AK1556" s="663"/>
      <c r="AL1556" s="663"/>
      <c r="AM1556" s="663"/>
      <c r="AN1556" s="663"/>
    </row>
    <row r="1557" spans="3:40" ht="14.45" hidden="1" customHeight="1" x14ac:dyDescent="0.25">
      <c r="C1557" s="662"/>
      <c r="E1557" s="883" t="str">
        <f t="shared" si="3205"/>
        <v>Series D</v>
      </c>
      <c r="F1557" s="927">
        <f>SUM(I10:I18)*I51</f>
        <v>10000000</v>
      </c>
      <c r="G1557" s="926">
        <f t="shared" si="3206"/>
        <v>0.3201024327784891</v>
      </c>
      <c r="I1557" s="883" t="str">
        <f t="shared" si="3207"/>
        <v>Inv D</v>
      </c>
      <c r="J1557" s="927">
        <f t="shared" si="3202"/>
        <v>3000000</v>
      </c>
      <c r="K1557" s="926">
        <f t="shared" si="3203"/>
        <v>9.6030729833546713E-2</v>
      </c>
      <c r="M1557" s="926">
        <f t="shared" si="3204"/>
        <v>2.8237951807228916E-2</v>
      </c>
      <c r="U1557" s="663"/>
      <c r="Z1557" s="663"/>
      <c r="AA1557" s="663"/>
      <c r="AB1557" s="663"/>
      <c r="AC1557" s="663"/>
      <c r="AD1557" s="663"/>
      <c r="AE1557" s="663"/>
      <c r="AF1557" s="663"/>
      <c r="AG1557" s="663"/>
      <c r="AH1557" s="663"/>
      <c r="AI1557" s="663"/>
      <c r="AJ1557" s="663"/>
      <c r="AK1557" s="663"/>
      <c r="AL1557" s="663"/>
      <c r="AM1557" s="663"/>
      <c r="AN1557" s="663"/>
    </row>
    <row r="1558" spans="3:40" ht="14.45" hidden="1" customHeight="1" x14ac:dyDescent="0.25">
      <c r="C1558" s="662"/>
      <c r="E1558" s="883" t="str">
        <f t="shared" si="3205"/>
        <v>-</v>
      </c>
      <c r="F1558" s="927">
        <f>SUM(J10:J18)*J51</f>
        <v>0</v>
      </c>
      <c r="G1558" s="926">
        <f t="shared" si="3206"/>
        <v>0</v>
      </c>
      <c r="I1558" s="883" t="str">
        <f t="shared" si="3207"/>
        <v>Inv E</v>
      </c>
      <c r="J1558" s="927">
        <f t="shared" si="3202"/>
        <v>3000000</v>
      </c>
      <c r="K1558" s="926">
        <f t="shared" si="3203"/>
        <v>9.6030729833546713E-2</v>
      </c>
      <c r="M1558" s="926">
        <f t="shared" si="3204"/>
        <v>2.8237951807228916E-2</v>
      </c>
      <c r="U1558" s="663"/>
      <c r="Z1558" s="663"/>
      <c r="AA1558" s="663"/>
      <c r="AB1558" s="663"/>
      <c r="AC1558" s="663"/>
      <c r="AD1558" s="663"/>
      <c r="AE1558" s="663"/>
      <c r="AF1558" s="663"/>
      <c r="AG1558" s="663"/>
      <c r="AH1558" s="663"/>
      <c r="AI1558" s="663"/>
      <c r="AJ1558" s="663"/>
      <c r="AK1558" s="663"/>
      <c r="AL1558" s="663"/>
      <c r="AM1558" s="663"/>
      <c r="AN1558" s="663"/>
    </row>
    <row r="1559" spans="3:40" ht="14.45" hidden="1" customHeight="1" x14ac:dyDescent="0.25">
      <c r="C1559" s="662"/>
      <c r="E1559" s="883" t="str">
        <f t="shared" si="3205"/>
        <v>-</v>
      </c>
      <c r="F1559" s="927">
        <f>SUM(K10:K18)*K51</f>
        <v>0</v>
      </c>
      <c r="G1559" s="926">
        <f t="shared" si="3206"/>
        <v>0</v>
      </c>
      <c r="I1559" s="883" t="str">
        <f t="shared" si="3207"/>
        <v>Inv F</v>
      </c>
      <c r="J1559" s="927">
        <f t="shared" si="3202"/>
        <v>4333333.333333334</v>
      </c>
      <c r="K1559" s="926">
        <f t="shared" si="3203"/>
        <v>0.13871105420401195</v>
      </c>
      <c r="M1559" s="926">
        <f t="shared" si="3204"/>
        <v>4.0788152610441775E-2</v>
      </c>
      <c r="U1559" s="663"/>
      <c r="Z1559" s="663"/>
      <c r="AA1559" s="663"/>
      <c r="AB1559" s="663"/>
      <c r="AC1559" s="663"/>
      <c r="AD1559" s="663"/>
      <c r="AE1559" s="663"/>
      <c r="AF1559" s="663"/>
      <c r="AG1559" s="663"/>
      <c r="AH1559" s="663"/>
      <c r="AI1559" s="663"/>
      <c r="AJ1559" s="663"/>
      <c r="AK1559" s="663"/>
      <c r="AL1559" s="663"/>
      <c r="AM1559" s="663"/>
      <c r="AN1559" s="663"/>
    </row>
    <row r="1560" spans="3:40" ht="14.45" hidden="1" customHeight="1" x14ac:dyDescent="0.25">
      <c r="C1560" s="662"/>
      <c r="E1560" s="883" t="str">
        <f t="shared" si="3205"/>
        <v>-</v>
      </c>
      <c r="F1560" s="927">
        <f>SUM(L10:L18)*L51</f>
        <v>0</v>
      </c>
      <c r="G1560" s="926">
        <f t="shared" si="3206"/>
        <v>0</v>
      </c>
      <c r="I1560" s="883" t="str">
        <f t="shared" si="3207"/>
        <v>Inv G</v>
      </c>
      <c r="J1560" s="927">
        <f t="shared" si="3202"/>
        <v>4333333.333333334</v>
      </c>
      <c r="K1560" s="926">
        <f t="shared" si="3203"/>
        <v>0.13871105420401195</v>
      </c>
      <c r="M1560" s="926">
        <f t="shared" si="3204"/>
        <v>4.0788152610441775E-2</v>
      </c>
      <c r="U1560" s="663"/>
      <c r="Z1560" s="663"/>
      <c r="AA1560" s="663"/>
      <c r="AB1560" s="663"/>
      <c r="AC1560" s="663"/>
      <c r="AD1560" s="663"/>
      <c r="AE1560" s="663"/>
      <c r="AF1560" s="663"/>
      <c r="AG1560" s="663"/>
      <c r="AH1560" s="663"/>
      <c r="AI1560" s="663"/>
      <c r="AJ1560" s="663"/>
      <c r="AK1560" s="663"/>
      <c r="AL1560" s="663"/>
      <c r="AM1560" s="663"/>
      <c r="AN1560" s="663"/>
    </row>
    <row r="1561" spans="3:40" ht="14.45" hidden="1" customHeight="1" x14ac:dyDescent="0.25">
      <c r="C1561" s="662"/>
      <c r="E1561" s="883" t="str">
        <f t="shared" si="3205"/>
        <v>-</v>
      </c>
      <c r="F1561" s="927">
        <f>SUM(M10:M18)*M51</f>
        <v>0</v>
      </c>
      <c r="G1561" s="926">
        <f t="shared" si="3206"/>
        <v>0</v>
      </c>
      <c r="I1561" s="883" t="str">
        <f t="shared" si="3207"/>
        <v>Inv H</v>
      </c>
      <c r="J1561" s="927">
        <f t="shared" si="3202"/>
        <v>4333333.333333334</v>
      </c>
      <c r="K1561" s="926">
        <f t="shared" si="3203"/>
        <v>0.13871105420401195</v>
      </c>
      <c r="M1561" s="926">
        <f t="shared" si="3204"/>
        <v>4.0788152610441775E-2</v>
      </c>
      <c r="U1561" s="663"/>
      <c r="Z1561" s="663"/>
      <c r="AA1561" s="663"/>
      <c r="AB1561" s="663"/>
      <c r="AC1561" s="663"/>
      <c r="AD1561" s="663"/>
      <c r="AE1561" s="663"/>
      <c r="AF1561" s="663"/>
      <c r="AG1561" s="663"/>
      <c r="AH1561" s="663"/>
      <c r="AI1561" s="663"/>
      <c r="AJ1561" s="663"/>
      <c r="AK1561" s="663"/>
      <c r="AL1561" s="663"/>
      <c r="AM1561" s="663"/>
      <c r="AN1561" s="663"/>
    </row>
    <row r="1562" spans="3:40" ht="14.45" hidden="1" customHeight="1" x14ac:dyDescent="0.25">
      <c r="C1562" s="662"/>
      <c r="E1562" s="883" t="str">
        <f t="shared" si="3205"/>
        <v>-</v>
      </c>
      <c r="F1562" s="927">
        <f>SUM(N10:N18)*N51</f>
        <v>0</v>
      </c>
      <c r="G1562" s="926">
        <f t="shared" si="3206"/>
        <v>0</v>
      </c>
      <c r="I1562" s="883" t="str">
        <f t="shared" si="3207"/>
        <v>Other Investors</v>
      </c>
      <c r="J1562" s="927">
        <f t="shared" si="3202"/>
        <v>0</v>
      </c>
      <c r="K1562" s="926">
        <f t="shared" si="3203"/>
        <v>0</v>
      </c>
      <c r="M1562" s="926">
        <f t="shared" si="3204"/>
        <v>0</v>
      </c>
      <c r="U1562" s="663"/>
      <c r="Z1562" s="663"/>
      <c r="AA1562" s="663"/>
      <c r="AB1562" s="663"/>
      <c r="AC1562" s="663"/>
      <c r="AD1562" s="663"/>
      <c r="AE1562" s="663"/>
      <c r="AF1562" s="663"/>
      <c r="AG1562" s="663"/>
      <c r="AH1562" s="663"/>
      <c r="AI1562" s="663"/>
      <c r="AJ1562" s="663"/>
      <c r="AK1562" s="663"/>
      <c r="AL1562" s="663"/>
      <c r="AM1562" s="663"/>
      <c r="AN1562" s="663"/>
    </row>
    <row r="1563" spans="3:40" ht="14.45" hidden="1" customHeight="1" x14ac:dyDescent="0.25">
      <c r="C1563" s="662"/>
      <c r="E1563" s="883" t="str">
        <f t="shared" si="3205"/>
        <v>-</v>
      </c>
      <c r="F1563" s="927">
        <f>SUM(O10:O18)*O51</f>
        <v>0</v>
      </c>
      <c r="G1563" s="926">
        <f t="shared" si="3206"/>
        <v>0</v>
      </c>
      <c r="I1563" s="883" t="s">
        <v>3</v>
      </c>
      <c r="J1563" s="927">
        <f t="shared" si="3202"/>
        <v>40000</v>
      </c>
      <c r="K1563" s="926">
        <f t="shared" si="3203"/>
        <v>1.2804097311139562E-3</v>
      </c>
      <c r="M1563" s="926">
        <f t="shared" si="3204"/>
        <v>3.7650602409638556E-4</v>
      </c>
      <c r="U1563" s="663"/>
      <c r="Z1563" s="663"/>
      <c r="AA1563" s="663"/>
      <c r="AB1563" s="663"/>
      <c r="AC1563" s="663"/>
      <c r="AD1563" s="663"/>
      <c r="AE1563" s="663"/>
      <c r="AF1563" s="663"/>
      <c r="AG1563" s="663"/>
      <c r="AH1563" s="663"/>
      <c r="AI1563" s="663"/>
      <c r="AJ1563" s="663"/>
      <c r="AK1563" s="663"/>
      <c r="AL1563" s="663"/>
      <c r="AM1563" s="663"/>
      <c r="AN1563" s="663"/>
    </row>
    <row r="1564" spans="3:40" ht="14.45" hidden="1" customHeight="1" x14ac:dyDescent="0.25">
      <c r="C1564" s="662"/>
      <c r="E1564" s="883" t="str">
        <f t="shared" si="3205"/>
        <v>Warrants Series A</v>
      </c>
      <c r="F1564" s="927">
        <f>F19*F51</f>
        <v>10000</v>
      </c>
      <c r="G1564" s="926">
        <f t="shared" si="3206"/>
        <v>3.201024327784891E-4</v>
      </c>
      <c r="I1564" s="883" t="str">
        <f>B20</f>
        <v>Subtotal Investors</v>
      </c>
      <c r="J1564" s="927">
        <f>F1572</f>
        <v>0</v>
      </c>
      <c r="K1564" s="882">
        <f t="shared" si="3203"/>
        <v>0</v>
      </c>
      <c r="M1564" s="882">
        <f t="shared" si="3204"/>
        <v>0</v>
      </c>
      <c r="U1564" s="663"/>
      <c r="Z1564" s="663"/>
      <c r="AA1564" s="663"/>
      <c r="AB1564" s="663"/>
      <c r="AC1564" s="663"/>
      <c r="AD1564" s="663"/>
      <c r="AE1564" s="663"/>
      <c r="AF1564" s="663"/>
      <c r="AG1564" s="663"/>
      <c r="AH1564" s="663"/>
      <c r="AI1564" s="663"/>
      <c r="AJ1564" s="663"/>
      <c r="AK1564" s="663"/>
      <c r="AL1564" s="663"/>
      <c r="AM1564" s="663"/>
      <c r="AN1564" s="663"/>
    </row>
    <row r="1565" spans="3:40" ht="14.45" hidden="1" customHeight="1" x14ac:dyDescent="0.25">
      <c r="C1565" s="662"/>
      <c r="E1565" s="883" t="str">
        <f t="shared" si="3205"/>
        <v>Warrants Series B</v>
      </c>
      <c r="F1565" s="927">
        <f>G19*G51</f>
        <v>10000</v>
      </c>
      <c r="G1565" s="926">
        <f t="shared" si="3206"/>
        <v>3.201024327784891E-4</v>
      </c>
      <c r="I1565" s="883" t="s">
        <v>142</v>
      </c>
      <c r="J1565" s="927">
        <v>0</v>
      </c>
      <c r="K1565" s="926">
        <v>0</v>
      </c>
      <c r="M1565" s="926">
        <f>G1605</f>
        <v>0.70594879518072284</v>
      </c>
      <c r="U1565" s="663"/>
      <c r="Z1565" s="663"/>
      <c r="AA1565" s="663"/>
      <c r="AB1565" s="663"/>
      <c r="AC1565" s="663"/>
      <c r="AD1565" s="663"/>
      <c r="AE1565" s="663"/>
      <c r="AF1565" s="663"/>
      <c r="AG1565" s="663"/>
      <c r="AH1565" s="663"/>
      <c r="AI1565" s="663"/>
      <c r="AJ1565" s="663"/>
      <c r="AK1565" s="663"/>
      <c r="AL1565" s="663"/>
      <c r="AM1565" s="663"/>
      <c r="AN1565" s="663"/>
    </row>
    <row r="1566" spans="3:40" ht="15" hidden="1" customHeight="1" thickBot="1" x14ac:dyDescent="0.3">
      <c r="C1566" s="662"/>
      <c r="E1566" s="883" t="str">
        <f t="shared" si="3205"/>
        <v>Warrants Series C</v>
      </c>
      <c r="F1566" s="927">
        <f>H19*H51</f>
        <v>10000</v>
      </c>
      <c r="G1566" s="926">
        <f t="shared" si="3206"/>
        <v>3.201024327784891E-4</v>
      </c>
      <c r="I1566" s="883" t="str">
        <f>B22</f>
        <v>Management</v>
      </c>
      <c r="J1566" s="928">
        <f>F1574</f>
        <v>5200000</v>
      </c>
      <c r="K1566" s="929">
        <f>J1566/$J$1567</f>
        <v>0.16645326504481431</v>
      </c>
      <c r="M1566" s="929">
        <f>J1566/$C$1585</f>
        <v>4.8945783132530118E-2</v>
      </c>
      <c r="U1566" s="663"/>
      <c r="Z1566" s="663"/>
      <c r="AA1566" s="663"/>
      <c r="AB1566" s="663"/>
      <c r="AC1566" s="663"/>
      <c r="AD1566" s="663"/>
      <c r="AE1566" s="663"/>
      <c r="AF1566" s="663"/>
      <c r="AG1566" s="663"/>
      <c r="AH1566" s="663"/>
      <c r="AI1566" s="663"/>
      <c r="AJ1566" s="663"/>
      <c r="AK1566" s="663"/>
      <c r="AL1566" s="663"/>
      <c r="AM1566" s="663"/>
      <c r="AN1566" s="663"/>
    </row>
    <row r="1567" spans="3:40" ht="14.45" hidden="1" customHeight="1" x14ac:dyDescent="0.25">
      <c r="C1567" s="662"/>
      <c r="E1567" s="883" t="str">
        <f t="shared" si="3205"/>
        <v>Warrants Series D</v>
      </c>
      <c r="F1567" s="927">
        <f>I19*I51</f>
        <v>10000</v>
      </c>
      <c r="G1567" s="926">
        <f t="shared" si="3206"/>
        <v>3.201024327784891E-4</v>
      </c>
      <c r="I1567" s="883">
        <f>B40</f>
        <v>0</v>
      </c>
      <c r="J1567" s="916">
        <f>SUM(J1554:J1566)</f>
        <v>31240000.000000007</v>
      </c>
      <c r="K1567" s="926">
        <f>J1567/$J$1567</f>
        <v>1</v>
      </c>
      <c r="M1567" s="926">
        <f>SUM(M1554:M1566)</f>
        <v>1</v>
      </c>
      <c r="U1567" s="663"/>
      <c r="Z1567" s="663"/>
      <c r="AA1567" s="663"/>
      <c r="AB1567" s="663"/>
      <c r="AC1567" s="663"/>
      <c r="AD1567" s="663"/>
      <c r="AE1567" s="663"/>
      <c r="AF1567" s="663"/>
      <c r="AG1567" s="663"/>
      <c r="AH1567" s="663"/>
      <c r="AI1567" s="663"/>
      <c r="AJ1567" s="663"/>
      <c r="AK1567" s="663"/>
      <c r="AL1567" s="663"/>
      <c r="AM1567" s="663"/>
      <c r="AN1567" s="663"/>
    </row>
    <row r="1568" spans="3:40" ht="14.45" hidden="1" customHeight="1" x14ac:dyDescent="0.25">
      <c r="C1568" s="662"/>
      <c r="E1568" s="883" t="str">
        <f t="shared" si="3205"/>
        <v>Warrants -</v>
      </c>
      <c r="F1568" s="927">
        <f>J19*J51</f>
        <v>0</v>
      </c>
      <c r="G1568" s="926">
        <f t="shared" si="3206"/>
        <v>0</v>
      </c>
      <c r="U1568" s="663"/>
      <c r="Z1568" s="663"/>
      <c r="AA1568" s="663"/>
      <c r="AB1568" s="663"/>
      <c r="AC1568" s="663"/>
      <c r="AD1568" s="663"/>
      <c r="AE1568" s="663"/>
      <c r="AF1568" s="663"/>
      <c r="AG1568" s="663"/>
      <c r="AH1568" s="663"/>
      <c r="AI1568" s="663"/>
      <c r="AJ1568" s="663"/>
      <c r="AK1568" s="663"/>
      <c r="AL1568" s="663"/>
      <c r="AM1568" s="663"/>
      <c r="AN1568" s="663"/>
    </row>
    <row r="1569" spans="2:40" ht="14.45" hidden="1" customHeight="1" x14ac:dyDescent="0.25">
      <c r="C1569" s="662"/>
      <c r="E1569" s="883" t="str">
        <f t="shared" si="3205"/>
        <v>Warrants -</v>
      </c>
      <c r="F1569" s="927">
        <f>K19*K51</f>
        <v>0</v>
      </c>
      <c r="G1569" s="926">
        <f t="shared" si="3206"/>
        <v>0</v>
      </c>
      <c r="U1569" s="663"/>
      <c r="Z1569" s="663"/>
      <c r="AA1569" s="663"/>
      <c r="AB1569" s="663"/>
      <c r="AC1569" s="663"/>
      <c r="AD1569" s="663"/>
      <c r="AE1569" s="663"/>
      <c r="AF1569" s="663"/>
      <c r="AG1569" s="663"/>
      <c r="AH1569" s="663"/>
      <c r="AI1569" s="663"/>
      <c r="AJ1569" s="663"/>
      <c r="AK1569" s="663"/>
      <c r="AL1569" s="663"/>
      <c r="AM1569" s="663"/>
      <c r="AN1569" s="663"/>
    </row>
    <row r="1570" spans="2:40" ht="14.45" hidden="1" customHeight="1" x14ac:dyDescent="0.25">
      <c r="C1570" s="662"/>
      <c r="E1570" s="883" t="str">
        <f t="shared" si="3205"/>
        <v>Warrants -</v>
      </c>
      <c r="F1570" s="927">
        <f>L19*L51</f>
        <v>0</v>
      </c>
      <c r="G1570" s="926">
        <f t="shared" si="3206"/>
        <v>0</v>
      </c>
      <c r="U1570" s="663"/>
      <c r="Z1570" s="663"/>
      <c r="AA1570" s="663"/>
      <c r="AB1570" s="663"/>
      <c r="AC1570" s="663"/>
      <c r="AD1570" s="663"/>
      <c r="AE1570" s="663"/>
      <c r="AF1570" s="663"/>
      <c r="AG1570" s="663"/>
      <c r="AH1570" s="663"/>
      <c r="AI1570" s="663"/>
      <c r="AJ1570" s="663"/>
      <c r="AK1570" s="663"/>
      <c r="AL1570" s="663"/>
      <c r="AM1570" s="663"/>
      <c r="AN1570" s="663"/>
    </row>
    <row r="1571" spans="2:40" ht="14.45" hidden="1" customHeight="1" x14ac:dyDescent="0.25">
      <c r="C1571" s="662"/>
      <c r="E1571" s="883" t="str">
        <f t="shared" si="3205"/>
        <v>Warrants -</v>
      </c>
      <c r="F1571" s="927">
        <f>M19*M51</f>
        <v>0</v>
      </c>
      <c r="G1571" s="926">
        <f t="shared" si="3206"/>
        <v>0</v>
      </c>
      <c r="U1571" s="663"/>
      <c r="Z1571" s="663"/>
      <c r="AA1571" s="663"/>
      <c r="AB1571" s="663"/>
      <c r="AC1571" s="663"/>
      <c r="AD1571" s="663"/>
      <c r="AE1571" s="663"/>
      <c r="AF1571" s="663"/>
      <c r="AG1571" s="663"/>
      <c r="AH1571" s="663"/>
      <c r="AI1571" s="663"/>
      <c r="AJ1571" s="663"/>
      <c r="AK1571" s="663"/>
      <c r="AL1571" s="663"/>
      <c r="AM1571" s="663"/>
      <c r="AN1571" s="663"/>
    </row>
    <row r="1572" spans="2:40" ht="14.45" hidden="1" customHeight="1" x14ac:dyDescent="0.25">
      <c r="C1572" s="662"/>
      <c r="E1572" s="883" t="str">
        <f t="shared" si="3205"/>
        <v>Warrants -</v>
      </c>
      <c r="F1572" s="927">
        <f>N19*N51</f>
        <v>0</v>
      </c>
      <c r="G1572" s="926">
        <f t="shared" si="3206"/>
        <v>0</v>
      </c>
      <c r="U1572" s="663"/>
      <c r="Z1572" s="663"/>
      <c r="AA1572" s="663"/>
      <c r="AB1572" s="663"/>
      <c r="AC1572" s="663"/>
      <c r="AD1572" s="663"/>
      <c r="AE1572" s="663"/>
      <c r="AF1572" s="663"/>
      <c r="AG1572" s="663"/>
      <c r="AH1572" s="663"/>
      <c r="AI1572" s="663"/>
      <c r="AJ1572" s="663"/>
      <c r="AK1572" s="663"/>
      <c r="AL1572" s="663"/>
      <c r="AM1572" s="663"/>
      <c r="AN1572" s="663"/>
    </row>
    <row r="1573" spans="2:40" ht="14.45" hidden="1" customHeight="1" x14ac:dyDescent="0.25">
      <c r="C1573" s="662"/>
      <c r="E1573" s="883" t="str">
        <f t="shared" si="3205"/>
        <v>Warrants -</v>
      </c>
      <c r="F1573" s="927">
        <f>O19*O51</f>
        <v>0</v>
      </c>
      <c r="G1573" s="926">
        <f t="shared" si="3206"/>
        <v>0</v>
      </c>
      <c r="U1573" s="663"/>
      <c r="Z1573" s="663"/>
      <c r="AA1573" s="663"/>
      <c r="AB1573" s="663"/>
      <c r="AC1573" s="663"/>
      <c r="AD1573" s="663"/>
      <c r="AE1573" s="663"/>
      <c r="AF1573" s="663"/>
      <c r="AG1573" s="663"/>
      <c r="AH1573" s="663"/>
      <c r="AI1573" s="663"/>
      <c r="AJ1573" s="663"/>
      <c r="AK1573" s="663"/>
      <c r="AL1573" s="663"/>
      <c r="AM1573" s="663"/>
      <c r="AN1573" s="663"/>
    </row>
    <row r="1574" spans="2:40" ht="14.45" hidden="1" customHeight="1" x14ac:dyDescent="0.25">
      <c r="C1574" s="662"/>
      <c r="E1574" s="883" t="str">
        <f t="shared" si="3205"/>
        <v>Common</v>
      </c>
      <c r="F1574" s="927">
        <f>C26</f>
        <v>5200000</v>
      </c>
      <c r="G1574" s="926">
        <f t="shared" si="3206"/>
        <v>0.16645326504481434</v>
      </c>
      <c r="U1574" s="663"/>
      <c r="Z1574" s="663"/>
      <c r="AA1574" s="663"/>
      <c r="AB1574" s="663"/>
      <c r="AC1574" s="663"/>
      <c r="AD1574" s="663"/>
      <c r="AE1574" s="663"/>
      <c r="AF1574" s="663"/>
      <c r="AG1574" s="663"/>
      <c r="AH1574" s="663"/>
      <c r="AI1574" s="663"/>
      <c r="AJ1574" s="663"/>
      <c r="AK1574" s="663"/>
      <c r="AL1574" s="663"/>
      <c r="AM1574" s="663"/>
      <c r="AN1574" s="663"/>
    </row>
    <row r="1575" spans="2:40" ht="15" hidden="1" customHeight="1" thickBot="1" x14ac:dyDescent="0.3">
      <c r="C1575" s="662"/>
      <c r="E1575" s="883" t="str">
        <f t="shared" si="3205"/>
        <v>Options</v>
      </c>
      <c r="F1575" s="928">
        <f>D26</f>
        <v>0</v>
      </c>
      <c r="G1575" s="929">
        <f t="shared" si="3206"/>
        <v>0</v>
      </c>
      <c r="U1575" s="663"/>
      <c r="Z1575" s="663"/>
      <c r="AA1575" s="663"/>
      <c r="AB1575" s="663"/>
      <c r="AC1575" s="663"/>
      <c r="AD1575" s="663"/>
      <c r="AE1575" s="663"/>
      <c r="AF1575" s="663"/>
      <c r="AG1575" s="663"/>
      <c r="AH1575" s="663"/>
      <c r="AI1575" s="663"/>
      <c r="AJ1575" s="663"/>
      <c r="AK1575" s="663"/>
      <c r="AL1575" s="663"/>
      <c r="AM1575" s="663"/>
      <c r="AN1575" s="663"/>
    </row>
    <row r="1576" spans="2:40" ht="14.45" hidden="1" customHeight="1" x14ac:dyDescent="0.25">
      <c r="C1576" s="662"/>
      <c r="E1576" s="883"/>
      <c r="F1576" s="916">
        <f>SUM(F1554:F1575)</f>
        <v>31240000</v>
      </c>
      <c r="G1576" s="926">
        <f>SUM(G1554:G1575)</f>
        <v>0.99999999999999978</v>
      </c>
      <c r="U1576" s="663"/>
      <c r="Z1576" s="663"/>
      <c r="AA1576" s="663"/>
      <c r="AB1576" s="663"/>
      <c r="AC1576" s="663"/>
      <c r="AD1576" s="663"/>
      <c r="AE1576" s="663"/>
      <c r="AF1576" s="663"/>
      <c r="AG1576" s="663"/>
      <c r="AH1576" s="663"/>
      <c r="AI1576" s="663"/>
      <c r="AJ1576" s="663"/>
      <c r="AK1576" s="663"/>
      <c r="AL1576" s="663"/>
      <c r="AM1576" s="663"/>
      <c r="AN1576" s="663"/>
    </row>
    <row r="1577" spans="2:40" ht="14.45" hidden="1" customHeight="1" x14ac:dyDescent="0.25">
      <c r="C1577" s="662"/>
      <c r="E1577" s="883"/>
      <c r="U1577" s="663"/>
      <c r="Z1577" s="663"/>
      <c r="AA1577" s="663"/>
      <c r="AB1577" s="663"/>
      <c r="AC1577" s="663"/>
      <c r="AD1577" s="663"/>
      <c r="AE1577" s="663"/>
      <c r="AF1577" s="663"/>
      <c r="AG1577" s="663"/>
      <c r="AH1577" s="663"/>
      <c r="AI1577" s="663"/>
      <c r="AJ1577" s="663"/>
      <c r="AK1577" s="663"/>
      <c r="AL1577" s="663"/>
      <c r="AM1577" s="663"/>
      <c r="AN1577" s="663"/>
    </row>
    <row r="1578" spans="2:40" ht="14.45" hidden="1" customHeight="1" x14ac:dyDescent="0.25">
      <c r="C1578" s="662"/>
      <c r="U1578" s="663"/>
      <c r="Z1578" s="663"/>
      <c r="AA1578" s="663"/>
      <c r="AB1578" s="663"/>
      <c r="AC1578" s="663"/>
      <c r="AD1578" s="663"/>
      <c r="AE1578" s="663"/>
      <c r="AF1578" s="663"/>
      <c r="AG1578" s="663"/>
      <c r="AH1578" s="663"/>
      <c r="AI1578" s="663"/>
      <c r="AJ1578" s="663"/>
      <c r="AK1578" s="663"/>
      <c r="AL1578" s="663"/>
      <c r="AM1578" s="663"/>
      <c r="AN1578" s="663"/>
    </row>
    <row r="1579" spans="2:40" x14ac:dyDescent="0.25">
      <c r="C1579" s="662"/>
      <c r="U1579" s="663"/>
      <c r="Z1579" s="663"/>
      <c r="AA1579" s="663"/>
      <c r="AB1579" s="663"/>
      <c r="AC1579" s="663"/>
      <c r="AD1579" s="663"/>
      <c r="AE1579" s="663"/>
      <c r="AF1579" s="663"/>
      <c r="AG1579" s="663"/>
      <c r="AH1579" s="663"/>
      <c r="AI1579" s="663"/>
      <c r="AJ1579" s="663"/>
      <c r="AK1579" s="663"/>
      <c r="AL1579" s="663"/>
      <c r="AM1579" s="663"/>
      <c r="AN1579" s="663"/>
    </row>
    <row r="1580" spans="2:40" ht="26.25" x14ac:dyDescent="0.4">
      <c r="B1580" s="935" t="s">
        <v>125</v>
      </c>
      <c r="U1580" s="663"/>
      <c r="Z1580" s="663"/>
      <c r="AA1580" s="663"/>
      <c r="AB1580" s="663"/>
      <c r="AC1580" s="663"/>
      <c r="AD1580" s="663"/>
      <c r="AE1580" s="663"/>
      <c r="AF1580" s="663"/>
      <c r="AG1580" s="663"/>
      <c r="AH1580" s="663"/>
      <c r="AI1580" s="663"/>
      <c r="AJ1580" s="663"/>
      <c r="AK1580" s="663"/>
      <c r="AL1580" s="663"/>
      <c r="AM1580" s="663"/>
      <c r="AN1580" s="663"/>
    </row>
    <row r="1581" spans="2:40" x14ac:dyDescent="0.25">
      <c r="U1581" s="663"/>
      <c r="Z1581" s="663"/>
      <c r="AA1581" s="663"/>
      <c r="AB1581" s="663"/>
      <c r="AC1581" s="663"/>
      <c r="AD1581" s="663"/>
      <c r="AE1581" s="663"/>
      <c r="AF1581" s="663"/>
      <c r="AG1581" s="663"/>
      <c r="AH1581" s="663"/>
      <c r="AI1581" s="663"/>
      <c r="AJ1581" s="663"/>
      <c r="AK1581" s="663"/>
      <c r="AL1581" s="663"/>
      <c r="AM1581" s="663"/>
      <c r="AN1581" s="663"/>
    </row>
    <row r="1582" spans="2:40" x14ac:dyDescent="0.25">
      <c r="B1582" s="877" t="s">
        <v>126</v>
      </c>
      <c r="C1582" s="913">
        <v>75000000</v>
      </c>
      <c r="E1582" s="877"/>
      <c r="F1582" s="914" t="s">
        <v>127</v>
      </c>
      <c r="G1582" s="914" t="s">
        <v>128</v>
      </c>
      <c r="U1582" s="663"/>
      <c r="Z1582" s="663"/>
      <c r="AA1582" s="663"/>
      <c r="AB1582" s="663"/>
      <c r="AC1582" s="663"/>
      <c r="AD1582" s="663"/>
      <c r="AE1582" s="663"/>
      <c r="AF1582" s="663"/>
      <c r="AG1582" s="663"/>
      <c r="AH1582" s="663"/>
      <c r="AI1582" s="663"/>
      <c r="AJ1582" s="663"/>
      <c r="AK1582" s="663"/>
      <c r="AL1582" s="663"/>
      <c r="AM1582" s="663"/>
      <c r="AN1582" s="663"/>
    </row>
    <row r="1583" spans="2:40" x14ac:dyDescent="0.25">
      <c r="B1583" s="663" t="s">
        <v>129</v>
      </c>
      <c r="C1583" s="915">
        <v>1</v>
      </c>
      <c r="E1583" s="883" t="str">
        <f>E1554</f>
        <v>Series A</v>
      </c>
      <c r="F1583" s="888">
        <f>G1554</f>
        <v>0.16005121638924455</v>
      </c>
      <c r="G1583" s="888">
        <f>F1554/$C$1585</f>
        <v>4.7063253012048195E-2</v>
      </c>
      <c r="U1583" s="663"/>
      <c r="Z1583" s="663"/>
      <c r="AA1583" s="663"/>
      <c r="AB1583" s="663"/>
      <c r="AC1583" s="663"/>
      <c r="AD1583" s="663"/>
      <c r="AE1583" s="663"/>
      <c r="AF1583" s="663"/>
      <c r="AG1583" s="663"/>
      <c r="AH1583" s="663"/>
      <c r="AI1583" s="663"/>
      <c r="AJ1583" s="663"/>
      <c r="AK1583" s="663"/>
      <c r="AL1583" s="663"/>
      <c r="AM1583" s="663"/>
      <c r="AN1583" s="663"/>
    </row>
    <row r="1584" spans="2:40" x14ac:dyDescent="0.25">
      <c r="B1584" s="663" t="s">
        <v>130</v>
      </c>
      <c r="C1584" s="916">
        <f>C1582/C1583</f>
        <v>75000000</v>
      </c>
      <c r="E1584" s="883" t="str">
        <f t="shared" ref="E1584:E1604" si="3208">E1555</f>
        <v>Series B</v>
      </c>
      <c r="F1584" s="888">
        <f t="shared" ref="F1584:F1604" si="3209">G1555</f>
        <v>0.16005121638924455</v>
      </c>
      <c r="G1584" s="888">
        <f t="shared" ref="G1584:G1604" si="3210">F1555/$C$1585</f>
        <v>4.7063253012048195E-2</v>
      </c>
      <c r="U1584" s="663"/>
      <c r="Z1584" s="663"/>
      <c r="AA1584" s="663"/>
      <c r="AB1584" s="663"/>
      <c r="AC1584" s="663"/>
      <c r="AD1584" s="663"/>
      <c r="AE1584" s="663"/>
      <c r="AF1584" s="663"/>
      <c r="AG1584" s="663"/>
      <c r="AH1584" s="663"/>
      <c r="AI1584" s="663"/>
      <c r="AJ1584" s="663"/>
      <c r="AK1584" s="663"/>
      <c r="AL1584" s="663"/>
      <c r="AM1584" s="663"/>
      <c r="AN1584" s="663"/>
    </row>
    <row r="1585" spans="2:40" x14ac:dyDescent="0.25">
      <c r="B1585" s="663" t="s">
        <v>131</v>
      </c>
      <c r="C1585" s="916">
        <f>C1584+F1576</f>
        <v>106240000</v>
      </c>
      <c r="E1585" s="883" t="str">
        <f t="shared" si="3208"/>
        <v>Series C</v>
      </c>
      <c r="F1585" s="888">
        <f t="shared" si="3209"/>
        <v>0.19206145966709348</v>
      </c>
      <c r="G1585" s="888">
        <f t="shared" si="3210"/>
        <v>5.6475903614457833E-2</v>
      </c>
      <c r="U1585" s="663"/>
      <c r="Z1585" s="663"/>
      <c r="AA1585" s="663"/>
      <c r="AB1585" s="663"/>
      <c r="AC1585" s="663"/>
      <c r="AD1585" s="663"/>
      <c r="AE1585" s="663"/>
      <c r="AF1585" s="663"/>
      <c r="AG1585" s="663"/>
      <c r="AH1585" s="663"/>
      <c r="AI1585" s="663"/>
      <c r="AJ1585" s="663"/>
      <c r="AK1585" s="663"/>
      <c r="AL1585" s="663"/>
      <c r="AM1585" s="663"/>
      <c r="AN1585" s="663"/>
    </row>
    <row r="1586" spans="2:40" x14ac:dyDescent="0.25">
      <c r="C1586" s="916"/>
      <c r="E1586" s="883" t="str">
        <f t="shared" si="3208"/>
        <v>Series D</v>
      </c>
      <c r="F1586" s="888">
        <f t="shared" si="3209"/>
        <v>0.3201024327784891</v>
      </c>
      <c r="G1586" s="888">
        <f t="shared" si="3210"/>
        <v>9.412650602409639E-2</v>
      </c>
      <c r="U1586" s="663"/>
      <c r="Z1586" s="663"/>
      <c r="AA1586" s="663"/>
      <c r="AB1586" s="663"/>
      <c r="AC1586" s="663"/>
      <c r="AD1586" s="663"/>
      <c r="AE1586" s="663"/>
      <c r="AF1586" s="663"/>
      <c r="AG1586" s="663"/>
      <c r="AH1586" s="663"/>
      <c r="AI1586" s="663"/>
      <c r="AJ1586" s="663"/>
      <c r="AK1586" s="663"/>
      <c r="AL1586" s="663"/>
      <c r="AM1586" s="663"/>
      <c r="AN1586" s="663"/>
    </row>
    <row r="1587" spans="2:40" ht="15.75" thickBot="1" x14ac:dyDescent="0.3">
      <c r="B1587" s="917" t="s">
        <v>132</v>
      </c>
      <c r="C1587" s="918">
        <f>C1585*C1583</f>
        <v>106240000</v>
      </c>
      <c r="E1587" s="883" t="str">
        <f t="shared" si="3208"/>
        <v>-</v>
      </c>
      <c r="F1587" s="888">
        <f t="shared" si="3209"/>
        <v>0</v>
      </c>
      <c r="G1587" s="888">
        <f t="shared" si="3210"/>
        <v>0</v>
      </c>
      <c r="U1587" s="663"/>
      <c r="Z1587" s="663"/>
      <c r="AA1587" s="663"/>
      <c r="AB1587" s="663"/>
      <c r="AC1587" s="663"/>
      <c r="AD1587" s="663"/>
      <c r="AE1587" s="663"/>
      <c r="AF1587" s="663"/>
      <c r="AG1587" s="663"/>
      <c r="AH1587" s="663"/>
      <c r="AI1587" s="663"/>
      <c r="AJ1587" s="663"/>
      <c r="AK1587" s="663"/>
      <c r="AL1587" s="663"/>
      <c r="AM1587" s="663"/>
      <c r="AN1587" s="663"/>
    </row>
    <row r="1588" spans="2:40" x14ac:dyDescent="0.25">
      <c r="E1588" s="883" t="str">
        <f t="shared" si="3208"/>
        <v>-</v>
      </c>
      <c r="F1588" s="888">
        <f t="shared" si="3209"/>
        <v>0</v>
      </c>
      <c r="G1588" s="888">
        <f t="shared" si="3210"/>
        <v>0</v>
      </c>
      <c r="U1588" s="663"/>
      <c r="Z1588" s="663"/>
      <c r="AA1588" s="663"/>
      <c r="AB1588" s="663"/>
      <c r="AC1588" s="663"/>
      <c r="AD1588" s="663"/>
      <c r="AE1588" s="663"/>
      <c r="AF1588" s="663"/>
      <c r="AG1588" s="663"/>
      <c r="AH1588" s="663"/>
      <c r="AI1588" s="663"/>
      <c r="AJ1588" s="663"/>
      <c r="AK1588" s="663"/>
      <c r="AL1588" s="663"/>
      <c r="AM1588" s="663"/>
      <c r="AN1588" s="663"/>
    </row>
    <row r="1589" spans="2:40" x14ac:dyDescent="0.25">
      <c r="C1589" s="916"/>
      <c r="E1589" s="883" t="str">
        <f t="shared" si="3208"/>
        <v>-</v>
      </c>
      <c r="F1589" s="888">
        <f t="shared" si="3209"/>
        <v>0</v>
      </c>
      <c r="G1589" s="888">
        <f t="shared" si="3210"/>
        <v>0</v>
      </c>
      <c r="U1589" s="663"/>
      <c r="Z1589" s="663"/>
      <c r="AA1589" s="663"/>
      <c r="AB1589" s="663"/>
      <c r="AC1589" s="663"/>
      <c r="AD1589" s="663"/>
      <c r="AE1589" s="663"/>
      <c r="AF1589" s="663"/>
      <c r="AG1589" s="663"/>
      <c r="AH1589" s="663"/>
      <c r="AI1589" s="663"/>
      <c r="AJ1589" s="663"/>
      <c r="AK1589" s="663"/>
      <c r="AL1589" s="663"/>
      <c r="AM1589" s="663"/>
      <c r="AN1589" s="663"/>
    </row>
    <row r="1590" spans="2:40" x14ac:dyDescent="0.25">
      <c r="C1590" s="916"/>
      <c r="E1590" s="883" t="str">
        <f t="shared" si="3208"/>
        <v>-</v>
      </c>
      <c r="F1590" s="888">
        <f t="shared" si="3209"/>
        <v>0</v>
      </c>
      <c r="G1590" s="888">
        <f t="shared" si="3210"/>
        <v>0</v>
      </c>
      <c r="U1590" s="663"/>
      <c r="Z1590" s="663"/>
      <c r="AA1590" s="663"/>
      <c r="AB1590" s="663"/>
      <c r="AC1590" s="663"/>
      <c r="AD1590" s="663"/>
      <c r="AE1590" s="663"/>
      <c r="AF1590" s="663"/>
      <c r="AG1590" s="663"/>
      <c r="AH1590" s="663"/>
      <c r="AI1590" s="663"/>
      <c r="AJ1590" s="663"/>
      <c r="AK1590" s="663"/>
      <c r="AL1590" s="663"/>
      <c r="AM1590" s="663"/>
      <c r="AN1590" s="663"/>
    </row>
    <row r="1591" spans="2:40" x14ac:dyDescent="0.25">
      <c r="C1591" s="916"/>
      <c r="E1591" s="883" t="str">
        <f t="shared" si="3208"/>
        <v>-</v>
      </c>
      <c r="F1591" s="888">
        <f t="shared" si="3209"/>
        <v>0</v>
      </c>
      <c r="G1591" s="888">
        <f t="shared" si="3210"/>
        <v>0</v>
      </c>
      <c r="U1591" s="663"/>
      <c r="Z1591" s="663"/>
      <c r="AA1591" s="663"/>
      <c r="AB1591" s="663"/>
      <c r="AC1591" s="663"/>
      <c r="AD1591" s="663"/>
      <c r="AE1591" s="663"/>
      <c r="AF1591" s="663"/>
      <c r="AG1591" s="663"/>
      <c r="AH1591" s="663"/>
      <c r="AI1591" s="663"/>
      <c r="AJ1591" s="663"/>
      <c r="AK1591" s="663"/>
      <c r="AL1591" s="663"/>
      <c r="AM1591" s="663"/>
      <c r="AN1591" s="663"/>
    </row>
    <row r="1592" spans="2:40" x14ac:dyDescent="0.25">
      <c r="C1592" s="662"/>
      <c r="E1592" s="883" t="str">
        <f t="shared" si="3208"/>
        <v>-</v>
      </c>
      <c r="F1592" s="888">
        <f t="shared" si="3209"/>
        <v>0</v>
      </c>
      <c r="G1592" s="888">
        <f t="shared" si="3210"/>
        <v>0</v>
      </c>
      <c r="H1592" s="920"/>
      <c r="U1592" s="663"/>
      <c r="Z1592" s="663"/>
      <c r="AA1592" s="663"/>
      <c r="AB1592" s="663"/>
      <c r="AC1592" s="663"/>
      <c r="AD1592" s="663"/>
      <c r="AE1592" s="663"/>
      <c r="AF1592" s="663"/>
      <c r="AG1592" s="663"/>
      <c r="AH1592" s="663"/>
      <c r="AI1592" s="663"/>
      <c r="AJ1592" s="663"/>
      <c r="AK1592" s="663"/>
      <c r="AL1592" s="663"/>
      <c r="AM1592" s="663"/>
      <c r="AN1592" s="663"/>
    </row>
    <row r="1593" spans="2:40" x14ac:dyDescent="0.25">
      <c r="C1593" s="662"/>
      <c r="E1593" s="883" t="str">
        <f t="shared" si="3208"/>
        <v>Warrants Series A</v>
      </c>
      <c r="F1593" s="888">
        <f t="shared" si="3209"/>
        <v>3.201024327784891E-4</v>
      </c>
      <c r="G1593" s="888">
        <f t="shared" si="3210"/>
        <v>9.412650602409639E-5</v>
      </c>
      <c r="H1593" s="920"/>
      <c r="U1593" s="663"/>
      <c r="Z1593" s="663"/>
      <c r="AA1593" s="663"/>
      <c r="AB1593" s="663"/>
      <c r="AC1593" s="663"/>
      <c r="AD1593" s="663"/>
      <c r="AE1593" s="663"/>
      <c r="AF1593" s="663"/>
      <c r="AG1593" s="663"/>
      <c r="AH1593" s="663"/>
      <c r="AI1593" s="663"/>
      <c r="AJ1593" s="663"/>
      <c r="AK1593" s="663"/>
      <c r="AL1593" s="663"/>
      <c r="AM1593" s="663"/>
      <c r="AN1593" s="663"/>
    </row>
    <row r="1594" spans="2:40" x14ac:dyDescent="0.25">
      <c r="C1594" s="662"/>
      <c r="E1594" s="883" t="str">
        <f t="shared" si="3208"/>
        <v>Warrants Series B</v>
      </c>
      <c r="F1594" s="888">
        <f t="shared" si="3209"/>
        <v>3.201024327784891E-4</v>
      </c>
      <c r="G1594" s="888">
        <f t="shared" si="3210"/>
        <v>9.412650602409639E-5</v>
      </c>
      <c r="H1594" s="920"/>
      <c r="U1594" s="663"/>
      <c r="Z1594" s="663"/>
      <c r="AA1594" s="663"/>
      <c r="AB1594" s="663"/>
      <c r="AC1594" s="663"/>
      <c r="AD1594" s="663"/>
      <c r="AE1594" s="663"/>
      <c r="AF1594" s="663"/>
      <c r="AG1594" s="663"/>
      <c r="AH1594" s="663"/>
      <c r="AI1594" s="663"/>
      <c r="AJ1594" s="663"/>
      <c r="AK1594" s="663"/>
      <c r="AL1594" s="663"/>
      <c r="AM1594" s="663"/>
      <c r="AN1594" s="663"/>
    </row>
    <row r="1595" spans="2:40" x14ac:dyDescent="0.25">
      <c r="C1595" s="662"/>
      <c r="E1595" s="883" t="str">
        <f t="shared" si="3208"/>
        <v>Warrants Series C</v>
      </c>
      <c r="F1595" s="888">
        <f t="shared" si="3209"/>
        <v>3.201024327784891E-4</v>
      </c>
      <c r="G1595" s="888">
        <f t="shared" si="3210"/>
        <v>9.412650602409639E-5</v>
      </c>
      <c r="H1595" s="920"/>
      <c r="U1595" s="663"/>
      <c r="Z1595" s="663"/>
      <c r="AA1595" s="663"/>
      <c r="AB1595" s="663"/>
      <c r="AC1595" s="663"/>
      <c r="AD1595" s="663"/>
      <c r="AE1595" s="663"/>
      <c r="AF1595" s="663"/>
      <c r="AG1595" s="663"/>
      <c r="AH1595" s="663"/>
      <c r="AI1595" s="663"/>
      <c r="AJ1595" s="663"/>
      <c r="AK1595" s="663"/>
      <c r="AL1595" s="663"/>
      <c r="AM1595" s="663"/>
      <c r="AN1595" s="663"/>
    </row>
    <row r="1596" spans="2:40" x14ac:dyDescent="0.25">
      <c r="C1596" s="662"/>
      <c r="E1596" s="883" t="str">
        <f t="shared" si="3208"/>
        <v>Warrants Series D</v>
      </c>
      <c r="F1596" s="888">
        <f t="shared" si="3209"/>
        <v>3.201024327784891E-4</v>
      </c>
      <c r="G1596" s="888">
        <f t="shared" si="3210"/>
        <v>9.412650602409639E-5</v>
      </c>
      <c r="H1596" s="920"/>
      <c r="U1596" s="663"/>
      <c r="Z1596" s="663"/>
      <c r="AA1596" s="663"/>
      <c r="AB1596" s="663"/>
      <c r="AC1596" s="663"/>
      <c r="AD1596" s="663"/>
      <c r="AE1596" s="663"/>
      <c r="AF1596" s="663"/>
      <c r="AG1596" s="663"/>
      <c r="AH1596" s="663"/>
      <c r="AI1596" s="663"/>
      <c r="AJ1596" s="663"/>
      <c r="AK1596" s="663"/>
      <c r="AL1596" s="663"/>
      <c r="AM1596" s="663"/>
      <c r="AN1596" s="663"/>
    </row>
    <row r="1597" spans="2:40" x14ac:dyDescent="0.25">
      <c r="C1597" s="662"/>
      <c r="E1597" s="883" t="str">
        <f t="shared" si="3208"/>
        <v>Warrants -</v>
      </c>
      <c r="F1597" s="888">
        <f t="shared" si="3209"/>
        <v>0</v>
      </c>
      <c r="G1597" s="888">
        <f t="shared" si="3210"/>
        <v>0</v>
      </c>
      <c r="H1597" s="920"/>
      <c r="U1597" s="663"/>
      <c r="Z1597" s="663"/>
      <c r="AA1597" s="663"/>
      <c r="AB1597" s="663"/>
      <c r="AC1597" s="663"/>
      <c r="AD1597" s="663"/>
      <c r="AE1597" s="663"/>
      <c r="AF1597" s="663"/>
      <c r="AG1597" s="663"/>
      <c r="AH1597" s="663"/>
      <c r="AI1597" s="663"/>
      <c r="AJ1597" s="663"/>
      <c r="AK1597" s="663"/>
      <c r="AL1597" s="663"/>
      <c r="AM1597" s="663"/>
      <c r="AN1597" s="663"/>
    </row>
    <row r="1598" spans="2:40" x14ac:dyDescent="0.25">
      <c r="C1598" s="662"/>
      <c r="E1598" s="883" t="str">
        <f t="shared" si="3208"/>
        <v>Warrants -</v>
      </c>
      <c r="F1598" s="888">
        <f t="shared" si="3209"/>
        <v>0</v>
      </c>
      <c r="G1598" s="888">
        <f t="shared" si="3210"/>
        <v>0</v>
      </c>
      <c r="H1598" s="920"/>
      <c r="U1598" s="663"/>
      <c r="Z1598" s="663"/>
      <c r="AA1598" s="663"/>
      <c r="AB1598" s="663"/>
      <c r="AC1598" s="663"/>
      <c r="AD1598" s="663"/>
      <c r="AE1598" s="663"/>
      <c r="AF1598" s="663"/>
      <c r="AG1598" s="663"/>
      <c r="AH1598" s="663"/>
      <c r="AI1598" s="663"/>
      <c r="AJ1598" s="663"/>
      <c r="AK1598" s="663"/>
      <c r="AL1598" s="663"/>
      <c r="AM1598" s="663"/>
      <c r="AN1598" s="663"/>
    </row>
    <row r="1599" spans="2:40" x14ac:dyDescent="0.25">
      <c r="C1599" s="662"/>
      <c r="E1599" s="883" t="str">
        <f t="shared" si="3208"/>
        <v>Warrants -</v>
      </c>
      <c r="F1599" s="888">
        <f t="shared" si="3209"/>
        <v>0</v>
      </c>
      <c r="G1599" s="888">
        <f t="shared" si="3210"/>
        <v>0</v>
      </c>
      <c r="H1599" s="920"/>
      <c r="U1599" s="663"/>
      <c r="Z1599" s="663"/>
      <c r="AA1599" s="663"/>
      <c r="AB1599" s="663"/>
      <c r="AC1599" s="663"/>
      <c r="AD1599" s="663"/>
      <c r="AE1599" s="663"/>
      <c r="AF1599" s="663"/>
      <c r="AG1599" s="663"/>
      <c r="AH1599" s="663"/>
      <c r="AI1599" s="663"/>
      <c r="AJ1599" s="663"/>
      <c r="AK1599" s="663"/>
      <c r="AL1599" s="663"/>
      <c r="AM1599" s="663"/>
      <c r="AN1599" s="663"/>
    </row>
    <row r="1600" spans="2:40" x14ac:dyDescent="0.25">
      <c r="C1600" s="662"/>
      <c r="E1600" s="883" t="str">
        <f t="shared" si="3208"/>
        <v>Warrants -</v>
      </c>
      <c r="F1600" s="888">
        <f t="shared" si="3209"/>
        <v>0</v>
      </c>
      <c r="G1600" s="888">
        <f t="shared" si="3210"/>
        <v>0</v>
      </c>
      <c r="H1600" s="920"/>
      <c r="U1600" s="663"/>
      <c r="Z1600" s="663"/>
      <c r="AA1600" s="663"/>
      <c r="AB1600" s="663"/>
      <c r="AC1600" s="663"/>
      <c r="AD1600" s="663"/>
      <c r="AE1600" s="663"/>
      <c r="AF1600" s="663"/>
      <c r="AG1600" s="663"/>
      <c r="AH1600" s="663"/>
      <c r="AI1600" s="663"/>
      <c r="AJ1600" s="663"/>
      <c r="AK1600" s="663"/>
      <c r="AL1600" s="663"/>
      <c r="AM1600" s="663"/>
      <c r="AN1600" s="663"/>
    </row>
    <row r="1601" spans="2:40" x14ac:dyDescent="0.25">
      <c r="C1601" s="662"/>
      <c r="E1601" s="883" t="str">
        <f t="shared" si="3208"/>
        <v>Warrants -</v>
      </c>
      <c r="F1601" s="888">
        <f t="shared" si="3209"/>
        <v>0</v>
      </c>
      <c r="G1601" s="888">
        <f t="shared" si="3210"/>
        <v>0</v>
      </c>
      <c r="U1601" s="663"/>
      <c r="Z1601" s="663"/>
      <c r="AA1601" s="663"/>
      <c r="AB1601" s="663"/>
      <c r="AC1601" s="663"/>
      <c r="AD1601" s="663"/>
      <c r="AE1601" s="663"/>
      <c r="AF1601" s="663"/>
      <c r="AG1601" s="663"/>
      <c r="AH1601" s="663"/>
      <c r="AI1601" s="663"/>
      <c r="AJ1601" s="663"/>
      <c r="AK1601" s="663"/>
      <c r="AL1601" s="663"/>
      <c r="AM1601" s="663"/>
      <c r="AN1601" s="663"/>
    </row>
    <row r="1602" spans="2:40" x14ac:dyDescent="0.25">
      <c r="C1602" s="662"/>
      <c r="E1602" s="883" t="str">
        <f t="shared" si="3208"/>
        <v>Warrants -</v>
      </c>
      <c r="F1602" s="888">
        <f t="shared" si="3209"/>
        <v>0</v>
      </c>
      <c r="G1602" s="888">
        <f t="shared" si="3210"/>
        <v>0</v>
      </c>
      <c r="U1602" s="663"/>
      <c r="Z1602" s="663"/>
      <c r="AA1602" s="663"/>
      <c r="AB1602" s="663"/>
      <c r="AC1602" s="663"/>
      <c r="AD1602" s="663"/>
      <c r="AE1602" s="663"/>
      <c r="AF1602" s="663"/>
      <c r="AG1602" s="663"/>
      <c r="AH1602" s="663"/>
      <c r="AI1602" s="663"/>
      <c r="AJ1602" s="663"/>
      <c r="AK1602" s="663"/>
      <c r="AL1602" s="663"/>
      <c r="AM1602" s="663"/>
      <c r="AN1602" s="663"/>
    </row>
    <row r="1603" spans="2:40" x14ac:dyDescent="0.25">
      <c r="C1603" s="662"/>
      <c r="E1603" s="883" t="str">
        <f t="shared" si="3208"/>
        <v>Common</v>
      </c>
      <c r="F1603" s="888">
        <f t="shared" si="3209"/>
        <v>0.16645326504481434</v>
      </c>
      <c r="G1603" s="888">
        <f t="shared" si="3210"/>
        <v>4.8945783132530118E-2</v>
      </c>
      <c r="U1603" s="663"/>
      <c r="Z1603" s="663"/>
      <c r="AA1603" s="663"/>
      <c r="AB1603" s="663"/>
      <c r="AC1603" s="663"/>
      <c r="AD1603" s="663"/>
      <c r="AE1603" s="663"/>
      <c r="AF1603" s="663"/>
      <c r="AG1603" s="663"/>
      <c r="AH1603" s="663"/>
      <c r="AI1603" s="663"/>
      <c r="AJ1603" s="663"/>
      <c r="AK1603" s="663"/>
      <c r="AL1603" s="663"/>
      <c r="AM1603" s="663"/>
      <c r="AN1603" s="663"/>
    </row>
    <row r="1604" spans="2:40" x14ac:dyDescent="0.25">
      <c r="C1604" s="662"/>
      <c r="E1604" s="883" t="str">
        <f t="shared" si="3208"/>
        <v>Options</v>
      </c>
      <c r="F1604" s="888">
        <f t="shared" si="3209"/>
        <v>0</v>
      </c>
      <c r="G1604" s="888">
        <f t="shared" si="3210"/>
        <v>0</v>
      </c>
      <c r="U1604" s="663"/>
      <c r="Z1604" s="663"/>
      <c r="AA1604" s="663"/>
      <c r="AB1604" s="663"/>
      <c r="AC1604" s="663"/>
      <c r="AD1604" s="663"/>
      <c r="AE1604" s="663"/>
      <c r="AF1604" s="663"/>
      <c r="AG1604" s="663"/>
      <c r="AH1604" s="663"/>
      <c r="AI1604" s="663"/>
      <c r="AJ1604" s="663"/>
      <c r="AK1604" s="663"/>
      <c r="AL1604" s="663"/>
      <c r="AM1604" s="663"/>
      <c r="AN1604" s="663"/>
    </row>
    <row r="1605" spans="2:40" ht="15.75" thickBot="1" x14ac:dyDescent="0.3">
      <c r="C1605" s="662"/>
      <c r="E1605" s="663" t="s">
        <v>133</v>
      </c>
      <c r="F1605" s="919">
        <v>0</v>
      </c>
      <c r="G1605" s="919">
        <f>C1584/C1585</f>
        <v>0.70594879518072284</v>
      </c>
      <c r="U1605" s="663"/>
      <c r="Z1605" s="663"/>
      <c r="AA1605" s="663"/>
      <c r="AB1605" s="663"/>
      <c r="AC1605" s="663"/>
      <c r="AD1605" s="663"/>
      <c r="AE1605" s="663"/>
      <c r="AF1605" s="663"/>
      <c r="AG1605" s="663"/>
      <c r="AH1605" s="663"/>
      <c r="AI1605" s="663"/>
      <c r="AJ1605" s="663"/>
      <c r="AK1605" s="663"/>
      <c r="AL1605" s="663"/>
      <c r="AM1605" s="663"/>
      <c r="AN1605" s="663"/>
    </row>
    <row r="1606" spans="2:40" x14ac:dyDescent="0.25">
      <c r="C1606" s="662"/>
      <c r="F1606" s="888">
        <f>SUM(F1583:F1605)</f>
        <v>0.99999999999999978</v>
      </c>
      <c r="G1606" s="888">
        <f>SUM(G1583:G1605)</f>
        <v>0.99999999999999989</v>
      </c>
      <c r="U1606" s="663"/>
      <c r="Z1606" s="663"/>
      <c r="AA1606" s="663"/>
      <c r="AB1606" s="663"/>
      <c r="AC1606" s="663"/>
      <c r="AD1606" s="663"/>
      <c r="AE1606" s="663"/>
      <c r="AF1606" s="663"/>
      <c r="AG1606" s="663"/>
      <c r="AH1606" s="663"/>
      <c r="AI1606" s="663"/>
      <c r="AJ1606" s="663"/>
      <c r="AK1606" s="663"/>
      <c r="AL1606" s="663"/>
      <c r="AM1606" s="663"/>
      <c r="AN1606" s="663"/>
    </row>
    <row r="1607" spans="2:40" x14ac:dyDescent="0.25">
      <c r="C1607" s="662"/>
      <c r="U1607" s="663"/>
      <c r="Z1607" s="663"/>
      <c r="AA1607" s="663"/>
      <c r="AB1607" s="663"/>
      <c r="AC1607" s="663"/>
      <c r="AD1607" s="663"/>
      <c r="AE1607" s="663"/>
      <c r="AF1607" s="663"/>
      <c r="AG1607" s="663"/>
      <c r="AH1607" s="663"/>
      <c r="AI1607" s="663"/>
      <c r="AJ1607" s="663"/>
      <c r="AK1607" s="663"/>
      <c r="AL1607" s="663"/>
      <c r="AM1607" s="663"/>
      <c r="AN1607" s="663"/>
    </row>
    <row r="1608" spans="2:40" x14ac:dyDescent="0.25">
      <c r="C1608" s="662"/>
      <c r="U1608" s="663"/>
      <c r="Z1608" s="663"/>
      <c r="AA1608" s="663"/>
      <c r="AB1608" s="663"/>
      <c r="AC1608" s="663"/>
      <c r="AD1608" s="663"/>
      <c r="AE1608" s="663"/>
      <c r="AF1608" s="663"/>
      <c r="AG1608" s="663"/>
      <c r="AH1608" s="663"/>
      <c r="AI1608" s="663"/>
      <c r="AJ1608" s="663"/>
      <c r="AK1608" s="663"/>
      <c r="AL1608" s="663"/>
      <c r="AM1608" s="663"/>
      <c r="AN1608" s="663"/>
    </row>
    <row r="1609" spans="2:40" ht="15.75" thickBot="1" x14ac:dyDescent="0.3">
      <c r="C1609" s="662"/>
      <c r="U1609" s="663"/>
      <c r="Z1609" s="663"/>
      <c r="AA1609" s="663"/>
      <c r="AB1609" s="663"/>
      <c r="AC1609" s="663"/>
      <c r="AD1609" s="663"/>
      <c r="AE1609" s="663"/>
      <c r="AF1609" s="663"/>
      <c r="AG1609" s="663"/>
      <c r="AH1609" s="663"/>
      <c r="AI1609" s="663"/>
      <c r="AJ1609" s="663"/>
      <c r="AK1609" s="663"/>
      <c r="AL1609" s="663"/>
      <c r="AM1609" s="663"/>
      <c r="AN1609" s="663"/>
    </row>
    <row r="1610" spans="2:40" ht="15.75" x14ac:dyDescent="0.25">
      <c r="B1610" s="930" t="s">
        <v>138</v>
      </c>
      <c r="C1610" s="659">
        <v>100000000</v>
      </c>
      <c r="D1610" s="659">
        <f>+C1610+50000000</f>
        <v>150000000</v>
      </c>
      <c r="E1610" s="659">
        <f t="shared" ref="E1610:K1610" si="3211">+D1610+50000000</f>
        <v>200000000</v>
      </c>
      <c r="F1610" s="659">
        <f t="shared" si="3211"/>
        <v>250000000</v>
      </c>
      <c r="G1610" s="659">
        <f t="shared" si="3211"/>
        <v>300000000</v>
      </c>
      <c r="H1610" s="659">
        <f t="shared" si="3211"/>
        <v>350000000</v>
      </c>
      <c r="I1610" s="659">
        <f t="shared" si="3211"/>
        <v>400000000</v>
      </c>
      <c r="J1610" s="659">
        <f t="shared" si="3211"/>
        <v>450000000</v>
      </c>
      <c r="K1610" s="659">
        <f t="shared" si="3211"/>
        <v>500000000</v>
      </c>
      <c r="L1610" s="938">
        <v>550000000</v>
      </c>
      <c r="U1610" s="663"/>
      <c r="Z1610" s="663"/>
      <c r="AA1610" s="663"/>
      <c r="AB1610" s="663"/>
      <c r="AC1610" s="663"/>
      <c r="AD1610" s="663"/>
      <c r="AE1610" s="663"/>
      <c r="AF1610" s="663"/>
      <c r="AG1610" s="663"/>
      <c r="AH1610" s="663"/>
      <c r="AI1610" s="663"/>
      <c r="AJ1610" s="663"/>
      <c r="AK1610" s="663"/>
      <c r="AL1610" s="663"/>
      <c r="AM1610" s="663"/>
      <c r="AN1610" s="663"/>
    </row>
    <row r="1611" spans="2:40" ht="15.75" x14ac:dyDescent="0.25">
      <c r="B1611" s="660" t="s">
        <v>139</v>
      </c>
      <c r="C1611" s="666">
        <f>C1610-$C$1582</f>
        <v>25000000</v>
      </c>
      <c r="D1611" s="666">
        <f t="shared" ref="D1611:J1611" si="3212">D1610-$C$1582</f>
        <v>75000000</v>
      </c>
      <c r="E1611" s="666">
        <f t="shared" si="3212"/>
        <v>125000000</v>
      </c>
      <c r="F1611" s="666">
        <f t="shared" si="3212"/>
        <v>175000000</v>
      </c>
      <c r="G1611" s="666">
        <f t="shared" si="3212"/>
        <v>225000000</v>
      </c>
      <c r="H1611" s="666">
        <f t="shared" si="3212"/>
        <v>275000000</v>
      </c>
      <c r="I1611" s="666">
        <f t="shared" si="3212"/>
        <v>325000000</v>
      </c>
      <c r="J1611" s="666">
        <f t="shared" si="3212"/>
        <v>375000000</v>
      </c>
      <c r="K1611" s="666">
        <f t="shared" ref="K1611" si="3213">K1610-$C$1582</f>
        <v>425000000</v>
      </c>
      <c r="L1611" s="667">
        <f t="shared" ref="L1611" si="3214">L1610-$C$1582</f>
        <v>475000000</v>
      </c>
      <c r="U1611" s="663"/>
      <c r="Z1611" s="663"/>
      <c r="AA1611" s="663"/>
      <c r="AB1611" s="663"/>
      <c r="AC1611" s="663"/>
      <c r="AD1611" s="663"/>
      <c r="AE1611" s="663"/>
      <c r="AF1611" s="663"/>
      <c r="AG1611" s="663"/>
      <c r="AH1611" s="663"/>
      <c r="AI1611" s="663"/>
      <c r="AJ1611" s="663"/>
      <c r="AK1611" s="663"/>
      <c r="AL1611" s="663"/>
      <c r="AM1611" s="663"/>
      <c r="AN1611" s="663"/>
    </row>
    <row r="1612" spans="2:40" x14ac:dyDescent="0.25">
      <c r="B1612" s="668"/>
      <c r="C1612" s="662"/>
      <c r="L1612" s="664"/>
      <c r="U1612" s="663"/>
      <c r="Z1612" s="663"/>
      <c r="AA1612" s="663"/>
      <c r="AB1612" s="663"/>
      <c r="AC1612" s="663"/>
      <c r="AD1612" s="663"/>
      <c r="AE1612" s="663"/>
      <c r="AF1612" s="663"/>
      <c r="AG1612" s="663"/>
      <c r="AH1612" s="663"/>
      <c r="AI1612" s="663"/>
      <c r="AJ1612" s="663"/>
      <c r="AK1612" s="663"/>
      <c r="AL1612" s="663"/>
      <c r="AM1612" s="663"/>
      <c r="AN1612" s="663"/>
    </row>
    <row r="1613" spans="2:40" x14ac:dyDescent="0.25">
      <c r="B1613" s="668"/>
      <c r="C1613" s="662"/>
      <c r="L1613" s="664"/>
      <c r="U1613" s="663"/>
      <c r="Z1613" s="663"/>
      <c r="AA1613" s="663"/>
      <c r="AB1613" s="663"/>
      <c r="AC1613" s="663"/>
      <c r="AD1613" s="663"/>
      <c r="AE1613" s="663"/>
      <c r="AF1613" s="663"/>
      <c r="AG1613" s="663"/>
      <c r="AH1613" s="663"/>
      <c r="AI1613" s="663"/>
      <c r="AJ1613" s="663"/>
      <c r="AK1613" s="663"/>
      <c r="AL1613" s="663"/>
      <c r="AM1613" s="663"/>
      <c r="AN1613" s="663"/>
    </row>
    <row r="1614" spans="2:40" ht="15.75" x14ac:dyDescent="0.25">
      <c r="B1614" s="660" t="s">
        <v>112</v>
      </c>
      <c r="C1614" s="662"/>
      <c r="L1614" s="664"/>
      <c r="U1614" s="663"/>
      <c r="Z1614" s="663"/>
      <c r="AA1614" s="663"/>
      <c r="AB1614" s="663"/>
      <c r="AC1614" s="663"/>
      <c r="AD1614" s="663"/>
      <c r="AE1614" s="663"/>
      <c r="AF1614" s="663"/>
      <c r="AG1614" s="663"/>
      <c r="AH1614" s="663"/>
      <c r="AI1614" s="663"/>
      <c r="AJ1614" s="663"/>
      <c r="AK1614" s="663"/>
      <c r="AL1614" s="663"/>
      <c r="AM1614" s="663"/>
      <c r="AN1614" s="663"/>
    </row>
    <row r="1615" spans="2:40" x14ac:dyDescent="0.25">
      <c r="B1615" s="665" t="str">
        <f>E1583</f>
        <v>Series A</v>
      </c>
      <c r="C1615" s="662">
        <f>C$1610*$G1583</f>
        <v>4706325.3012048192</v>
      </c>
      <c r="D1615" s="662">
        <f t="shared" ref="D1615:H1615" si="3215">D$1610*$G1583</f>
        <v>7059487.9518072288</v>
      </c>
      <c r="E1615" s="662">
        <f t="shared" si="3215"/>
        <v>9412650.6024096385</v>
      </c>
      <c r="F1615" s="662">
        <f t="shared" si="3215"/>
        <v>11765813.253012048</v>
      </c>
      <c r="G1615" s="662">
        <f t="shared" si="3215"/>
        <v>14118975.903614458</v>
      </c>
      <c r="H1615" s="662">
        <f t="shared" si="3215"/>
        <v>16472138.554216869</v>
      </c>
      <c r="I1615" s="662">
        <f t="shared" ref="I1615:L1637" si="3216">I$1610*$G1583</f>
        <v>18825301.204819277</v>
      </c>
      <c r="J1615" s="662">
        <f t="shared" si="3216"/>
        <v>21178463.855421688</v>
      </c>
      <c r="K1615" s="662">
        <f t="shared" si="3216"/>
        <v>23531626.506024096</v>
      </c>
      <c r="L1615" s="939">
        <f t="shared" si="3216"/>
        <v>25884789.156626508</v>
      </c>
      <c r="U1615" s="663"/>
      <c r="Z1615" s="663"/>
      <c r="AA1615" s="663"/>
      <c r="AB1615" s="663"/>
      <c r="AC1615" s="663"/>
      <c r="AD1615" s="663"/>
      <c r="AE1615" s="663"/>
      <c r="AF1615" s="663"/>
      <c r="AG1615" s="663"/>
      <c r="AH1615" s="663"/>
      <c r="AI1615" s="663"/>
      <c r="AJ1615" s="663"/>
      <c r="AK1615" s="663"/>
      <c r="AL1615" s="663"/>
      <c r="AM1615" s="663"/>
      <c r="AN1615" s="663"/>
    </row>
    <row r="1616" spans="2:40" x14ac:dyDescent="0.25">
      <c r="B1616" s="665" t="str">
        <f t="shared" ref="B1616:B1637" si="3217">E1584</f>
        <v>Series B</v>
      </c>
      <c r="C1616" s="662">
        <f t="shared" ref="C1616:H1637" si="3218">C$1610*$G1584</f>
        <v>4706325.3012048192</v>
      </c>
      <c r="D1616" s="662">
        <f t="shared" si="3218"/>
        <v>7059487.9518072288</v>
      </c>
      <c r="E1616" s="662">
        <f t="shared" si="3218"/>
        <v>9412650.6024096385</v>
      </c>
      <c r="F1616" s="662">
        <f t="shared" si="3218"/>
        <v>11765813.253012048</v>
      </c>
      <c r="G1616" s="662">
        <f t="shared" si="3218"/>
        <v>14118975.903614458</v>
      </c>
      <c r="H1616" s="662">
        <f t="shared" si="3218"/>
        <v>16472138.554216869</v>
      </c>
      <c r="I1616" s="662">
        <f t="shared" si="3216"/>
        <v>18825301.204819277</v>
      </c>
      <c r="J1616" s="662">
        <f t="shared" si="3216"/>
        <v>21178463.855421688</v>
      </c>
      <c r="K1616" s="662">
        <f t="shared" si="3216"/>
        <v>23531626.506024096</v>
      </c>
      <c r="L1616" s="939">
        <f t="shared" si="3216"/>
        <v>25884789.156626508</v>
      </c>
      <c r="U1616" s="663"/>
      <c r="Z1616" s="663"/>
      <c r="AA1616" s="663"/>
      <c r="AB1616" s="663"/>
      <c r="AC1616" s="663"/>
      <c r="AD1616" s="663"/>
      <c r="AE1616" s="663"/>
      <c r="AF1616" s="663"/>
      <c r="AG1616" s="663"/>
      <c r="AH1616" s="663"/>
      <c r="AI1616" s="663"/>
      <c r="AJ1616" s="663"/>
      <c r="AK1616" s="663"/>
      <c r="AL1616" s="663"/>
      <c r="AM1616" s="663"/>
      <c r="AN1616" s="663"/>
    </row>
    <row r="1617" spans="2:40" x14ac:dyDescent="0.25">
      <c r="B1617" s="665" t="str">
        <f t="shared" si="3217"/>
        <v>Series C</v>
      </c>
      <c r="C1617" s="662">
        <f t="shared" si="3218"/>
        <v>5647590.3614457836</v>
      </c>
      <c r="D1617" s="662">
        <f t="shared" si="3218"/>
        <v>8471385.542168675</v>
      </c>
      <c r="E1617" s="662">
        <f t="shared" si="3218"/>
        <v>11295180.722891567</v>
      </c>
      <c r="F1617" s="662">
        <f t="shared" si="3218"/>
        <v>14118975.903614458</v>
      </c>
      <c r="G1617" s="662">
        <f t="shared" si="3218"/>
        <v>16942771.08433735</v>
      </c>
      <c r="H1617" s="662">
        <f t="shared" si="3218"/>
        <v>19766566.265060242</v>
      </c>
      <c r="I1617" s="662">
        <f t="shared" si="3216"/>
        <v>22590361.445783135</v>
      </c>
      <c r="J1617" s="662">
        <f t="shared" si="3216"/>
        <v>25414156.626506023</v>
      </c>
      <c r="K1617" s="662">
        <f t="shared" si="3216"/>
        <v>28237951.807228915</v>
      </c>
      <c r="L1617" s="939">
        <f t="shared" si="3216"/>
        <v>31061746.987951808</v>
      </c>
      <c r="U1617" s="663"/>
      <c r="Z1617" s="663"/>
      <c r="AA1617" s="663"/>
      <c r="AB1617" s="663"/>
      <c r="AC1617" s="663"/>
      <c r="AD1617" s="663"/>
      <c r="AE1617" s="663"/>
      <c r="AF1617" s="663"/>
      <c r="AG1617" s="663"/>
      <c r="AH1617" s="663"/>
      <c r="AI1617" s="663"/>
      <c r="AJ1617" s="663"/>
      <c r="AK1617" s="663"/>
      <c r="AL1617" s="663"/>
      <c r="AM1617" s="663"/>
      <c r="AN1617" s="663"/>
    </row>
    <row r="1618" spans="2:40" x14ac:dyDescent="0.25">
      <c r="B1618" s="665" t="str">
        <f t="shared" si="3217"/>
        <v>Series D</v>
      </c>
      <c r="C1618" s="662">
        <f t="shared" si="3218"/>
        <v>9412650.6024096385</v>
      </c>
      <c r="D1618" s="662">
        <f t="shared" si="3218"/>
        <v>14118975.903614458</v>
      </c>
      <c r="E1618" s="662">
        <f t="shared" si="3218"/>
        <v>18825301.204819277</v>
      </c>
      <c r="F1618" s="662">
        <f t="shared" si="3218"/>
        <v>23531626.506024096</v>
      </c>
      <c r="G1618" s="662">
        <f t="shared" si="3218"/>
        <v>28237951.807228915</v>
      </c>
      <c r="H1618" s="662">
        <f t="shared" si="3218"/>
        <v>32944277.108433738</v>
      </c>
      <c r="I1618" s="662">
        <f t="shared" si="3216"/>
        <v>37650602.409638554</v>
      </c>
      <c r="J1618" s="662">
        <f t="shared" si="3216"/>
        <v>42356927.710843377</v>
      </c>
      <c r="K1618" s="662">
        <f t="shared" si="3216"/>
        <v>47063253.012048192</v>
      </c>
      <c r="L1618" s="939">
        <f t="shared" si="3216"/>
        <v>51769578.313253015</v>
      </c>
      <c r="U1618" s="663"/>
      <c r="Z1618" s="663"/>
      <c r="AA1618" s="663"/>
      <c r="AB1618" s="663"/>
      <c r="AC1618" s="663"/>
      <c r="AD1618" s="663"/>
      <c r="AE1618" s="663"/>
      <c r="AF1618" s="663"/>
      <c r="AG1618" s="663"/>
      <c r="AH1618" s="663"/>
      <c r="AI1618" s="663"/>
      <c r="AJ1618" s="663"/>
      <c r="AK1618" s="663"/>
      <c r="AL1618" s="663"/>
      <c r="AM1618" s="663"/>
      <c r="AN1618" s="663"/>
    </row>
    <row r="1619" spans="2:40" x14ac:dyDescent="0.25">
      <c r="B1619" s="665" t="str">
        <f t="shared" si="3217"/>
        <v>-</v>
      </c>
      <c r="C1619" s="662">
        <f t="shared" si="3218"/>
        <v>0</v>
      </c>
      <c r="D1619" s="662">
        <f t="shared" si="3218"/>
        <v>0</v>
      </c>
      <c r="E1619" s="662">
        <f t="shared" si="3218"/>
        <v>0</v>
      </c>
      <c r="F1619" s="662">
        <f t="shared" si="3218"/>
        <v>0</v>
      </c>
      <c r="G1619" s="662">
        <f t="shared" si="3218"/>
        <v>0</v>
      </c>
      <c r="H1619" s="662">
        <f t="shared" si="3218"/>
        <v>0</v>
      </c>
      <c r="I1619" s="662">
        <f t="shared" si="3216"/>
        <v>0</v>
      </c>
      <c r="J1619" s="662">
        <f t="shared" si="3216"/>
        <v>0</v>
      </c>
      <c r="K1619" s="662">
        <f t="shared" si="3216"/>
        <v>0</v>
      </c>
      <c r="L1619" s="939">
        <f t="shared" si="3216"/>
        <v>0</v>
      </c>
      <c r="U1619" s="663"/>
      <c r="Z1619" s="663"/>
      <c r="AA1619" s="663"/>
      <c r="AB1619" s="663"/>
      <c r="AC1619" s="663"/>
      <c r="AD1619" s="663"/>
      <c r="AE1619" s="663"/>
      <c r="AF1619" s="663"/>
      <c r="AG1619" s="663"/>
      <c r="AH1619" s="663"/>
      <c r="AI1619" s="663"/>
      <c r="AJ1619" s="663"/>
      <c r="AK1619" s="663"/>
      <c r="AL1619" s="663"/>
      <c r="AM1619" s="663"/>
      <c r="AN1619" s="663"/>
    </row>
    <row r="1620" spans="2:40" x14ac:dyDescent="0.25">
      <c r="B1620" s="665" t="str">
        <f t="shared" si="3217"/>
        <v>-</v>
      </c>
      <c r="C1620" s="662">
        <f t="shared" si="3218"/>
        <v>0</v>
      </c>
      <c r="D1620" s="662">
        <f t="shared" si="3218"/>
        <v>0</v>
      </c>
      <c r="E1620" s="662">
        <f t="shared" si="3218"/>
        <v>0</v>
      </c>
      <c r="F1620" s="662">
        <f t="shared" si="3218"/>
        <v>0</v>
      </c>
      <c r="G1620" s="662">
        <f t="shared" si="3218"/>
        <v>0</v>
      </c>
      <c r="H1620" s="662">
        <f t="shared" si="3218"/>
        <v>0</v>
      </c>
      <c r="I1620" s="662">
        <f t="shared" si="3216"/>
        <v>0</v>
      </c>
      <c r="J1620" s="662">
        <f t="shared" si="3216"/>
        <v>0</v>
      </c>
      <c r="K1620" s="662">
        <f t="shared" si="3216"/>
        <v>0</v>
      </c>
      <c r="L1620" s="939">
        <f t="shared" si="3216"/>
        <v>0</v>
      </c>
      <c r="U1620" s="663"/>
      <c r="Z1620" s="663"/>
      <c r="AA1620" s="663"/>
      <c r="AB1620" s="663"/>
      <c r="AC1620" s="663"/>
      <c r="AD1620" s="663"/>
      <c r="AE1620" s="663"/>
      <c r="AF1620" s="663"/>
      <c r="AG1620" s="663"/>
      <c r="AH1620" s="663"/>
      <c r="AI1620" s="663"/>
      <c r="AJ1620" s="663"/>
      <c r="AK1620" s="663"/>
      <c r="AL1620" s="663"/>
      <c r="AM1620" s="663"/>
      <c r="AN1620" s="663"/>
    </row>
    <row r="1621" spans="2:40" x14ac:dyDescent="0.25">
      <c r="B1621" s="665" t="str">
        <f t="shared" si="3217"/>
        <v>-</v>
      </c>
      <c r="C1621" s="662">
        <f t="shared" si="3218"/>
        <v>0</v>
      </c>
      <c r="D1621" s="662">
        <f t="shared" si="3218"/>
        <v>0</v>
      </c>
      <c r="E1621" s="662">
        <f t="shared" si="3218"/>
        <v>0</v>
      </c>
      <c r="F1621" s="662">
        <f t="shared" si="3218"/>
        <v>0</v>
      </c>
      <c r="G1621" s="662">
        <f t="shared" si="3218"/>
        <v>0</v>
      </c>
      <c r="H1621" s="662">
        <f t="shared" si="3218"/>
        <v>0</v>
      </c>
      <c r="I1621" s="662">
        <f t="shared" si="3216"/>
        <v>0</v>
      </c>
      <c r="J1621" s="662">
        <f t="shared" si="3216"/>
        <v>0</v>
      </c>
      <c r="K1621" s="662">
        <f t="shared" si="3216"/>
        <v>0</v>
      </c>
      <c r="L1621" s="939">
        <f t="shared" si="3216"/>
        <v>0</v>
      </c>
      <c r="U1621" s="663"/>
      <c r="Z1621" s="663"/>
      <c r="AA1621" s="663"/>
      <c r="AB1621" s="663"/>
      <c r="AC1621" s="663"/>
      <c r="AD1621" s="663"/>
      <c r="AE1621" s="663"/>
      <c r="AF1621" s="663"/>
      <c r="AG1621" s="663"/>
      <c r="AH1621" s="663"/>
      <c r="AI1621" s="663"/>
      <c r="AJ1621" s="663"/>
      <c r="AK1621" s="663"/>
      <c r="AL1621" s="663"/>
      <c r="AM1621" s="663"/>
      <c r="AN1621" s="663"/>
    </row>
    <row r="1622" spans="2:40" x14ac:dyDescent="0.25">
      <c r="B1622" s="665" t="str">
        <f t="shared" si="3217"/>
        <v>-</v>
      </c>
      <c r="C1622" s="662">
        <f t="shared" si="3218"/>
        <v>0</v>
      </c>
      <c r="D1622" s="662">
        <f t="shared" si="3218"/>
        <v>0</v>
      </c>
      <c r="E1622" s="662">
        <f t="shared" si="3218"/>
        <v>0</v>
      </c>
      <c r="F1622" s="662">
        <f t="shared" si="3218"/>
        <v>0</v>
      </c>
      <c r="G1622" s="662">
        <f t="shared" si="3218"/>
        <v>0</v>
      </c>
      <c r="H1622" s="662">
        <f t="shared" si="3218"/>
        <v>0</v>
      </c>
      <c r="I1622" s="662">
        <f t="shared" si="3216"/>
        <v>0</v>
      </c>
      <c r="J1622" s="662">
        <f t="shared" si="3216"/>
        <v>0</v>
      </c>
      <c r="K1622" s="662">
        <f t="shared" si="3216"/>
        <v>0</v>
      </c>
      <c r="L1622" s="939">
        <f t="shared" si="3216"/>
        <v>0</v>
      </c>
      <c r="U1622" s="663"/>
      <c r="Z1622" s="663"/>
      <c r="AA1622" s="663"/>
      <c r="AB1622" s="663"/>
      <c r="AC1622" s="663"/>
      <c r="AD1622" s="663"/>
      <c r="AE1622" s="663"/>
      <c r="AF1622" s="663"/>
      <c r="AG1622" s="663"/>
      <c r="AH1622" s="663"/>
      <c r="AI1622" s="663"/>
      <c r="AJ1622" s="663"/>
      <c r="AK1622" s="663"/>
      <c r="AL1622" s="663"/>
      <c r="AM1622" s="663"/>
      <c r="AN1622" s="663"/>
    </row>
    <row r="1623" spans="2:40" x14ac:dyDescent="0.25">
      <c r="B1623" s="665" t="str">
        <f t="shared" si="3217"/>
        <v>-</v>
      </c>
      <c r="C1623" s="662">
        <f t="shared" si="3218"/>
        <v>0</v>
      </c>
      <c r="D1623" s="662">
        <f t="shared" si="3218"/>
        <v>0</v>
      </c>
      <c r="E1623" s="662">
        <f t="shared" si="3218"/>
        <v>0</v>
      </c>
      <c r="F1623" s="662">
        <f t="shared" si="3218"/>
        <v>0</v>
      </c>
      <c r="G1623" s="662">
        <f t="shared" si="3218"/>
        <v>0</v>
      </c>
      <c r="H1623" s="662">
        <f t="shared" si="3218"/>
        <v>0</v>
      </c>
      <c r="I1623" s="662">
        <f t="shared" si="3216"/>
        <v>0</v>
      </c>
      <c r="J1623" s="662">
        <f t="shared" si="3216"/>
        <v>0</v>
      </c>
      <c r="K1623" s="662">
        <f t="shared" si="3216"/>
        <v>0</v>
      </c>
      <c r="L1623" s="939">
        <f t="shared" si="3216"/>
        <v>0</v>
      </c>
      <c r="U1623" s="663"/>
      <c r="Z1623" s="663"/>
      <c r="AA1623" s="663"/>
      <c r="AB1623" s="663"/>
      <c r="AC1623" s="663"/>
      <c r="AD1623" s="663"/>
      <c r="AE1623" s="663"/>
      <c r="AF1623" s="663"/>
      <c r="AG1623" s="663"/>
      <c r="AH1623" s="663"/>
      <c r="AI1623" s="663"/>
      <c r="AJ1623" s="663"/>
      <c r="AK1623" s="663"/>
      <c r="AL1623" s="663"/>
      <c r="AM1623" s="663"/>
      <c r="AN1623" s="663"/>
    </row>
    <row r="1624" spans="2:40" x14ac:dyDescent="0.25">
      <c r="B1624" s="665" t="str">
        <f t="shared" si="3217"/>
        <v>-</v>
      </c>
      <c r="C1624" s="662">
        <f t="shared" si="3218"/>
        <v>0</v>
      </c>
      <c r="D1624" s="662">
        <f t="shared" si="3218"/>
        <v>0</v>
      </c>
      <c r="E1624" s="662">
        <f t="shared" si="3218"/>
        <v>0</v>
      </c>
      <c r="F1624" s="662">
        <f t="shared" si="3218"/>
        <v>0</v>
      </c>
      <c r="G1624" s="662">
        <f t="shared" si="3218"/>
        <v>0</v>
      </c>
      <c r="H1624" s="662">
        <f t="shared" si="3218"/>
        <v>0</v>
      </c>
      <c r="I1624" s="662">
        <f t="shared" si="3216"/>
        <v>0</v>
      </c>
      <c r="J1624" s="662">
        <f t="shared" si="3216"/>
        <v>0</v>
      </c>
      <c r="K1624" s="662">
        <f t="shared" si="3216"/>
        <v>0</v>
      </c>
      <c r="L1624" s="939">
        <f t="shared" si="3216"/>
        <v>0</v>
      </c>
      <c r="M1624" s="669"/>
      <c r="N1624" s="669"/>
      <c r="O1624" s="669"/>
      <c r="P1624" s="669"/>
      <c r="Q1624" s="669"/>
      <c r="R1624" s="669"/>
      <c r="U1624" s="663"/>
      <c r="Z1624" s="663"/>
      <c r="AA1624" s="663"/>
      <c r="AB1624" s="663"/>
      <c r="AC1624" s="663"/>
      <c r="AD1624" s="663"/>
      <c r="AE1624" s="663"/>
      <c r="AF1624" s="663"/>
      <c r="AG1624" s="663"/>
      <c r="AH1624" s="663"/>
      <c r="AI1624" s="663"/>
      <c r="AJ1624" s="663"/>
      <c r="AK1624" s="663"/>
      <c r="AL1624" s="663"/>
      <c r="AM1624" s="663"/>
      <c r="AN1624" s="663"/>
    </row>
    <row r="1625" spans="2:40" x14ac:dyDescent="0.25">
      <c r="B1625" s="665" t="str">
        <f t="shared" si="3217"/>
        <v>Warrants Series A</v>
      </c>
      <c r="C1625" s="662">
        <f t="shared" si="3218"/>
        <v>9412.6506024096398</v>
      </c>
      <c r="D1625" s="662">
        <f t="shared" si="3218"/>
        <v>14118.975903614459</v>
      </c>
      <c r="E1625" s="662">
        <f t="shared" si="3218"/>
        <v>18825.30120481928</v>
      </c>
      <c r="F1625" s="662">
        <f t="shared" si="3218"/>
        <v>23531.626506024098</v>
      </c>
      <c r="G1625" s="662">
        <f t="shared" si="3218"/>
        <v>28237.951807228917</v>
      </c>
      <c r="H1625" s="662">
        <f t="shared" si="3218"/>
        <v>32944.277108433736</v>
      </c>
      <c r="I1625" s="662">
        <f t="shared" si="3216"/>
        <v>37650.602409638559</v>
      </c>
      <c r="J1625" s="662">
        <f t="shared" si="3216"/>
        <v>42356.927710843374</v>
      </c>
      <c r="K1625" s="662">
        <f t="shared" si="3216"/>
        <v>47063.253012048197</v>
      </c>
      <c r="L1625" s="939">
        <f t="shared" si="3216"/>
        <v>51769.578313253012</v>
      </c>
      <c r="M1625" s="669"/>
      <c r="N1625" s="669"/>
      <c r="O1625" s="669"/>
      <c r="P1625" s="669"/>
      <c r="Q1625" s="669"/>
      <c r="R1625" s="669"/>
      <c r="U1625" s="663"/>
      <c r="Z1625" s="663"/>
      <c r="AA1625" s="663"/>
      <c r="AB1625" s="663"/>
      <c r="AC1625" s="663"/>
      <c r="AD1625" s="663"/>
      <c r="AE1625" s="663"/>
      <c r="AF1625" s="663"/>
      <c r="AG1625" s="663"/>
      <c r="AH1625" s="663"/>
      <c r="AI1625" s="663"/>
      <c r="AJ1625" s="663"/>
      <c r="AK1625" s="663"/>
      <c r="AL1625" s="663"/>
      <c r="AM1625" s="663"/>
      <c r="AN1625" s="663"/>
    </row>
    <row r="1626" spans="2:40" x14ac:dyDescent="0.25">
      <c r="B1626" s="665" t="str">
        <f t="shared" si="3217"/>
        <v>Warrants Series B</v>
      </c>
      <c r="C1626" s="662">
        <f t="shared" si="3218"/>
        <v>9412.6506024096398</v>
      </c>
      <c r="D1626" s="662">
        <f t="shared" si="3218"/>
        <v>14118.975903614459</v>
      </c>
      <c r="E1626" s="662">
        <f t="shared" si="3218"/>
        <v>18825.30120481928</v>
      </c>
      <c r="F1626" s="662">
        <f t="shared" si="3218"/>
        <v>23531.626506024098</v>
      </c>
      <c r="G1626" s="662">
        <f t="shared" si="3218"/>
        <v>28237.951807228917</v>
      </c>
      <c r="H1626" s="662">
        <f t="shared" si="3218"/>
        <v>32944.277108433736</v>
      </c>
      <c r="I1626" s="662">
        <f t="shared" si="3216"/>
        <v>37650.602409638559</v>
      </c>
      <c r="J1626" s="662">
        <f t="shared" si="3216"/>
        <v>42356.927710843374</v>
      </c>
      <c r="K1626" s="662">
        <f t="shared" si="3216"/>
        <v>47063.253012048197</v>
      </c>
      <c r="L1626" s="939">
        <f t="shared" si="3216"/>
        <v>51769.578313253012</v>
      </c>
      <c r="M1626" s="669"/>
      <c r="N1626" s="669"/>
      <c r="O1626" s="669"/>
      <c r="P1626" s="669"/>
      <c r="Q1626" s="669"/>
      <c r="R1626" s="669"/>
      <c r="U1626" s="663"/>
      <c r="Z1626" s="663"/>
      <c r="AA1626" s="663"/>
      <c r="AB1626" s="663"/>
      <c r="AC1626" s="663"/>
      <c r="AD1626" s="663"/>
      <c r="AE1626" s="663"/>
      <c r="AF1626" s="663"/>
      <c r="AG1626" s="663"/>
      <c r="AH1626" s="663"/>
      <c r="AI1626" s="663"/>
      <c r="AJ1626" s="663"/>
      <c r="AK1626" s="663"/>
      <c r="AL1626" s="663"/>
      <c r="AM1626" s="663"/>
      <c r="AN1626" s="663"/>
    </row>
    <row r="1627" spans="2:40" x14ac:dyDescent="0.25">
      <c r="B1627" s="665" t="str">
        <f t="shared" si="3217"/>
        <v>Warrants Series C</v>
      </c>
      <c r="C1627" s="662">
        <f t="shared" si="3218"/>
        <v>9412.6506024096398</v>
      </c>
      <c r="D1627" s="662">
        <f t="shared" si="3218"/>
        <v>14118.975903614459</v>
      </c>
      <c r="E1627" s="662">
        <f t="shared" si="3218"/>
        <v>18825.30120481928</v>
      </c>
      <c r="F1627" s="662">
        <f t="shared" si="3218"/>
        <v>23531.626506024098</v>
      </c>
      <c r="G1627" s="662">
        <f t="shared" si="3218"/>
        <v>28237.951807228917</v>
      </c>
      <c r="H1627" s="662">
        <f t="shared" si="3218"/>
        <v>32944.277108433736</v>
      </c>
      <c r="I1627" s="662">
        <f t="shared" si="3216"/>
        <v>37650.602409638559</v>
      </c>
      <c r="J1627" s="662">
        <f t="shared" si="3216"/>
        <v>42356.927710843374</v>
      </c>
      <c r="K1627" s="662">
        <f t="shared" si="3216"/>
        <v>47063.253012048197</v>
      </c>
      <c r="L1627" s="939">
        <f t="shared" si="3216"/>
        <v>51769.578313253012</v>
      </c>
      <c r="M1627" s="669"/>
      <c r="N1627" s="669"/>
      <c r="O1627" s="669"/>
      <c r="P1627" s="669"/>
      <c r="Q1627" s="669"/>
      <c r="R1627" s="669"/>
      <c r="U1627" s="663"/>
      <c r="Z1627" s="663"/>
      <c r="AA1627" s="663"/>
      <c r="AB1627" s="663"/>
      <c r="AC1627" s="663"/>
      <c r="AD1627" s="663"/>
      <c r="AE1627" s="663"/>
      <c r="AF1627" s="663"/>
      <c r="AG1627" s="663"/>
      <c r="AH1627" s="663"/>
      <c r="AI1627" s="663"/>
      <c r="AJ1627" s="663"/>
      <c r="AK1627" s="663"/>
      <c r="AL1627" s="663"/>
      <c r="AM1627" s="663"/>
      <c r="AN1627" s="663"/>
    </row>
    <row r="1628" spans="2:40" x14ac:dyDescent="0.25">
      <c r="B1628" s="665" t="str">
        <f t="shared" si="3217"/>
        <v>Warrants Series D</v>
      </c>
      <c r="C1628" s="662">
        <f t="shared" si="3218"/>
        <v>9412.6506024096398</v>
      </c>
      <c r="D1628" s="662">
        <f t="shared" si="3218"/>
        <v>14118.975903614459</v>
      </c>
      <c r="E1628" s="662">
        <f t="shared" si="3218"/>
        <v>18825.30120481928</v>
      </c>
      <c r="F1628" s="662">
        <f t="shared" si="3218"/>
        <v>23531.626506024098</v>
      </c>
      <c r="G1628" s="662">
        <f t="shared" si="3218"/>
        <v>28237.951807228917</v>
      </c>
      <c r="H1628" s="662">
        <f t="shared" si="3218"/>
        <v>32944.277108433736</v>
      </c>
      <c r="I1628" s="662">
        <f t="shared" si="3216"/>
        <v>37650.602409638559</v>
      </c>
      <c r="J1628" s="662">
        <f t="shared" si="3216"/>
        <v>42356.927710843374</v>
      </c>
      <c r="K1628" s="662">
        <f t="shared" si="3216"/>
        <v>47063.253012048197</v>
      </c>
      <c r="L1628" s="939">
        <f t="shared" si="3216"/>
        <v>51769.578313253012</v>
      </c>
      <c r="M1628" s="669"/>
      <c r="N1628" s="669"/>
      <c r="O1628" s="669"/>
      <c r="P1628" s="669"/>
      <c r="Q1628" s="669"/>
      <c r="R1628" s="669"/>
      <c r="U1628" s="663"/>
      <c r="Z1628" s="663"/>
      <c r="AA1628" s="663"/>
      <c r="AB1628" s="663"/>
      <c r="AC1628" s="663"/>
      <c r="AD1628" s="663"/>
      <c r="AE1628" s="663"/>
      <c r="AF1628" s="663"/>
      <c r="AG1628" s="663"/>
      <c r="AH1628" s="663"/>
      <c r="AI1628" s="663"/>
      <c r="AJ1628" s="663"/>
      <c r="AK1628" s="663"/>
      <c r="AL1628" s="663"/>
      <c r="AM1628" s="663"/>
      <c r="AN1628" s="663"/>
    </row>
    <row r="1629" spans="2:40" x14ac:dyDescent="0.25">
      <c r="B1629" s="665" t="str">
        <f t="shared" si="3217"/>
        <v>Warrants -</v>
      </c>
      <c r="C1629" s="662">
        <f t="shared" si="3218"/>
        <v>0</v>
      </c>
      <c r="D1629" s="662">
        <f t="shared" si="3218"/>
        <v>0</v>
      </c>
      <c r="E1629" s="662">
        <f t="shared" si="3218"/>
        <v>0</v>
      </c>
      <c r="F1629" s="662">
        <f t="shared" si="3218"/>
        <v>0</v>
      </c>
      <c r="G1629" s="662">
        <f t="shared" si="3218"/>
        <v>0</v>
      </c>
      <c r="H1629" s="662">
        <f t="shared" si="3218"/>
        <v>0</v>
      </c>
      <c r="I1629" s="662">
        <f t="shared" si="3216"/>
        <v>0</v>
      </c>
      <c r="J1629" s="662">
        <f t="shared" si="3216"/>
        <v>0</v>
      </c>
      <c r="K1629" s="662">
        <f t="shared" si="3216"/>
        <v>0</v>
      </c>
      <c r="L1629" s="939">
        <f t="shared" si="3216"/>
        <v>0</v>
      </c>
      <c r="M1629" s="669"/>
      <c r="N1629" s="669"/>
      <c r="O1629" s="669"/>
      <c r="P1629" s="669"/>
      <c r="Q1629" s="669"/>
      <c r="R1629" s="669"/>
      <c r="U1629" s="663"/>
      <c r="Z1629" s="663"/>
      <c r="AA1629" s="663"/>
      <c r="AB1629" s="663"/>
      <c r="AC1629" s="663"/>
      <c r="AD1629" s="663"/>
      <c r="AE1629" s="663"/>
      <c r="AF1629" s="663"/>
      <c r="AG1629" s="663"/>
      <c r="AH1629" s="663"/>
      <c r="AI1629" s="663"/>
      <c r="AJ1629" s="663"/>
      <c r="AK1629" s="663"/>
      <c r="AL1629" s="663"/>
      <c r="AM1629" s="663"/>
      <c r="AN1629" s="663"/>
    </row>
    <row r="1630" spans="2:40" x14ac:dyDescent="0.25">
      <c r="B1630" s="665" t="str">
        <f t="shared" si="3217"/>
        <v>Warrants -</v>
      </c>
      <c r="C1630" s="662">
        <f t="shared" si="3218"/>
        <v>0</v>
      </c>
      <c r="D1630" s="662">
        <f t="shared" si="3218"/>
        <v>0</v>
      </c>
      <c r="E1630" s="662">
        <f t="shared" si="3218"/>
        <v>0</v>
      </c>
      <c r="F1630" s="662">
        <f t="shared" si="3218"/>
        <v>0</v>
      </c>
      <c r="G1630" s="662">
        <f t="shared" si="3218"/>
        <v>0</v>
      </c>
      <c r="H1630" s="662">
        <f t="shared" si="3218"/>
        <v>0</v>
      </c>
      <c r="I1630" s="662">
        <f t="shared" si="3216"/>
        <v>0</v>
      </c>
      <c r="J1630" s="662">
        <f t="shared" si="3216"/>
        <v>0</v>
      </c>
      <c r="K1630" s="662">
        <f t="shared" si="3216"/>
        <v>0</v>
      </c>
      <c r="L1630" s="939">
        <f t="shared" si="3216"/>
        <v>0</v>
      </c>
      <c r="M1630" s="669"/>
      <c r="N1630" s="669"/>
      <c r="O1630" s="669"/>
      <c r="P1630" s="669"/>
      <c r="Q1630" s="669"/>
      <c r="R1630" s="669"/>
      <c r="U1630" s="663"/>
      <c r="Z1630" s="663"/>
      <c r="AA1630" s="663"/>
      <c r="AB1630" s="663"/>
      <c r="AC1630" s="663"/>
      <c r="AD1630" s="663"/>
      <c r="AE1630" s="663"/>
      <c r="AF1630" s="663"/>
      <c r="AG1630" s="663"/>
      <c r="AH1630" s="663"/>
      <c r="AI1630" s="663"/>
      <c r="AJ1630" s="663"/>
      <c r="AK1630" s="663"/>
      <c r="AL1630" s="663"/>
      <c r="AM1630" s="663"/>
      <c r="AN1630" s="663"/>
    </row>
    <row r="1631" spans="2:40" x14ac:dyDescent="0.25">
      <c r="B1631" s="665" t="str">
        <f t="shared" si="3217"/>
        <v>Warrants -</v>
      </c>
      <c r="C1631" s="662">
        <f t="shared" si="3218"/>
        <v>0</v>
      </c>
      <c r="D1631" s="662">
        <f t="shared" si="3218"/>
        <v>0</v>
      </c>
      <c r="E1631" s="662">
        <f t="shared" si="3218"/>
        <v>0</v>
      </c>
      <c r="F1631" s="662">
        <f t="shared" si="3218"/>
        <v>0</v>
      </c>
      <c r="G1631" s="662">
        <f t="shared" si="3218"/>
        <v>0</v>
      </c>
      <c r="H1631" s="662">
        <f t="shared" si="3218"/>
        <v>0</v>
      </c>
      <c r="I1631" s="662">
        <f t="shared" si="3216"/>
        <v>0</v>
      </c>
      <c r="J1631" s="662">
        <f t="shared" si="3216"/>
        <v>0</v>
      </c>
      <c r="K1631" s="662">
        <f t="shared" si="3216"/>
        <v>0</v>
      </c>
      <c r="L1631" s="939">
        <f t="shared" si="3216"/>
        <v>0</v>
      </c>
      <c r="M1631" s="669"/>
      <c r="N1631" s="669"/>
      <c r="O1631" s="669"/>
      <c r="P1631" s="669"/>
      <c r="Q1631" s="669"/>
      <c r="R1631" s="669"/>
      <c r="U1631" s="663"/>
      <c r="Z1631" s="663"/>
      <c r="AA1631" s="663"/>
      <c r="AB1631" s="663"/>
      <c r="AC1631" s="663"/>
      <c r="AD1631" s="663"/>
      <c r="AE1631" s="663"/>
      <c r="AF1631" s="663"/>
      <c r="AG1631" s="663"/>
      <c r="AH1631" s="663"/>
      <c r="AI1631" s="663"/>
      <c r="AJ1631" s="663"/>
      <c r="AK1631" s="663"/>
      <c r="AL1631" s="663"/>
      <c r="AM1631" s="663"/>
      <c r="AN1631" s="663"/>
    </row>
    <row r="1632" spans="2:40" x14ac:dyDescent="0.25">
      <c r="B1632" s="665" t="str">
        <f t="shared" si="3217"/>
        <v>Warrants -</v>
      </c>
      <c r="C1632" s="662">
        <f t="shared" si="3218"/>
        <v>0</v>
      </c>
      <c r="D1632" s="662">
        <f t="shared" si="3218"/>
        <v>0</v>
      </c>
      <c r="E1632" s="662">
        <f t="shared" si="3218"/>
        <v>0</v>
      </c>
      <c r="F1632" s="662">
        <f t="shared" si="3218"/>
        <v>0</v>
      </c>
      <c r="G1632" s="662">
        <f t="shared" si="3218"/>
        <v>0</v>
      </c>
      <c r="H1632" s="662">
        <f t="shared" si="3218"/>
        <v>0</v>
      </c>
      <c r="I1632" s="662">
        <f t="shared" si="3216"/>
        <v>0</v>
      </c>
      <c r="J1632" s="662">
        <f t="shared" si="3216"/>
        <v>0</v>
      </c>
      <c r="K1632" s="662">
        <f t="shared" si="3216"/>
        <v>0</v>
      </c>
      <c r="L1632" s="939">
        <f t="shared" si="3216"/>
        <v>0</v>
      </c>
      <c r="M1632" s="669"/>
      <c r="N1632" s="669"/>
      <c r="O1632" s="669"/>
      <c r="P1632" s="669"/>
      <c r="Q1632" s="669"/>
      <c r="R1632" s="669"/>
      <c r="U1632" s="663"/>
      <c r="Z1632" s="663"/>
      <c r="AA1632" s="663"/>
      <c r="AB1632" s="663"/>
      <c r="AC1632" s="663"/>
      <c r="AD1632" s="663"/>
      <c r="AE1632" s="663"/>
      <c r="AF1632" s="663"/>
      <c r="AG1632" s="663"/>
      <c r="AH1632" s="663"/>
      <c r="AI1632" s="663"/>
      <c r="AJ1632" s="663"/>
      <c r="AK1632" s="663"/>
      <c r="AL1632" s="663"/>
      <c r="AM1632" s="663"/>
      <c r="AN1632" s="663"/>
    </row>
    <row r="1633" spans="2:40" x14ac:dyDescent="0.25">
      <c r="B1633" s="665" t="str">
        <f t="shared" si="3217"/>
        <v>Warrants -</v>
      </c>
      <c r="C1633" s="662">
        <f t="shared" si="3218"/>
        <v>0</v>
      </c>
      <c r="D1633" s="662">
        <f t="shared" si="3218"/>
        <v>0</v>
      </c>
      <c r="E1633" s="662">
        <f t="shared" si="3218"/>
        <v>0</v>
      </c>
      <c r="F1633" s="662">
        <f t="shared" si="3218"/>
        <v>0</v>
      </c>
      <c r="G1633" s="662">
        <f t="shared" si="3218"/>
        <v>0</v>
      </c>
      <c r="H1633" s="662">
        <f t="shared" si="3218"/>
        <v>0</v>
      </c>
      <c r="I1633" s="662">
        <f t="shared" si="3216"/>
        <v>0</v>
      </c>
      <c r="J1633" s="662">
        <f t="shared" si="3216"/>
        <v>0</v>
      </c>
      <c r="K1633" s="662">
        <f t="shared" si="3216"/>
        <v>0</v>
      </c>
      <c r="L1633" s="939">
        <f t="shared" si="3216"/>
        <v>0</v>
      </c>
      <c r="M1633" s="669"/>
      <c r="N1633" s="669"/>
      <c r="O1633" s="669"/>
      <c r="P1633" s="669"/>
      <c r="Q1633" s="669"/>
      <c r="R1633" s="669"/>
      <c r="U1633" s="663"/>
      <c r="Z1633" s="663"/>
      <c r="AA1633" s="663"/>
      <c r="AB1633" s="663"/>
      <c r="AC1633" s="663"/>
      <c r="AD1633" s="663"/>
      <c r="AE1633" s="663"/>
      <c r="AF1633" s="663"/>
      <c r="AG1633" s="663"/>
      <c r="AH1633" s="663"/>
      <c r="AI1633" s="663"/>
      <c r="AJ1633" s="663"/>
      <c r="AK1633" s="663"/>
      <c r="AL1633" s="663"/>
      <c r="AM1633" s="663"/>
      <c r="AN1633" s="663"/>
    </row>
    <row r="1634" spans="2:40" x14ac:dyDescent="0.25">
      <c r="B1634" s="665" t="str">
        <f t="shared" si="3217"/>
        <v>Warrants -</v>
      </c>
      <c r="C1634" s="662">
        <f t="shared" si="3218"/>
        <v>0</v>
      </c>
      <c r="D1634" s="662">
        <f t="shared" si="3218"/>
        <v>0</v>
      </c>
      <c r="E1634" s="662">
        <f t="shared" si="3218"/>
        <v>0</v>
      </c>
      <c r="F1634" s="662">
        <f t="shared" si="3218"/>
        <v>0</v>
      </c>
      <c r="G1634" s="662">
        <f t="shared" si="3218"/>
        <v>0</v>
      </c>
      <c r="H1634" s="662">
        <f t="shared" si="3218"/>
        <v>0</v>
      </c>
      <c r="I1634" s="662">
        <f t="shared" si="3216"/>
        <v>0</v>
      </c>
      <c r="J1634" s="662">
        <f t="shared" si="3216"/>
        <v>0</v>
      </c>
      <c r="K1634" s="662">
        <f t="shared" si="3216"/>
        <v>0</v>
      </c>
      <c r="L1634" s="939">
        <f t="shared" si="3216"/>
        <v>0</v>
      </c>
      <c r="M1634" s="669"/>
      <c r="N1634" s="669"/>
      <c r="O1634" s="669"/>
      <c r="P1634" s="669"/>
      <c r="Q1634" s="669"/>
      <c r="R1634" s="669"/>
      <c r="U1634" s="663"/>
      <c r="Z1634" s="663"/>
      <c r="AA1634" s="663"/>
      <c r="AB1634" s="663"/>
      <c r="AC1634" s="663"/>
      <c r="AD1634" s="663"/>
      <c r="AE1634" s="663"/>
      <c r="AF1634" s="663"/>
      <c r="AG1634" s="663"/>
      <c r="AH1634" s="663"/>
      <c r="AI1634" s="663"/>
      <c r="AJ1634" s="663"/>
      <c r="AK1634" s="663"/>
      <c r="AL1634" s="663"/>
      <c r="AM1634" s="663"/>
      <c r="AN1634" s="663"/>
    </row>
    <row r="1635" spans="2:40" x14ac:dyDescent="0.25">
      <c r="B1635" s="665" t="str">
        <f t="shared" si="3217"/>
        <v>Common</v>
      </c>
      <c r="C1635" s="662">
        <f t="shared" si="3218"/>
        <v>4894578.3132530116</v>
      </c>
      <c r="D1635" s="662">
        <f t="shared" si="3218"/>
        <v>7341867.4698795173</v>
      </c>
      <c r="E1635" s="662">
        <f t="shared" si="3218"/>
        <v>9789156.6265060231</v>
      </c>
      <c r="F1635" s="662">
        <f t="shared" si="3218"/>
        <v>12236445.783132529</v>
      </c>
      <c r="G1635" s="662">
        <f t="shared" si="3218"/>
        <v>14683734.939759035</v>
      </c>
      <c r="H1635" s="662">
        <f t="shared" si="3218"/>
        <v>17131024.096385542</v>
      </c>
      <c r="I1635" s="662">
        <f t="shared" si="3216"/>
        <v>19578313.253012046</v>
      </c>
      <c r="J1635" s="662">
        <f t="shared" si="3216"/>
        <v>22025602.409638554</v>
      </c>
      <c r="K1635" s="662">
        <f t="shared" si="3216"/>
        <v>24472891.566265058</v>
      </c>
      <c r="L1635" s="939">
        <f t="shared" si="3216"/>
        <v>26920180.722891565</v>
      </c>
      <c r="M1635" s="669"/>
      <c r="N1635" s="669"/>
      <c r="O1635" s="669"/>
      <c r="P1635" s="669"/>
      <c r="Q1635" s="669"/>
      <c r="R1635" s="669"/>
      <c r="U1635" s="663"/>
      <c r="Z1635" s="663"/>
      <c r="AA1635" s="663"/>
      <c r="AB1635" s="663"/>
      <c r="AC1635" s="663"/>
      <c r="AD1635" s="663"/>
      <c r="AE1635" s="663"/>
      <c r="AF1635" s="663"/>
      <c r="AG1635" s="663"/>
      <c r="AH1635" s="663"/>
      <c r="AI1635" s="663"/>
      <c r="AJ1635" s="663"/>
      <c r="AK1635" s="663"/>
      <c r="AL1635" s="663"/>
      <c r="AM1635" s="663"/>
      <c r="AN1635" s="663"/>
    </row>
    <row r="1636" spans="2:40" x14ac:dyDescent="0.25">
      <c r="B1636" s="665" t="str">
        <f t="shared" si="3217"/>
        <v>Options</v>
      </c>
      <c r="C1636" s="662">
        <f t="shared" si="3218"/>
        <v>0</v>
      </c>
      <c r="D1636" s="662">
        <f t="shared" si="3218"/>
        <v>0</v>
      </c>
      <c r="E1636" s="662">
        <f t="shared" si="3218"/>
        <v>0</v>
      </c>
      <c r="F1636" s="662">
        <f t="shared" si="3218"/>
        <v>0</v>
      </c>
      <c r="G1636" s="662">
        <f t="shared" si="3218"/>
        <v>0</v>
      </c>
      <c r="H1636" s="662">
        <f t="shared" si="3218"/>
        <v>0</v>
      </c>
      <c r="I1636" s="662">
        <f t="shared" si="3216"/>
        <v>0</v>
      </c>
      <c r="J1636" s="662">
        <f t="shared" si="3216"/>
        <v>0</v>
      </c>
      <c r="K1636" s="662">
        <f t="shared" si="3216"/>
        <v>0</v>
      </c>
      <c r="L1636" s="939">
        <f t="shared" si="3216"/>
        <v>0</v>
      </c>
      <c r="M1636" s="669"/>
      <c r="N1636" s="669"/>
      <c r="O1636" s="669"/>
      <c r="P1636" s="669"/>
      <c r="Q1636" s="669"/>
      <c r="R1636" s="669"/>
      <c r="U1636" s="663"/>
      <c r="Z1636" s="663"/>
      <c r="AA1636" s="663"/>
      <c r="AB1636" s="663"/>
      <c r="AC1636" s="663"/>
      <c r="AD1636" s="663"/>
      <c r="AE1636" s="663"/>
      <c r="AF1636" s="663"/>
      <c r="AG1636" s="663"/>
      <c r="AH1636" s="663"/>
      <c r="AI1636" s="663"/>
      <c r="AJ1636" s="663"/>
      <c r="AK1636" s="663"/>
      <c r="AL1636" s="663"/>
      <c r="AM1636" s="663"/>
      <c r="AN1636" s="663"/>
    </row>
    <row r="1637" spans="2:40" ht="15.75" thickBot="1" x14ac:dyDescent="0.3">
      <c r="B1637" s="665" t="str">
        <f t="shared" si="3217"/>
        <v>IPO Proceed</v>
      </c>
      <c r="C1637" s="911">
        <f t="shared" si="3218"/>
        <v>70594879.518072277</v>
      </c>
      <c r="D1637" s="911">
        <f t="shared" si="3218"/>
        <v>105892319.27710843</v>
      </c>
      <c r="E1637" s="911">
        <f t="shared" si="3218"/>
        <v>141189759.03614455</v>
      </c>
      <c r="F1637" s="911">
        <f t="shared" si="3218"/>
        <v>176487198.79518071</v>
      </c>
      <c r="G1637" s="911">
        <f t="shared" si="3218"/>
        <v>211784638.55421686</v>
      </c>
      <c r="H1637" s="911">
        <f t="shared" si="3218"/>
        <v>247082078.31325299</v>
      </c>
      <c r="I1637" s="911">
        <f t="shared" si="3216"/>
        <v>282379518.07228911</v>
      </c>
      <c r="J1637" s="911">
        <f t="shared" si="3216"/>
        <v>317676957.83132529</v>
      </c>
      <c r="K1637" s="911">
        <f t="shared" si="3216"/>
        <v>352974397.59036142</v>
      </c>
      <c r="L1637" s="940">
        <f t="shared" si="3216"/>
        <v>388271837.34939754</v>
      </c>
      <c r="M1637" s="669"/>
      <c r="N1637" s="669"/>
      <c r="O1637" s="669"/>
      <c r="P1637" s="669"/>
      <c r="Q1637" s="669"/>
      <c r="R1637" s="669"/>
      <c r="U1637" s="663"/>
      <c r="Z1637" s="663"/>
      <c r="AA1637" s="663"/>
      <c r="AB1637" s="663"/>
      <c r="AC1637" s="663"/>
      <c r="AD1637" s="663"/>
      <c r="AE1637" s="663"/>
      <c r="AF1637" s="663"/>
      <c r="AG1637" s="663"/>
      <c r="AH1637" s="663"/>
      <c r="AI1637" s="663"/>
      <c r="AJ1637" s="663"/>
      <c r="AK1637" s="663"/>
      <c r="AL1637" s="663"/>
      <c r="AM1637" s="663"/>
      <c r="AN1637" s="663"/>
    </row>
    <row r="1638" spans="2:40" x14ac:dyDescent="0.25">
      <c r="B1638" s="894" t="s">
        <v>140</v>
      </c>
      <c r="C1638" s="941">
        <f>SUM(C1615:C1637)</f>
        <v>100000000</v>
      </c>
      <c r="D1638" s="941">
        <f t="shared" ref="D1638:L1638" si="3219">SUM(D1615:D1637)</f>
        <v>150000000</v>
      </c>
      <c r="E1638" s="941">
        <f t="shared" si="3219"/>
        <v>200000000</v>
      </c>
      <c r="F1638" s="941">
        <f t="shared" si="3219"/>
        <v>249999999.99999997</v>
      </c>
      <c r="G1638" s="941">
        <f t="shared" si="3219"/>
        <v>300000000</v>
      </c>
      <c r="H1638" s="941">
        <f t="shared" si="3219"/>
        <v>350000000</v>
      </c>
      <c r="I1638" s="941">
        <f t="shared" si="3219"/>
        <v>400000000</v>
      </c>
      <c r="J1638" s="941">
        <f t="shared" si="3219"/>
        <v>450000000</v>
      </c>
      <c r="K1638" s="941">
        <f t="shared" si="3219"/>
        <v>499999999.99999994</v>
      </c>
      <c r="L1638" s="942">
        <f t="shared" si="3219"/>
        <v>550000000</v>
      </c>
      <c r="O1638" s="669"/>
      <c r="P1638" s="669"/>
      <c r="Q1638" s="669"/>
      <c r="R1638" s="669"/>
      <c r="S1638" s="669"/>
      <c r="T1638" s="669"/>
      <c r="V1638" s="669"/>
      <c r="W1638" s="669"/>
      <c r="X1638" s="669"/>
      <c r="Y1638" s="669"/>
      <c r="AD1638" s="663"/>
      <c r="AE1638" s="663"/>
      <c r="AF1638" s="663"/>
      <c r="AG1638" s="663"/>
      <c r="AH1638" s="663"/>
      <c r="AI1638" s="663"/>
      <c r="AJ1638" s="663"/>
      <c r="AK1638" s="663"/>
      <c r="AL1638" s="663"/>
      <c r="AM1638" s="663"/>
      <c r="AN1638" s="663"/>
    </row>
    <row r="1639" spans="2:40" x14ac:dyDescent="0.25">
      <c r="B1639" s="668"/>
      <c r="C1639" s="662"/>
      <c r="L1639" s="819"/>
      <c r="O1639" s="669"/>
      <c r="P1639" s="669"/>
      <c r="Q1639" s="669"/>
      <c r="R1639" s="669"/>
      <c r="S1639" s="669"/>
      <c r="T1639" s="669"/>
      <c r="V1639" s="669"/>
      <c r="W1639" s="669"/>
      <c r="X1639" s="669"/>
      <c r="Y1639" s="669"/>
      <c r="AD1639" s="663"/>
      <c r="AE1639" s="663"/>
      <c r="AF1639" s="663"/>
      <c r="AG1639" s="663"/>
      <c r="AH1639" s="663"/>
      <c r="AI1639" s="663"/>
      <c r="AJ1639" s="663"/>
      <c r="AK1639" s="663"/>
      <c r="AL1639" s="663"/>
      <c r="AM1639" s="663"/>
      <c r="AN1639" s="663"/>
    </row>
    <row r="1640" spans="2:40" x14ac:dyDescent="0.25">
      <c r="B1640" s="668"/>
      <c r="C1640" s="662"/>
      <c r="L1640" s="664"/>
      <c r="O1640" s="669"/>
      <c r="P1640" s="669"/>
      <c r="Q1640" s="669"/>
      <c r="R1640" s="669"/>
      <c r="S1640" s="669"/>
      <c r="T1640" s="669"/>
      <c r="V1640" s="669"/>
      <c r="W1640" s="669"/>
      <c r="X1640" s="669"/>
      <c r="Y1640" s="669"/>
      <c r="AD1640" s="663"/>
      <c r="AE1640" s="663"/>
      <c r="AF1640" s="663"/>
      <c r="AG1640" s="663"/>
      <c r="AH1640" s="663"/>
      <c r="AI1640" s="663"/>
      <c r="AJ1640" s="663"/>
      <c r="AK1640" s="663"/>
      <c r="AL1640" s="663"/>
      <c r="AM1640" s="663"/>
      <c r="AN1640" s="663"/>
    </row>
    <row r="1641" spans="2:40" ht="15.75" x14ac:dyDescent="0.25">
      <c r="B1641" s="660" t="s">
        <v>113</v>
      </c>
      <c r="C1641" s="662"/>
      <c r="L1641" s="664"/>
      <c r="O1641" s="669"/>
      <c r="P1641" s="669"/>
      <c r="Q1641" s="669"/>
      <c r="R1641" s="669"/>
      <c r="S1641" s="669"/>
      <c r="T1641" s="669"/>
      <c r="V1641" s="669"/>
      <c r="W1641" s="669"/>
      <c r="X1641" s="669"/>
      <c r="Y1641" s="669"/>
      <c r="AD1641" s="663"/>
      <c r="AE1641" s="663"/>
      <c r="AF1641" s="663"/>
      <c r="AG1641" s="663"/>
      <c r="AH1641" s="663"/>
      <c r="AI1641" s="663"/>
      <c r="AJ1641" s="663"/>
      <c r="AK1641" s="663"/>
      <c r="AL1641" s="663"/>
      <c r="AM1641" s="663"/>
      <c r="AN1641" s="663"/>
    </row>
    <row r="1642" spans="2:40" x14ac:dyDescent="0.25">
      <c r="B1642" s="665" t="str">
        <f>B1615</f>
        <v>Series A</v>
      </c>
      <c r="C1642" s="895">
        <f>IF(SUM($F$29:$F$37)=0,0,C1615/SUM($F$29:$F$37))</f>
        <v>0.94126506024096379</v>
      </c>
      <c r="D1642" s="895">
        <f t="shared" ref="D1642:L1642" si="3220">IF(SUM($F$29:$F$37)=0,0,D1615/SUM($F$29:$F$37))</f>
        <v>1.4118975903614457</v>
      </c>
      <c r="E1642" s="895">
        <f t="shared" si="3220"/>
        <v>1.8825301204819276</v>
      </c>
      <c r="F1642" s="895">
        <f t="shared" si="3220"/>
        <v>2.3531626506024095</v>
      </c>
      <c r="G1642" s="895">
        <f t="shared" si="3220"/>
        <v>2.8237951807228914</v>
      </c>
      <c r="H1642" s="895">
        <f t="shared" si="3220"/>
        <v>3.2944277108433737</v>
      </c>
      <c r="I1642" s="895">
        <f t="shared" si="3220"/>
        <v>3.7650602409638552</v>
      </c>
      <c r="J1642" s="895">
        <f t="shared" si="3220"/>
        <v>4.2356927710843379</v>
      </c>
      <c r="K1642" s="895">
        <f t="shared" si="3220"/>
        <v>4.706325301204819</v>
      </c>
      <c r="L1642" s="906">
        <f t="shared" si="3220"/>
        <v>5.1769578313253017</v>
      </c>
      <c r="O1642" s="669"/>
      <c r="P1642" s="669"/>
      <c r="Q1642" s="669"/>
      <c r="R1642" s="669"/>
      <c r="S1642" s="669"/>
      <c r="T1642" s="669"/>
      <c r="V1642" s="669"/>
      <c r="W1642" s="669"/>
      <c r="X1642" s="669"/>
      <c r="Y1642" s="669"/>
      <c r="AD1642" s="663"/>
      <c r="AE1642" s="663"/>
      <c r="AF1642" s="663"/>
      <c r="AG1642" s="663"/>
      <c r="AH1642" s="663"/>
      <c r="AI1642" s="663"/>
      <c r="AJ1642" s="663"/>
      <c r="AK1642" s="663"/>
      <c r="AL1642" s="663"/>
      <c r="AM1642" s="663"/>
      <c r="AN1642" s="663"/>
    </row>
    <row r="1643" spans="2:40" x14ac:dyDescent="0.25">
      <c r="B1643" s="665" t="str">
        <f t="shared" ref="B1643:B1661" si="3221">B1616</f>
        <v>Series B</v>
      </c>
      <c r="C1643" s="895">
        <f>IF(SUM($G$29:$G$37)=0,0,C1616/SUM($G$29:$G$37))</f>
        <v>0.4706325301204819</v>
      </c>
      <c r="D1643" s="895">
        <f t="shared" ref="D1643:L1643" si="3222">IF(SUM($G$29:$G$37)=0,0,D1616/SUM($G$29:$G$37))</f>
        <v>0.70594879518072284</v>
      </c>
      <c r="E1643" s="895">
        <f t="shared" si="3222"/>
        <v>0.94126506024096379</v>
      </c>
      <c r="F1643" s="895">
        <f t="shared" si="3222"/>
        <v>1.1765813253012047</v>
      </c>
      <c r="G1643" s="895">
        <f t="shared" si="3222"/>
        <v>1.4118975903614457</v>
      </c>
      <c r="H1643" s="895">
        <f t="shared" si="3222"/>
        <v>1.6472138554216869</v>
      </c>
      <c r="I1643" s="895">
        <f t="shared" si="3222"/>
        <v>1.8825301204819276</v>
      </c>
      <c r="J1643" s="895">
        <f t="shared" si="3222"/>
        <v>2.117846385542169</v>
      </c>
      <c r="K1643" s="895">
        <f t="shared" si="3222"/>
        <v>2.3531626506024095</v>
      </c>
      <c r="L1643" s="906">
        <f t="shared" si="3222"/>
        <v>2.5884789156626509</v>
      </c>
      <c r="O1643" s="669"/>
      <c r="P1643" s="669"/>
      <c r="Q1643" s="669"/>
      <c r="R1643" s="669"/>
      <c r="S1643" s="669"/>
      <c r="T1643" s="669"/>
      <c r="V1643" s="669"/>
      <c r="W1643" s="669"/>
      <c r="X1643" s="669"/>
      <c r="Y1643" s="669"/>
      <c r="AD1643" s="663"/>
      <c r="AE1643" s="663"/>
      <c r="AF1643" s="663"/>
      <c r="AG1643" s="663"/>
      <c r="AH1643" s="663"/>
      <c r="AI1643" s="663"/>
      <c r="AJ1643" s="663"/>
      <c r="AK1643" s="663"/>
      <c r="AL1643" s="663"/>
      <c r="AM1643" s="663"/>
      <c r="AN1643" s="663"/>
    </row>
    <row r="1644" spans="2:40" x14ac:dyDescent="0.25">
      <c r="B1644" s="665" t="str">
        <f t="shared" si="3221"/>
        <v>Series C</v>
      </c>
      <c r="C1644" s="895">
        <f>IF(SUM($H$29:$H$37)=0,0,C1617/SUM($H$29:$H$37))</f>
        <v>0.37650602409638556</v>
      </c>
      <c r="D1644" s="895">
        <f t="shared" ref="D1644:L1644" si="3223">IF(SUM($H$29:$H$37)=0,0,D1617/SUM($H$29:$H$37))</f>
        <v>0.56475903614457834</v>
      </c>
      <c r="E1644" s="895">
        <f t="shared" si="3223"/>
        <v>0.75301204819277112</v>
      </c>
      <c r="F1644" s="895">
        <f t="shared" si="3223"/>
        <v>0.94126506024096379</v>
      </c>
      <c r="G1644" s="895">
        <f t="shared" si="3223"/>
        <v>1.1295180722891567</v>
      </c>
      <c r="H1644" s="895">
        <f t="shared" si="3223"/>
        <v>1.3177710843373496</v>
      </c>
      <c r="I1644" s="895">
        <f t="shared" si="3223"/>
        <v>1.5060240963855422</v>
      </c>
      <c r="J1644" s="895">
        <f t="shared" si="3223"/>
        <v>1.6942771084337349</v>
      </c>
      <c r="K1644" s="895">
        <f t="shared" si="3223"/>
        <v>1.8825301204819276</v>
      </c>
      <c r="L1644" s="906">
        <f t="shared" si="3223"/>
        <v>2.0707831325301207</v>
      </c>
      <c r="O1644" s="669"/>
      <c r="P1644" s="669"/>
      <c r="Q1644" s="669"/>
      <c r="R1644" s="669"/>
      <c r="S1644" s="669"/>
      <c r="T1644" s="669"/>
      <c r="V1644" s="669"/>
      <c r="W1644" s="669"/>
      <c r="X1644" s="669"/>
      <c r="Y1644" s="669"/>
      <c r="AD1644" s="663"/>
      <c r="AE1644" s="663"/>
      <c r="AF1644" s="663"/>
      <c r="AG1644" s="663"/>
      <c r="AH1644" s="663"/>
      <c r="AI1644" s="663"/>
      <c r="AJ1644" s="663"/>
      <c r="AK1644" s="663"/>
      <c r="AL1644" s="663"/>
      <c r="AM1644" s="663"/>
      <c r="AN1644" s="663"/>
    </row>
    <row r="1645" spans="2:40" x14ac:dyDescent="0.25">
      <c r="B1645" s="665" t="str">
        <f t="shared" si="3221"/>
        <v>Series D</v>
      </c>
      <c r="C1645" s="895">
        <f>IF(SUM($I$29:$I$37)=0,0,C1618/SUM($I$29:$I$37))</f>
        <v>0.4706325301204819</v>
      </c>
      <c r="D1645" s="895">
        <f t="shared" ref="D1645:L1645" si="3224">IF(SUM($I$29:$I$37)=0,0,D1618/SUM($I$29:$I$37))</f>
        <v>0.70594879518072284</v>
      </c>
      <c r="E1645" s="895">
        <f t="shared" si="3224"/>
        <v>0.94126506024096379</v>
      </c>
      <c r="F1645" s="895">
        <f t="shared" si="3224"/>
        <v>1.1765813253012047</v>
      </c>
      <c r="G1645" s="895">
        <f t="shared" si="3224"/>
        <v>1.4118975903614457</v>
      </c>
      <c r="H1645" s="895">
        <f t="shared" si="3224"/>
        <v>1.6472138554216869</v>
      </c>
      <c r="I1645" s="895">
        <f t="shared" si="3224"/>
        <v>1.8825301204819276</v>
      </c>
      <c r="J1645" s="895">
        <f t="shared" si="3224"/>
        <v>2.117846385542169</v>
      </c>
      <c r="K1645" s="895">
        <f t="shared" si="3224"/>
        <v>2.3531626506024095</v>
      </c>
      <c r="L1645" s="906">
        <f t="shared" si="3224"/>
        <v>2.5884789156626509</v>
      </c>
      <c r="O1645" s="669"/>
      <c r="P1645" s="669"/>
      <c r="Q1645" s="669"/>
      <c r="R1645" s="669"/>
      <c r="S1645" s="669"/>
      <c r="T1645" s="669"/>
      <c r="V1645" s="669"/>
      <c r="W1645" s="669"/>
      <c r="X1645" s="669"/>
      <c r="Y1645" s="669"/>
      <c r="AD1645" s="663"/>
      <c r="AE1645" s="663"/>
      <c r="AF1645" s="663"/>
      <c r="AG1645" s="663"/>
      <c r="AH1645" s="663"/>
      <c r="AI1645" s="663"/>
      <c r="AJ1645" s="663"/>
      <c r="AK1645" s="663"/>
      <c r="AL1645" s="663"/>
      <c r="AM1645" s="663"/>
      <c r="AN1645" s="663"/>
    </row>
    <row r="1646" spans="2:40" x14ac:dyDescent="0.25">
      <c r="B1646" s="665" t="str">
        <f t="shared" si="3221"/>
        <v>-</v>
      </c>
      <c r="C1646" s="895">
        <f>IF(SUM($J$29:$J$37)=0,0,C1619/SUM($J$29:$J$37))</f>
        <v>0</v>
      </c>
      <c r="D1646" s="895">
        <f t="shared" ref="D1646:L1646" si="3225">IF(SUM($J$29:$J$37)=0,0,D1619/SUM($J$29:$J$37))</f>
        <v>0</v>
      </c>
      <c r="E1646" s="895">
        <f t="shared" si="3225"/>
        <v>0</v>
      </c>
      <c r="F1646" s="895">
        <f t="shared" si="3225"/>
        <v>0</v>
      </c>
      <c r="G1646" s="895">
        <f t="shared" si="3225"/>
        <v>0</v>
      </c>
      <c r="H1646" s="895">
        <f t="shared" si="3225"/>
        <v>0</v>
      </c>
      <c r="I1646" s="895">
        <f t="shared" si="3225"/>
        <v>0</v>
      </c>
      <c r="J1646" s="895">
        <f t="shared" si="3225"/>
        <v>0</v>
      </c>
      <c r="K1646" s="895">
        <f t="shared" si="3225"/>
        <v>0</v>
      </c>
      <c r="L1646" s="906">
        <f t="shared" si="3225"/>
        <v>0</v>
      </c>
      <c r="O1646" s="669"/>
      <c r="P1646" s="669"/>
      <c r="Q1646" s="669"/>
      <c r="R1646" s="669"/>
      <c r="S1646" s="669"/>
      <c r="T1646" s="669"/>
      <c r="V1646" s="669"/>
      <c r="W1646" s="669"/>
      <c r="X1646" s="669"/>
      <c r="Y1646" s="669"/>
      <c r="AD1646" s="663"/>
      <c r="AE1646" s="663"/>
      <c r="AF1646" s="663"/>
      <c r="AG1646" s="663"/>
      <c r="AH1646" s="663"/>
      <c r="AI1646" s="663"/>
      <c r="AJ1646" s="663"/>
      <c r="AK1646" s="663"/>
      <c r="AL1646" s="663"/>
      <c r="AM1646" s="663"/>
      <c r="AN1646" s="663"/>
    </row>
    <row r="1647" spans="2:40" x14ac:dyDescent="0.25">
      <c r="B1647" s="665" t="str">
        <f t="shared" si="3221"/>
        <v>-</v>
      </c>
      <c r="C1647" s="895">
        <f>IF(SUM($K$29:$K$37)=0,0,C1620/SUM($K$29:$K$37))</f>
        <v>0</v>
      </c>
      <c r="D1647" s="895">
        <f t="shared" ref="D1647:L1647" si="3226">IF(SUM($K$29:$K$37)=0,0,D1620/SUM($K$29:$K$37))</f>
        <v>0</v>
      </c>
      <c r="E1647" s="895">
        <f t="shared" si="3226"/>
        <v>0</v>
      </c>
      <c r="F1647" s="895">
        <f t="shared" si="3226"/>
        <v>0</v>
      </c>
      <c r="G1647" s="895">
        <f t="shared" si="3226"/>
        <v>0</v>
      </c>
      <c r="H1647" s="895">
        <f t="shared" si="3226"/>
        <v>0</v>
      </c>
      <c r="I1647" s="895">
        <f t="shared" si="3226"/>
        <v>0</v>
      </c>
      <c r="J1647" s="895">
        <f t="shared" si="3226"/>
        <v>0</v>
      </c>
      <c r="K1647" s="895">
        <f t="shared" si="3226"/>
        <v>0</v>
      </c>
      <c r="L1647" s="906">
        <f t="shared" si="3226"/>
        <v>0</v>
      </c>
      <c r="O1647" s="669"/>
      <c r="P1647" s="669"/>
      <c r="Q1647" s="669"/>
      <c r="R1647" s="669"/>
      <c r="S1647" s="669"/>
      <c r="T1647" s="669"/>
      <c r="V1647" s="669"/>
      <c r="W1647" s="669"/>
      <c r="X1647" s="669"/>
      <c r="Y1647" s="669"/>
      <c r="AD1647" s="663"/>
      <c r="AE1647" s="663"/>
      <c r="AF1647" s="663"/>
      <c r="AG1647" s="663"/>
      <c r="AH1647" s="663"/>
      <c r="AI1647" s="663"/>
      <c r="AJ1647" s="663"/>
      <c r="AK1647" s="663"/>
      <c r="AL1647" s="663"/>
      <c r="AM1647" s="663"/>
      <c r="AN1647" s="663"/>
    </row>
    <row r="1648" spans="2:40" x14ac:dyDescent="0.25">
      <c r="B1648" s="665" t="str">
        <f t="shared" si="3221"/>
        <v>-</v>
      </c>
      <c r="C1648" s="895">
        <f>IF(SUM($L$29:$L$37)=0,0,C1621/SUM($L$29:$L$37))</f>
        <v>0</v>
      </c>
      <c r="D1648" s="895">
        <f t="shared" ref="D1648:L1648" si="3227">IF(SUM($L$29:$L$37)=0,0,D1621/SUM($L$29:$L$37))</f>
        <v>0</v>
      </c>
      <c r="E1648" s="895">
        <f t="shared" si="3227"/>
        <v>0</v>
      </c>
      <c r="F1648" s="895">
        <f t="shared" si="3227"/>
        <v>0</v>
      </c>
      <c r="G1648" s="895">
        <f t="shared" si="3227"/>
        <v>0</v>
      </c>
      <c r="H1648" s="895">
        <f t="shared" si="3227"/>
        <v>0</v>
      </c>
      <c r="I1648" s="895">
        <f t="shared" si="3227"/>
        <v>0</v>
      </c>
      <c r="J1648" s="895">
        <f>IF(SUM($L$29:$L$37)=0,0,J1621/SUM($L$29:$L$37))</f>
        <v>0</v>
      </c>
      <c r="K1648" s="895">
        <f t="shared" si="3227"/>
        <v>0</v>
      </c>
      <c r="L1648" s="906">
        <f t="shared" si="3227"/>
        <v>0</v>
      </c>
      <c r="O1648" s="669"/>
      <c r="P1648" s="669"/>
      <c r="Q1648" s="669"/>
      <c r="R1648" s="669"/>
      <c r="S1648" s="669"/>
      <c r="T1648" s="669"/>
      <c r="V1648" s="669"/>
      <c r="W1648" s="669"/>
      <c r="X1648" s="669"/>
      <c r="Y1648" s="669"/>
      <c r="AD1648" s="663"/>
      <c r="AE1648" s="663"/>
      <c r="AF1648" s="663"/>
      <c r="AG1648" s="663"/>
      <c r="AH1648" s="663"/>
      <c r="AI1648" s="663"/>
      <c r="AJ1648" s="663"/>
      <c r="AK1648" s="663"/>
      <c r="AL1648" s="663"/>
      <c r="AM1648" s="663"/>
      <c r="AN1648" s="663"/>
    </row>
    <row r="1649" spans="2:40" x14ac:dyDescent="0.25">
      <c r="B1649" s="665" t="str">
        <f t="shared" si="3221"/>
        <v>-</v>
      </c>
      <c r="C1649" s="895">
        <f>IF(SUM($M$29:$M$37)=0,0,C1622/SUM($M$29:$M$37))</f>
        <v>0</v>
      </c>
      <c r="D1649" s="895">
        <f t="shared" ref="D1649:L1649" si="3228">IF(SUM($M$29:$M$37)=0,0,D1622/SUM($M$29:$M$37))</f>
        <v>0</v>
      </c>
      <c r="E1649" s="895">
        <f t="shared" si="3228"/>
        <v>0</v>
      </c>
      <c r="F1649" s="895">
        <f t="shared" si="3228"/>
        <v>0</v>
      </c>
      <c r="G1649" s="895">
        <f t="shared" si="3228"/>
        <v>0</v>
      </c>
      <c r="H1649" s="895">
        <f t="shared" si="3228"/>
        <v>0</v>
      </c>
      <c r="I1649" s="895">
        <f t="shared" si="3228"/>
        <v>0</v>
      </c>
      <c r="J1649" s="895">
        <f t="shared" si="3228"/>
        <v>0</v>
      </c>
      <c r="K1649" s="895">
        <f t="shared" si="3228"/>
        <v>0</v>
      </c>
      <c r="L1649" s="906">
        <f t="shared" si="3228"/>
        <v>0</v>
      </c>
      <c r="O1649" s="669"/>
      <c r="P1649" s="669"/>
      <c r="Q1649" s="669"/>
      <c r="R1649" s="669"/>
      <c r="S1649" s="669"/>
      <c r="T1649" s="669"/>
      <c r="V1649" s="669"/>
      <c r="W1649" s="669"/>
      <c r="X1649" s="669"/>
      <c r="Y1649" s="669"/>
      <c r="AD1649" s="663"/>
      <c r="AE1649" s="663"/>
      <c r="AF1649" s="663"/>
      <c r="AG1649" s="663"/>
      <c r="AH1649" s="663"/>
      <c r="AI1649" s="663"/>
      <c r="AJ1649" s="663"/>
      <c r="AK1649" s="663"/>
      <c r="AL1649" s="663"/>
      <c r="AM1649" s="663"/>
      <c r="AN1649" s="663"/>
    </row>
    <row r="1650" spans="2:40" x14ac:dyDescent="0.25">
      <c r="B1650" s="665" t="str">
        <f t="shared" si="3221"/>
        <v>-</v>
      </c>
      <c r="C1650" s="895">
        <f>IF(SUM($N$29:$N$37)=0,0,C1623/SUM($N$29:$N$37))</f>
        <v>0</v>
      </c>
      <c r="D1650" s="895">
        <f t="shared" ref="D1650:L1650" si="3229">IF(SUM($N$29:$N$37)=0,0,D1623/SUM($N$29:$N$37))</f>
        <v>0</v>
      </c>
      <c r="E1650" s="895">
        <f t="shared" si="3229"/>
        <v>0</v>
      </c>
      <c r="F1650" s="895">
        <f t="shared" si="3229"/>
        <v>0</v>
      </c>
      <c r="G1650" s="895">
        <f t="shared" si="3229"/>
        <v>0</v>
      </c>
      <c r="H1650" s="895">
        <f t="shared" si="3229"/>
        <v>0</v>
      </c>
      <c r="I1650" s="895">
        <f t="shared" si="3229"/>
        <v>0</v>
      </c>
      <c r="J1650" s="895">
        <f t="shared" si="3229"/>
        <v>0</v>
      </c>
      <c r="K1650" s="895">
        <f t="shared" si="3229"/>
        <v>0</v>
      </c>
      <c r="L1650" s="906">
        <f t="shared" si="3229"/>
        <v>0</v>
      </c>
      <c r="O1650" s="669"/>
      <c r="P1650" s="669"/>
      <c r="Q1650" s="669"/>
      <c r="R1650" s="669"/>
      <c r="S1650" s="669"/>
      <c r="T1650" s="669"/>
      <c r="V1650" s="669"/>
      <c r="W1650" s="669"/>
      <c r="X1650" s="669"/>
      <c r="Y1650" s="669"/>
      <c r="AD1650" s="663"/>
      <c r="AE1650" s="663"/>
      <c r="AF1650" s="663"/>
      <c r="AG1650" s="663"/>
      <c r="AH1650" s="663"/>
      <c r="AI1650" s="663"/>
      <c r="AJ1650" s="663"/>
      <c r="AK1650" s="663"/>
      <c r="AL1650" s="663"/>
      <c r="AM1650" s="663"/>
      <c r="AN1650" s="663"/>
    </row>
    <row r="1651" spans="2:40" x14ac:dyDescent="0.25">
      <c r="B1651" s="665" t="str">
        <f t="shared" si="3221"/>
        <v>-</v>
      </c>
      <c r="C1651" s="895">
        <f>IF(SUM($O$29:$O$37)=0,0,C1624/SUM($O$29:$O$37))</f>
        <v>0</v>
      </c>
      <c r="D1651" s="895">
        <f t="shared" ref="D1651:L1651" si="3230">IF(SUM($O$29:$O$37)=0,0,D1624/SUM($O$29:$O$37))</f>
        <v>0</v>
      </c>
      <c r="E1651" s="895">
        <f t="shared" si="3230"/>
        <v>0</v>
      </c>
      <c r="F1651" s="895">
        <f t="shared" si="3230"/>
        <v>0</v>
      </c>
      <c r="G1651" s="895">
        <f t="shared" si="3230"/>
        <v>0</v>
      </c>
      <c r="H1651" s="895">
        <f t="shared" si="3230"/>
        <v>0</v>
      </c>
      <c r="I1651" s="895">
        <f t="shared" si="3230"/>
        <v>0</v>
      </c>
      <c r="J1651" s="895">
        <f t="shared" si="3230"/>
        <v>0</v>
      </c>
      <c r="K1651" s="895">
        <f t="shared" si="3230"/>
        <v>0</v>
      </c>
      <c r="L1651" s="906">
        <f t="shared" si="3230"/>
        <v>0</v>
      </c>
      <c r="O1651" s="669"/>
      <c r="P1651" s="669"/>
      <c r="Q1651" s="669"/>
      <c r="R1651" s="669"/>
      <c r="S1651" s="669"/>
      <c r="T1651" s="669"/>
      <c r="V1651" s="669"/>
      <c r="W1651" s="669"/>
      <c r="X1651" s="669"/>
      <c r="Y1651" s="669"/>
      <c r="AD1651" s="663"/>
      <c r="AE1651" s="663"/>
      <c r="AF1651" s="663"/>
      <c r="AG1651" s="663"/>
      <c r="AH1651" s="663"/>
      <c r="AI1651" s="663"/>
      <c r="AJ1651" s="663"/>
      <c r="AK1651" s="663"/>
      <c r="AL1651" s="663"/>
      <c r="AM1651" s="663"/>
      <c r="AN1651" s="663"/>
    </row>
    <row r="1652" spans="2:40" x14ac:dyDescent="0.25">
      <c r="B1652" s="665" t="str">
        <f t="shared" si="3221"/>
        <v>Warrants Series A</v>
      </c>
      <c r="C1652" s="895">
        <f>IF($F$38=0,0,C1625/$F$38)</f>
        <v>0.94126506024096401</v>
      </c>
      <c r="D1652" s="895">
        <f t="shared" ref="D1652:L1652" si="3231">IF($F$38=0,0,D1625/$F$38)</f>
        <v>1.4118975903614459</v>
      </c>
      <c r="E1652" s="895">
        <f t="shared" si="3231"/>
        <v>1.882530120481928</v>
      </c>
      <c r="F1652" s="895">
        <f t="shared" si="3231"/>
        <v>2.3531626506024099</v>
      </c>
      <c r="G1652" s="895">
        <f t="shared" si="3231"/>
        <v>2.8237951807228918</v>
      </c>
      <c r="H1652" s="895">
        <f t="shared" si="3231"/>
        <v>3.2944277108433737</v>
      </c>
      <c r="I1652" s="895">
        <f t="shared" si="3231"/>
        <v>3.7650602409638561</v>
      </c>
      <c r="J1652" s="895">
        <f t="shared" si="3231"/>
        <v>4.2356927710843371</v>
      </c>
      <c r="K1652" s="895">
        <f t="shared" si="3231"/>
        <v>4.7063253012048198</v>
      </c>
      <c r="L1652" s="906">
        <f t="shared" si="3231"/>
        <v>5.1769578313253009</v>
      </c>
      <c r="O1652" s="669"/>
      <c r="P1652" s="669"/>
      <c r="Q1652" s="669"/>
      <c r="R1652" s="669"/>
      <c r="S1652" s="669"/>
      <c r="T1652" s="669"/>
      <c r="V1652" s="669"/>
      <c r="W1652" s="669"/>
      <c r="X1652" s="669"/>
      <c r="Y1652" s="669"/>
      <c r="AD1652" s="663"/>
      <c r="AE1652" s="663"/>
      <c r="AF1652" s="663"/>
      <c r="AG1652" s="663"/>
      <c r="AH1652" s="663"/>
      <c r="AI1652" s="663"/>
      <c r="AJ1652" s="663"/>
      <c r="AK1652" s="663"/>
      <c r="AL1652" s="663"/>
      <c r="AM1652" s="663"/>
      <c r="AN1652" s="663"/>
    </row>
    <row r="1653" spans="2:40" x14ac:dyDescent="0.25">
      <c r="B1653" s="665" t="str">
        <f t="shared" si="3221"/>
        <v>Warrants Series B</v>
      </c>
      <c r="C1653" s="895">
        <f>IF($G$38=0,0,C1626/$G$38)</f>
        <v>0.94126506024096401</v>
      </c>
      <c r="D1653" s="895">
        <f t="shared" ref="D1653:L1653" si="3232">IF($G$38=0,0,D1626/$G$38)</f>
        <v>1.4118975903614459</v>
      </c>
      <c r="E1653" s="895">
        <f t="shared" si="3232"/>
        <v>1.882530120481928</v>
      </c>
      <c r="F1653" s="895">
        <f t="shared" si="3232"/>
        <v>2.3531626506024099</v>
      </c>
      <c r="G1653" s="895">
        <f t="shared" si="3232"/>
        <v>2.8237951807228918</v>
      </c>
      <c r="H1653" s="895">
        <f t="shared" si="3232"/>
        <v>3.2944277108433737</v>
      </c>
      <c r="I1653" s="895">
        <f t="shared" si="3232"/>
        <v>3.7650602409638561</v>
      </c>
      <c r="J1653" s="895">
        <f t="shared" si="3232"/>
        <v>4.2356927710843371</v>
      </c>
      <c r="K1653" s="895">
        <f t="shared" si="3232"/>
        <v>4.7063253012048198</v>
      </c>
      <c r="L1653" s="906">
        <f t="shared" si="3232"/>
        <v>5.1769578313253009</v>
      </c>
      <c r="O1653" s="669"/>
      <c r="P1653" s="669"/>
      <c r="Q1653" s="669"/>
      <c r="R1653" s="669"/>
      <c r="S1653" s="669"/>
      <c r="T1653" s="669"/>
      <c r="V1653" s="669"/>
      <c r="W1653" s="669"/>
      <c r="X1653" s="669"/>
      <c r="Y1653" s="669"/>
      <c r="AD1653" s="663"/>
      <c r="AE1653" s="663"/>
      <c r="AF1653" s="663"/>
      <c r="AG1653" s="663"/>
      <c r="AH1653" s="663"/>
      <c r="AI1653" s="663"/>
      <c r="AJ1653" s="663"/>
      <c r="AK1653" s="663"/>
      <c r="AL1653" s="663"/>
      <c r="AM1653" s="663"/>
      <c r="AN1653" s="663"/>
    </row>
    <row r="1654" spans="2:40" x14ac:dyDescent="0.25">
      <c r="B1654" s="665" t="str">
        <f t="shared" si="3221"/>
        <v>Warrants Series C</v>
      </c>
      <c r="C1654" s="895">
        <f>IF($H$38=0,0,C1627/$H$38)</f>
        <v>0.94126506024096401</v>
      </c>
      <c r="D1654" s="895">
        <f t="shared" ref="D1654:L1654" si="3233">IF($H$38=0,0,D1627/$H$38)</f>
        <v>1.4118975903614459</v>
      </c>
      <c r="E1654" s="895">
        <f t="shared" si="3233"/>
        <v>1.882530120481928</v>
      </c>
      <c r="F1654" s="895">
        <f t="shared" si="3233"/>
        <v>2.3531626506024099</v>
      </c>
      <c r="G1654" s="895">
        <f t="shared" si="3233"/>
        <v>2.8237951807228918</v>
      </c>
      <c r="H1654" s="895">
        <f t="shared" si="3233"/>
        <v>3.2944277108433737</v>
      </c>
      <c r="I1654" s="895">
        <f t="shared" si="3233"/>
        <v>3.7650602409638561</v>
      </c>
      <c r="J1654" s="895">
        <f t="shared" si="3233"/>
        <v>4.2356927710843371</v>
      </c>
      <c r="K1654" s="895">
        <f t="shared" si="3233"/>
        <v>4.7063253012048198</v>
      </c>
      <c r="L1654" s="906">
        <f t="shared" si="3233"/>
        <v>5.1769578313253009</v>
      </c>
      <c r="O1654" s="669"/>
      <c r="P1654" s="669"/>
      <c r="Q1654" s="669"/>
      <c r="R1654" s="669"/>
      <c r="S1654" s="669"/>
      <c r="T1654" s="669"/>
      <c r="V1654" s="669"/>
      <c r="W1654" s="669"/>
      <c r="X1654" s="669"/>
      <c r="Y1654" s="669"/>
      <c r="AD1654" s="663"/>
      <c r="AE1654" s="663"/>
      <c r="AF1654" s="663"/>
      <c r="AG1654" s="663"/>
      <c r="AH1654" s="663"/>
      <c r="AI1654" s="663"/>
      <c r="AJ1654" s="663"/>
      <c r="AK1654" s="663"/>
      <c r="AL1654" s="663"/>
      <c r="AM1654" s="663"/>
      <c r="AN1654" s="663"/>
    </row>
    <row r="1655" spans="2:40" x14ac:dyDescent="0.25">
      <c r="B1655" s="665" t="str">
        <f t="shared" si="3221"/>
        <v>Warrants Series D</v>
      </c>
      <c r="C1655" s="895">
        <f>IF($I$38=0,0,C1628/$I$38)</f>
        <v>0.94126506024096401</v>
      </c>
      <c r="D1655" s="895">
        <f t="shared" ref="D1655:L1655" si="3234">IF($I$38=0,0,D1628/$I$38)</f>
        <v>1.4118975903614459</v>
      </c>
      <c r="E1655" s="895">
        <f t="shared" si="3234"/>
        <v>1.882530120481928</v>
      </c>
      <c r="F1655" s="895">
        <f t="shared" si="3234"/>
        <v>2.3531626506024099</v>
      </c>
      <c r="G1655" s="895">
        <f t="shared" si="3234"/>
        <v>2.8237951807228918</v>
      </c>
      <c r="H1655" s="895">
        <f t="shared" si="3234"/>
        <v>3.2944277108433737</v>
      </c>
      <c r="I1655" s="895">
        <f t="shared" si="3234"/>
        <v>3.7650602409638561</v>
      </c>
      <c r="J1655" s="895">
        <f t="shared" si="3234"/>
        <v>4.2356927710843371</v>
      </c>
      <c r="K1655" s="895">
        <f t="shared" si="3234"/>
        <v>4.7063253012048198</v>
      </c>
      <c r="L1655" s="906">
        <f t="shared" si="3234"/>
        <v>5.1769578313253009</v>
      </c>
      <c r="O1655" s="669"/>
      <c r="P1655" s="669"/>
      <c r="Q1655" s="669"/>
      <c r="R1655" s="669"/>
      <c r="S1655" s="669"/>
      <c r="T1655" s="669"/>
      <c r="V1655" s="669"/>
      <c r="W1655" s="669"/>
      <c r="X1655" s="669"/>
      <c r="Y1655" s="669"/>
      <c r="AD1655" s="663"/>
      <c r="AE1655" s="663"/>
      <c r="AF1655" s="663"/>
      <c r="AG1655" s="663"/>
      <c r="AH1655" s="663"/>
      <c r="AI1655" s="663"/>
      <c r="AJ1655" s="663"/>
      <c r="AK1655" s="663"/>
      <c r="AL1655" s="663"/>
      <c r="AM1655" s="663"/>
      <c r="AN1655" s="663"/>
    </row>
    <row r="1656" spans="2:40" x14ac:dyDescent="0.25">
      <c r="B1656" s="665" t="str">
        <f t="shared" si="3221"/>
        <v>Warrants -</v>
      </c>
      <c r="C1656" s="895">
        <f>IF($J$38=0,0,C1629/$J$38)</f>
        <v>0</v>
      </c>
      <c r="D1656" s="895">
        <f t="shared" ref="D1656:L1656" si="3235">IF($J$38=0,0,D1629/$J$38)</f>
        <v>0</v>
      </c>
      <c r="E1656" s="895">
        <f t="shared" si="3235"/>
        <v>0</v>
      </c>
      <c r="F1656" s="895">
        <f t="shared" si="3235"/>
        <v>0</v>
      </c>
      <c r="G1656" s="895">
        <f t="shared" si="3235"/>
        <v>0</v>
      </c>
      <c r="H1656" s="895">
        <f t="shared" si="3235"/>
        <v>0</v>
      </c>
      <c r="I1656" s="895">
        <f t="shared" si="3235"/>
        <v>0</v>
      </c>
      <c r="J1656" s="895">
        <f t="shared" si="3235"/>
        <v>0</v>
      </c>
      <c r="K1656" s="895">
        <f t="shared" si="3235"/>
        <v>0</v>
      </c>
      <c r="L1656" s="906">
        <f t="shared" si="3235"/>
        <v>0</v>
      </c>
      <c r="O1656" s="669"/>
      <c r="P1656" s="669"/>
      <c r="Q1656" s="669"/>
      <c r="R1656" s="669"/>
      <c r="S1656" s="669"/>
      <c r="T1656" s="669"/>
      <c r="V1656" s="669"/>
      <c r="W1656" s="669"/>
      <c r="X1656" s="669"/>
      <c r="Y1656" s="669"/>
      <c r="AD1656" s="663"/>
      <c r="AE1656" s="663"/>
      <c r="AF1656" s="663"/>
      <c r="AG1656" s="663"/>
      <c r="AH1656" s="663"/>
      <c r="AI1656" s="663"/>
      <c r="AJ1656" s="663"/>
      <c r="AK1656" s="663"/>
      <c r="AL1656" s="663"/>
      <c r="AM1656" s="663"/>
      <c r="AN1656" s="663"/>
    </row>
    <row r="1657" spans="2:40" x14ac:dyDescent="0.25">
      <c r="B1657" s="665" t="str">
        <f t="shared" si="3221"/>
        <v>Warrants -</v>
      </c>
      <c r="C1657" s="895">
        <f>IF($K$38=0,0,C1630/$K$38)</f>
        <v>0</v>
      </c>
      <c r="D1657" s="895">
        <f t="shared" ref="D1657:L1657" si="3236">IF($K$38=0,0,D1630/$K$38)</f>
        <v>0</v>
      </c>
      <c r="E1657" s="895">
        <f t="shared" si="3236"/>
        <v>0</v>
      </c>
      <c r="F1657" s="895">
        <f t="shared" si="3236"/>
        <v>0</v>
      </c>
      <c r="G1657" s="895">
        <f t="shared" si="3236"/>
        <v>0</v>
      </c>
      <c r="H1657" s="895">
        <f t="shared" si="3236"/>
        <v>0</v>
      </c>
      <c r="I1657" s="895">
        <f t="shared" si="3236"/>
        <v>0</v>
      </c>
      <c r="J1657" s="895">
        <f t="shared" si="3236"/>
        <v>0</v>
      </c>
      <c r="K1657" s="895">
        <f t="shared" si="3236"/>
        <v>0</v>
      </c>
      <c r="L1657" s="906">
        <f t="shared" si="3236"/>
        <v>0</v>
      </c>
      <c r="O1657" s="669"/>
      <c r="P1657" s="669"/>
      <c r="Q1657" s="669"/>
      <c r="R1657" s="669"/>
      <c r="S1657" s="669"/>
      <c r="T1657" s="669"/>
      <c r="V1657" s="669"/>
      <c r="W1657" s="669"/>
      <c r="X1657" s="669"/>
      <c r="Y1657" s="669"/>
      <c r="AD1657" s="663"/>
      <c r="AE1657" s="663"/>
      <c r="AF1657" s="663"/>
      <c r="AG1657" s="663"/>
      <c r="AH1657" s="663"/>
      <c r="AI1657" s="663"/>
      <c r="AJ1657" s="663"/>
      <c r="AK1657" s="663"/>
      <c r="AL1657" s="663"/>
      <c r="AM1657" s="663"/>
      <c r="AN1657" s="663"/>
    </row>
    <row r="1658" spans="2:40" x14ac:dyDescent="0.25">
      <c r="B1658" s="665" t="str">
        <f t="shared" si="3221"/>
        <v>Warrants -</v>
      </c>
      <c r="C1658" s="895">
        <f>IF($L$38=0,0,C1631/$L$38)</f>
        <v>0</v>
      </c>
      <c r="D1658" s="895">
        <f t="shared" ref="D1658:L1658" si="3237">IF($L$38=0,0,D1631/$L$38)</f>
        <v>0</v>
      </c>
      <c r="E1658" s="895">
        <f t="shared" si="3237"/>
        <v>0</v>
      </c>
      <c r="F1658" s="895">
        <f t="shared" si="3237"/>
        <v>0</v>
      </c>
      <c r="G1658" s="895">
        <f t="shared" si="3237"/>
        <v>0</v>
      </c>
      <c r="H1658" s="895">
        <f t="shared" si="3237"/>
        <v>0</v>
      </c>
      <c r="I1658" s="895">
        <f t="shared" si="3237"/>
        <v>0</v>
      </c>
      <c r="J1658" s="895">
        <f t="shared" si="3237"/>
        <v>0</v>
      </c>
      <c r="K1658" s="895">
        <f t="shared" si="3237"/>
        <v>0</v>
      </c>
      <c r="L1658" s="906">
        <f t="shared" si="3237"/>
        <v>0</v>
      </c>
      <c r="O1658" s="669"/>
      <c r="P1658" s="669"/>
      <c r="Q1658" s="669"/>
      <c r="R1658" s="669"/>
      <c r="S1658" s="669"/>
      <c r="T1658" s="669"/>
      <c r="V1658" s="669"/>
      <c r="W1658" s="669"/>
      <c r="X1658" s="669"/>
      <c r="Y1658" s="669"/>
      <c r="AD1658" s="663"/>
      <c r="AE1658" s="663"/>
      <c r="AF1658" s="663"/>
      <c r="AG1658" s="663"/>
      <c r="AH1658" s="663"/>
      <c r="AI1658" s="663"/>
      <c r="AJ1658" s="663"/>
      <c r="AK1658" s="663"/>
      <c r="AL1658" s="663"/>
      <c r="AM1658" s="663"/>
      <c r="AN1658" s="663"/>
    </row>
    <row r="1659" spans="2:40" x14ac:dyDescent="0.25">
      <c r="B1659" s="665" t="str">
        <f t="shared" si="3221"/>
        <v>Warrants -</v>
      </c>
      <c r="C1659" s="895">
        <f>IF($M$38=0,0,C1632/$M$38)</f>
        <v>0</v>
      </c>
      <c r="D1659" s="895">
        <f t="shared" ref="D1659:L1659" si="3238">IF($M$38=0,0,D1632/$M$38)</f>
        <v>0</v>
      </c>
      <c r="E1659" s="895">
        <f t="shared" si="3238"/>
        <v>0</v>
      </c>
      <c r="F1659" s="895">
        <f t="shared" si="3238"/>
        <v>0</v>
      </c>
      <c r="G1659" s="895">
        <f t="shared" si="3238"/>
        <v>0</v>
      </c>
      <c r="H1659" s="895">
        <f t="shared" si="3238"/>
        <v>0</v>
      </c>
      <c r="I1659" s="895">
        <f t="shared" si="3238"/>
        <v>0</v>
      </c>
      <c r="J1659" s="895">
        <f t="shared" si="3238"/>
        <v>0</v>
      </c>
      <c r="K1659" s="895">
        <f t="shared" si="3238"/>
        <v>0</v>
      </c>
      <c r="L1659" s="906">
        <f t="shared" si="3238"/>
        <v>0</v>
      </c>
      <c r="O1659" s="669"/>
      <c r="P1659" s="669"/>
      <c r="Q1659" s="669"/>
      <c r="R1659" s="669"/>
      <c r="S1659" s="669"/>
      <c r="T1659" s="669"/>
      <c r="V1659" s="669"/>
      <c r="W1659" s="669"/>
      <c r="X1659" s="669"/>
      <c r="Y1659" s="669"/>
      <c r="AD1659" s="663"/>
      <c r="AE1659" s="663"/>
      <c r="AF1659" s="663"/>
      <c r="AG1659" s="663"/>
      <c r="AH1659" s="663"/>
      <c r="AI1659" s="663"/>
      <c r="AJ1659" s="663"/>
      <c r="AK1659" s="663"/>
      <c r="AL1659" s="663"/>
      <c r="AM1659" s="663"/>
      <c r="AN1659" s="663"/>
    </row>
    <row r="1660" spans="2:40" x14ac:dyDescent="0.25">
      <c r="B1660" s="665" t="str">
        <f t="shared" si="3221"/>
        <v>Warrants -</v>
      </c>
      <c r="C1660" s="895">
        <f>IF($N$38=0,0,C1633/$N$38)</f>
        <v>0</v>
      </c>
      <c r="D1660" s="895">
        <f t="shared" ref="D1660:L1660" si="3239">IF($N$38=0,0,D1633/$N$38)</f>
        <v>0</v>
      </c>
      <c r="E1660" s="895">
        <f t="shared" si="3239"/>
        <v>0</v>
      </c>
      <c r="F1660" s="895">
        <f t="shared" si="3239"/>
        <v>0</v>
      </c>
      <c r="G1660" s="895">
        <f t="shared" si="3239"/>
        <v>0</v>
      </c>
      <c r="H1660" s="895">
        <f t="shared" si="3239"/>
        <v>0</v>
      </c>
      <c r="I1660" s="895">
        <f t="shared" si="3239"/>
        <v>0</v>
      </c>
      <c r="J1660" s="895">
        <f t="shared" si="3239"/>
        <v>0</v>
      </c>
      <c r="K1660" s="895">
        <f t="shared" si="3239"/>
        <v>0</v>
      </c>
      <c r="L1660" s="906">
        <f t="shared" si="3239"/>
        <v>0</v>
      </c>
      <c r="O1660" s="669"/>
      <c r="P1660" s="669"/>
      <c r="Q1660" s="669"/>
      <c r="R1660" s="669"/>
      <c r="S1660" s="669"/>
      <c r="T1660" s="669"/>
      <c r="V1660" s="669"/>
      <c r="W1660" s="669"/>
      <c r="X1660" s="669"/>
      <c r="Y1660" s="669"/>
      <c r="AD1660" s="663"/>
      <c r="AE1660" s="663"/>
      <c r="AF1660" s="663"/>
      <c r="AG1660" s="663"/>
      <c r="AH1660" s="663"/>
      <c r="AI1660" s="663"/>
      <c r="AJ1660" s="663"/>
      <c r="AK1660" s="663"/>
      <c r="AL1660" s="663"/>
      <c r="AM1660" s="663"/>
      <c r="AN1660" s="663"/>
    </row>
    <row r="1661" spans="2:40" x14ac:dyDescent="0.25">
      <c r="B1661" s="665" t="str">
        <f t="shared" si="3221"/>
        <v>Warrants -</v>
      </c>
      <c r="C1661" s="895">
        <f>IF($O$38=0,0,C1634/$O$38)</f>
        <v>0</v>
      </c>
      <c r="D1661" s="895">
        <f t="shared" ref="D1661:L1661" si="3240">IF($O$38=0,0,D1634/$O$38)</f>
        <v>0</v>
      </c>
      <c r="E1661" s="895">
        <f t="shared" si="3240"/>
        <v>0</v>
      </c>
      <c r="F1661" s="895">
        <f t="shared" si="3240"/>
        <v>0</v>
      </c>
      <c r="G1661" s="895">
        <f t="shared" si="3240"/>
        <v>0</v>
      </c>
      <c r="H1661" s="895">
        <f t="shared" si="3240"/>
        <v>0</v>
      </c>
      <c r="I1661" s="895">
        <f t="shared" si="3240"/>
        <v>0</v>
      </c>
      <c r="J1661" s="895">
        <f t="shared" si="3240"/>
        <v>0</v>
      </c>
      <c r="K1661" s="895">
        <f t="shared" si="3240"/>
        <v>0</v>
      </c>
      <c r="L1661" s="906">
        <f t="shared" si="3240"/>
        <v>0</v>
      </c>
      <c r="O1661" s="669"/>
      <c r="P1661" s="669"/>
      <c r="Q1661" s="669"/>
      <c r="R1661" s="669"/>
      <c r="S1661" s="669"/>
      <c r="T1661" s="669"/>
      <c r="V1661" s="669"/>
      <c r="W1661" s="669"/>
      <c r="X1661" s="669"/>
      <c r="Y1661" s="669"/>
      <c r="AD1661" s="663"/>
      <c r="AE1661" s="663"/>
      <c r="AF1661" s="663"/>
      <c r="AG1661" s="663"/>
      <c r="AH1661" s="663"/>
      <c r="AI1661" s="663"/>
      <c r="AJ1661" s="663"/>
      <c r="AK1661" s="663"/>
      <c r="AL1661" s="663"/>
      <c r="AM1661" s="663"/>
      <c r="AN1661" s="663"/>
    </row>
    <row r="1662" spans="2:40" x14ac:dyDescent="0.25">
      <c r="B1662" s="665"/>
      <c r="C1662" s="662"/>
      <c r="L1662" s="664"/>
      <c r="O1662" s="669"/>
      <c r="P1662" s="669"/>
      <c r="Q1662" s="669"/>
      <c r="R1662" s="669"/>
      <c r="S1662" s="669"/>
      <c r="T1662" s="669"/>
      <c r="V1662" s="669"/>
      <c r="W1662" s="669"/>
      <c r="X1662" s="669"/>
      <c r="Y1662" s="669"/>
      <c r="AD1662" s="663"/>
      <c r="AE1662" s="663"/>
      <c r="AF1662" s="663"/>
      <c r="AG1662" s="663"/>
      <c r="AH1662" s="663"/>
      <c r="AI1662" s="663"/>
      <c r="AJ1662" s="663"/>
      <c r="AK1662" s="663"/>
      <c r="AL1662" s="663"/>
      <c r="AM1662" s="663"/>
      <c r="AN1662" s="663"/>
    </row>
    <row r="1663" spans="2:40" x14ac:dyDescent="0.25">
      <c r="B1663" s="668"/>
      <c r="C1663" s="662"/>
      <c r="L1663" s="664"/>
      <c r="O1663" s="669"/>
      <c r="P1663" s="669"/>
      <c r="Q1663" s="669"/>
      <c r="R1663" s="669"/>
      <c r="S1663" s="669"/>
      <c r="T1663" s="669"/>
      <c r="V1663" s="669"/>
      <c r="W1663" s="669"/>
      <c r="X1663" s="669"/>
      <c r="Y1663" s="669"/>
      <c r="AD1663" s="663"/>
      <c r="AE1663" s="663"/>
      <c r="AF1663" s="663"/>
      <c r="AG1663" s="663"/>
      <c r="AH1663" s="663"/>
      <c r="AI1663" s="663"/>
      <c r="AJ1663" s="663"/>
      <c r="AK1663" s="663"/>
      <c r="AL1663" s="663"/>
      <c r="AM1663" s="663"/>
      <c r="AN1663" s="663"/>
    </row>
    <row r="1664" spans="2:40" outlineLevel="1" x14ac:dyDescent="0.25">
      <c r="B1664" s="937" t="str">
        <f>CONCATENATE(B29," Gross Return Analysis")</f>
        <v>HTGC Gross Return Analysis</v>
      </c>
      <c r="C1664" s="662"/>
      <c r="L1664" s="664"/>
      <c r="O1664" s="669"/>
      <c r="P1664" s="669"/>
      <c r="Q1664" s="669"/>
      <c r="R1664" s="669"/>
      <c r="S1664" s="669"/>
      <c r="T1664" s="669"/>
      <c r="V1664" s="669"/>
      <c r="W1664" s="669"/>
      <c r="X1664" s="669"/>
      <c r="Y1664" s="669"/>
      <c r="AD1664" s="663"/>
      <c r="AE1664" s="663"/>
      <c r="AF1664" s="663"/>
      <c r="AG1664" s="663"/>
      <c r="AH1664" s="663"/>
      <c r="AI1664" s="663"/>
      <c r="AJ1664" s="663"/>
      <c r="AK1664" s="663"/>
      <c r="AL1664" s="663"/>
      <c r="AM1664" s="663"/>
      <c r="AN1664" s="663"/>
    </row>
    <row r="1665" spans="2:40" outlineLevel="1" x14ac:dyDescent="0.25">
      <c r="B1665" s="668" t="str">
        <f>B946</f>
        <v>Gross Return</v>
      </c>
      <c r="C1665" s="666">
        <f>C1610*$M$1554</f>
        <v>1882530.1204819279</v>
      </c>
      <c r="D1665" s="666">
        <f t="shared" ref="D1665:L1665" si="3241">D1610*$M$1554</f>
        <v>2823795.1807228918</v>
      </c>
      <c r="E1665" s="666">
        <f t="shared" si="3241"/>
        <v>3765060.2409638558</v>
      </c>
      <c r="F1665" s="666">
        <f t="shared" si="3241"/>
        <v>4706325.3012048192</v>
      </c>
      <c r="G1665" s="666">
        <f t="shared" si="3241"/>
        <v>5647590.3614457836</v>
      </c>
      <c r="H1665" s="666">
        <f t="shared" si="3241"/>
        <v>6588855.4216867471</v>
      </c>
      <c r="I1665" s="666">
        <f t="shared" si="3241"/>
        <v>7530120.4819277115</v>
      </c>
      <c r="J1665" s="666">
        <f t="shared" si="3241"/>
        <v>8471385.542168675</v>
      </c>
      <c r="K1665" s="666">
        <f t="shared" si="3241"/>
        <v>9412650.6024096385</v>
      </c>
      <c r="L1665" s="667">
        <f t="shared" si="3241"/>
        <v>10353915.662650604</v>
      </c>
      <c r="O1665" s="669"/>
      <c r="P1665" s="669"/>
      <c r="Q1665" s="669"/>
      <c r="R1665" s="669"/>
      <c r="S1665" s="669"/>
      <c r="T1665" s="669"/>
      <c r="V1665" s="669"/>
      <c r="W1665" s="669"/>
      <c r="X1665" s="669"/>
      <c r="Y1665" s="669"/>
      <c r="AD1665" s="663"/>
      <c r="AE1665" s="663"/>
      <c r="AF1665" s="663"/>
      <c r="AG1665" s="663"/>
      <c r="AH1665" s="663"/>
      <c r="AI1665" s="663"/>
      <c r="AJ1665" s="663"/>
      <c r="AK1665" s="663"/>
      <c r="AL1665" s="663"/>
      <c r="AM1665" s="663"/>
      <c r="AN1665" s="663"/>
    </row>
    <row r="1666" spans="2:40" outlineLevel="1" x14ac:dyDescent="0.25">
      <c r="B1666" s="668" t="str">
        <f>B947</f>
        <v>Gross Return Multiple</v>
      </c>
      <c r="C1666" s="895">
        <f>C1665/$T$29</f>
        <v>0.6275100401606426</v>
      </c>
      <c r="D1666" s="895">
        <f t="shared" ref="D1666:L1666" si="3242">D1665/$T$29</f>
        <v>0.9412650602409639</v>
      </c>
      <c r="E1666" s="895">
        <f t="shared" si="3242"/>
        <v>1.2550200803212852</v>
      </c>
      <c r="F1666" s="895">
        <f t="shared" si="3242"/>
        <v>1.5687751004016064</v>
      </c>
      <c r="G1666" s="895">
        <f t="shared" si="3242"/>
        <v>1.8825301204819278</v>
      </c>
      <c r="H1666" s="895">
        <f t="shared" si="3242"/>
        <v>2.196285140562249</v>
      </c>
      <c r="I1666" s="895">
        <f t="shared" si="3242"/>
        <v>2.5100401606425704</v>
      </c>
      <c r="J1666" s="895">
        <f t="shared" si="3242"/>
        <v>2.8237951807228918</v>
      </c>
      <c r="K1666" s="895">
        <f t="shared" si="3242"/>
        <v>3.1375502008032128</v>
      </c>
      <c r="L1666" s="906">
        <f t="shared" si="3242"/>
        <v>3.4513052208835346</v>
      </c>
      <c r="O1666" s="669"/>
      <c r="P1666" s="669"/>
      <c r="Q1666" s="669"/>
      <c r="R1666" s="669"/>
      <c r="S1666" s="669"/>
      <c r="T1666" s="669"/>
      <c r="V1666" s="669"/>
      <c r="W1666" s="669"/>
      <c r="X1666" s="669"/>
      <c r="Y1666" s="669"/>
      <c r="AD1666" s="663"/>
      <c r="AE1666" s="663"/>
      <c r="AF1666" s="663"/>
      <c r="AG1666" s="663"/>
      <c r="AH1666" s="663"/>
      <c r="AI1666" s="663"/>
      <c r="AJ1666" s="663"/>
      <c r="AK1666" s="663"/>
      <c r="AL1666" s="663"/>
      <c r="AM1666" s="663"/>
      <c r="AN1666" s="663"/>
    </row>
    <row r="1667" spans="2:40" outlineLevel="1" x14ac:dyDescent="0.25">
      <c r="B1667" s="668" t="str">
        <f>CONCATENATE(B948, " + 180 days lockup")</f>
        <v>IRR in 38 months (03/12) + 180 days lockup</v>
      </c>
      <c r="C1667" s="888" t="str">
        <f ca="1">C967</f>
        <v>N/A</v>
      </c>
      <c r="D1667" s="888" t="str">
        <f t="shared" ref="D1667:L1667" ca="1" si="3243">D967</f>
        <v>N/A</v>
      </c>
      <c r="E1667" s="888">
        <f t="shared" ca="1" si="3243"/>
        <v>4.6490618586540217E-2</v>
      </c>
      <c r="F1667" s="888">
        <f t="shared" ca="1" si="3243"/>
        <v>9.4165918231010434E-2</v>
      </c>
      <c r="G1667" s="888">
        <f t="shared" ca="1" si="3243"/>
        <v>0.13465133309364322</v>
      </c>
      <c r="H1667" s="888">
        <f t="shared" ca="1" si="3243"/>
        <v>0.16999245285987852</v>
      </c>
      <c r="I1667" s="888">
        <f t="shared" ca="1" si="3243"/>
        <v>0.20145263075828554</v>
      </c>
      <c r="J1667" s="888">
        <f t="shared" ca="1" si="3243"/>
        <v>0.22987049221992498</v>
      </c>
      <c r="K1667" s="888">
        <f t="shared" ca="1" si="3243"/>
        <v>0.25583305954933167</v>
      </c>
      <c r="L1667" s="909">
        <f t="shared" ca="1" si="3243"/>
        <v>0.27976831793785095</v>
      </c>
      <c r="O1667" s="669"/>
      <c r="P1667" s="669"/>
      <c r="Q1667" s="669"/>
      <c r="R1667" s="669"/>
      <c r="S1667" s="669"/>
      <c r="T1667" s="669"/>
      <c r="V1667" s="669"/>
      <c r="W1667" s="669"/>
      <c r="X1667" s="669"/>
      <c r="Y1667" s="669"/>
      <c r="AD1667" s="663"/>
      <c r="AE1667" s="663"/>
      <c r="AF1667" s="663"/>
      <c r="AG1667" s="663"/>
      <c r="AH1667" s="663"/>
      <c r="AI1667" s="663"/>
      <c r="AJ1667" s="663"/>
      <c r="AK1667" s="663"/>
      <c r="AL1667" s="663"/>
      <c r="AM1667" s="663"/>
      <c r="AN1667" s="663"/>
    </row>
    <row r="1668" spans="2:40" outlineLevel="1" x14ac:dyDescent="0.25">
      <c r="B1668" s="668" t="str">
        <f t="shared" ref="B1668:B1670" si="3244">CONCATENATE(B949, " + 180 days lockup")</f>
        <v>IRR in 44 months (09/12) + 180 days lockup</v>
      </c>
      <c r="C1668" s="888" t="str">
        <f ca="1">C983</f>
        <v>N/A</v>
      </c>
      <c r="D1668" s="888" t="str">
        <f t="shared" ref="D1668:L1668" ca="1" si="3245">D983</f>
        <v>N/A</v>
      </c>
      <c r="E1668" s="888">
        <f t="shared" ca="1" si="3245"/>
        <v>4.2232611775398249E-2</v>
      </c>
      <c r="F1668" s="888">
        <f t="shared" ca="1" si="3245"/>
        <v>8.5382309556007396E-2</v>
      </c>
      <c r="G1668" s="888">
        <f t="shared" ca="1" si="3245"/>
        <v>0.1219043433666229</v>
      </c>
      <c r="H1668" s="888">
        <f t="shared" ca="1" si="3245"/>
        <v>0.15369930863380435</v>
      </c>
      <c r="I1668" s="888">
        <f t="shared" ca="1" si="3245"/>
        <v>0.18193746209144593</v>
      </c>
      <c r="J1668" s="888">
        <f t="shared" ca="1" si="3245"/>
        <v>0.20739369988441467</v>
      </c>
      <c r="K1668" s="888">
        <f t="shared" ca="1" si="3245"/>
        <v>0.23060923218727111</v>
      </c>
      <c r="L1668" s="909">
        <f t="shared" ca="1" si="3245"/>
        <v>0.25197789072990417</v>
      </c>
      <c r="O1668" s="669"/>
      <c r="P1668" s="669"/>
      <c r="Q1668" s="669"/>
      <c r="R1668" s="669"/>
      <c r="S1668" s="669"/>
      <c r="T1668" s="669"/>
      <c r="V1668" s="669"/>
      <c r="W1668" s="669"/>
      <c r="X1668" s="669"/>
      <c r="Y1668" s="669"/>
      <c r="AD1668" s="663"/>
      <c r="AE1668" s="663"/>
      <c r="AF1668" s="663"/>
      <c r="AG1668" s="663"/>
      <c r="AH1668" s="663"/>
      <c r="AI1668" s="663"/>
      <c r="AJ1668" s="663"/>
      <c r="AK1668" s="663"/>
      <c r="AL1668" s="663"/>
      <c r="AM1668" s="663"/>
      <c r="AN1668" s="663"/>
    </row>
    <row r="1669" spans="2:40" outlineLevel="1" x14ac:dyDescent="0.25">
      <c r="B1669" s="668" t="str">
        <f t="shared" si="3244"/>
        <v>IRR in 50 months (03/13) + 180 days lockup</v>
      </c>
      <c r="C1669" s="888" t="str">
        <f ca="1">C999</f>
        <v>N/A</v>
      </c>
      <c r="D1669" s="888" t="str">
        <f t="shared" ref="D1669:L1669" ca="1" si="3246">D999</f>
        <v>N/A</v>
      </c>
      <c r="E1669" s="888">
        <f t="shared" ca="1" si="3246"/>
        <v>3.8688549399375924E-2</v>
      </c>
      <c r="F1669" s="888">
        <f t="shared" ca="1" si="3246"/>
        <v>7.8094807267189051E-2</v>
      </c>
      <c r="G1669" s="888">
        <f t="shared" ca="1" si="3246"/>
        <v>0.11135597825050356</v>
      </c>
      <c r="H1669" s="888">
        <f t="shared" ca="1" si="3246"/>
        <v>0.14024584889411928</v>
      </c>
      <c r="I1669" s="888">
        <f t="shared" ca="1" si="3246"/>
        <v>0.16585387587547304</v>
      </c>
      <c r="J1669" s="888">
        <f t="shared" ca="1" si="3246"/>
        <v>0.18889990448951721</v>
      </c>
      <c r="K1669" s="888">
        <f t="shared" ca="1" si="3246"/>
        <v>0.20988579392433171</v>
      </c>
      <c r="L1669" s="909">
        <f t="shared" ca="1" si="3246"/>
        <v>0.22917614579200749</v>
      </c>
      <c r="O1669" s="669"/>
      <c r="P1669" s="669"/>
      <c r="Q1669" s="669"/>
      <c r="R1669" s="669"/>
      <c r="S1669" s="669"/>
      <c r="T1669" s="669"/>
      <c r="V1669" s="669"/>
      <c r="W1669" s="669"/>
      <c r="X1669" s="669"/>
      <c r="Y1669" s="669"/>
      <c r="AD1669" s="663"/>
      <c r="AE1669" s="663"/>
      <c r="AF1669" s="663"/>
      <c r="AG1669" s="663"/>
      <c r="AH1669" s="663"/>
      <c r="AI1669" s="663"/>
      <c r="AJ1669" s="663"/>
      <c r="AK1669" s="663"/>
      <c r="AL1669" s="663"/>
      <c r="AM1669" s="663"/>
      <c r="AN1669" s="663"/>
    </row>
    <row r="1670" spans="2:40" outlineLevel="1" x14ac:dyDescent="0.25">
      <c r="B1670" s="668" t="str">
        <f t="shared" si="3244"/>
        <v>IRR in 56 months (09/13) + 180 days lockup</v>
      </c>
      <c r="C1670" s="888" t="str">
        <f ca="1">C1015</f>
        <v>N/A</v>
      </c>
      <c r="D1670" s="888" t="str">
        <f t="shared" ref="D1670:L1670" ca="1" si="3247">D1015</f>
        <v>N/A</v>
      </c>
      <c r="E1670" s="888">
        <f t="shared" ca="1" si="3247"/>
        <v>3.5692873597145097E-2</v>
      </c>
      <c r="F1670" s="888">
        <f t="shared" ca="1" si="3247"/>
        <v>7.1951696276664742E-2</v>
      </c>
      <c r="G1670" s="888">
        <f t="shared" ca="1" si="3247"/>
        <v>0.10248374342918398</v>
      </c>
      <c r="H1670" s="888">
        <f t="shared" ca="1" si="3247"/>
        <v>0.128951233625412</v>
      </c>
      <c r="I1670" s="888">
        <f t="shared" ca="1" si="3247"/>
        <v>0.15237289071083068</v>
      </c>
      <c r="J1670" s="888">
        <f t="shared" ca="1" si="3247"/>
        <v>0.1734206259250641</v>
      </c>
      <c r="K1670" s="888">
        <f t="shared" ca="1" si="3247"/>
        <v>0.1925621807575226</v>
      </c>
      <c r="L1670" s="909">
        <f t="shared" ca="1" si="3247"/>
        <v>0.21013686060905459</v>
      </c>
      <c r="O1670" s="669"/>
      <c r="P1670" s="669"/>
      <c r="Q1670" s="669"/>
      <c r="R1670" s="669"/>
      <c r="S1670" s="669"/>
      <c r="T1670" s="669"/>
      <c r="V1670" s="669"/>
      <c r="W1670" s="669"/>
      <c r="X1670" s="669"/>
      <c r="Y1670" s="669"/>
      <c r="AD1670" s="663"/>
      <c r="AE1670" s="663"/>
      <c r="AF1670" s="663"/>
      <c r="AG1670" s="663"/>
      <c r="AH1670" s="663"/>
      <c r="AI1670" s="663"/>
      <c r="AJ1670" s="663"/>
      <c r="AK1670" s="663"/>
      <c r="AL1670" s="663"/>
      <c r="AM1670" s="663"/>
      <c r="AN1670" s="663"/>
    </row>
    <row r="1671" spans="2:40" outlineLevel="1" x14ac:dyDescent="0.25">
      <c r="B1671" s="661"/>
      <c r="C1671" s="662"/>
      <c r="L1671" s="664"/>
      <c r="O1671" s="669"/>
      <c r="P1671" s="669"/>
      <c r="Q1671" s="669"/>
      <c r="R1671" s="669"/>
      <c r="S1671" s="669"/>
      <c r="T1671" s="669"/>
      <c r="V1671" s="669"/>
      <c r="W1671" s="669"/>
      <c r="X1671" s="669"/>
      <c r="Y1671" s="669"/>
      <c r="AD1671" s="663"/>
      <c r="AE1671" s="663"/>
      <c r="AF1671" s="663"/>
      <c r="AG1671" s="663"/>
      <c r="AH1671" s="663"/>
      <c r="AI1671" s="663"/>
      <c r="AJ1671" s="663"/>
      <c r="AK1671" s="663"/>
      <c r="AL1671" s="663"/>
      <c r="AM1671" s="663"/>
      <c r="AN1671" s="663"/>
    </row>
    <row r="1672" spans="2:40" x14ac:dyDescent="0.25">
      <c r="B1672" s="661"/>
      <c r="C1672" s="662"/>
      <c r="L1672" s="664"/>
      <c r="O1672" s="669"/>
      <c r="P1672" s="669"/>
      <c r="Q1672" s="669"/>
      <c r="R1672" s="669"/>
      <c r="S1672" s="669"/>
      <c r="T1672" s="669"/>
      <c r="V1672" s="669"/>
      <c r="W1672" s="669"/>
      <c r="X1672" s="669"/>
      <c r="Y1672" s="669"/>
      <c r="AD1672" s="663"/>
      <c r="AE1672" s="663"/>
      <c r="AF1672" s="663"/>
      <c r="AG1672" s="663"/>
      <c r="AH1672" s="663"/>
      <c r="AI1672" s="663"/>
      <c r="AJ1672" s="663"/>
      <c r="AK1672" s="663"/>
      <c r="AL1672" s="663"/>
      <c r="AM1672" s="663"/>
      <c r="AN1672" s="663"/>
    </row>
    <row r="1673" spans="2:40" outlineLevel="1" x14ac:dyDescent="0.25">
      <c r="B1673" s="661" t="str">
        <f>CONCATENATE(B30," Gross Return Analysis")</f>
        <v>Inv B Gross Return Analysis</v>
      </c>
      <c r="C1673" s="662"/>
      <c r="L1673" s="664"/>
      <c r="O1673" s="669"/>
      <c r="P1673" s="669"/>
      <c r="Q1673" s="669"/>
      <c r="R1673" s="669"/>
      <c r="S1673" s="669"/>
      <c r="T1673" s="669"/>
      <c r="V1673" s="669"/>
      <c r="W1673" s="669"/>
      <c r="X1673" s="669"/>
      <c r="Y1673" s="669"/>
      <c r="AD1673" s="663"/>
      <c r="AE1673" s="663"/>
      <c r="AF1673" s="663"/>
      <c r="AG1673" s="663"/>
      <c r="AH1673" s="663"/>
      <c r="AI1673" s="663"/>
      <c r="AJ1673" s="663"/>
      <c r="AK1673" s="663"/>
      <c r="AL1673" s="663"/>
      <c r="AM1673" s="663"/>
      <c r="AN1673" s="663"/>
    </row>
    <row r="1674" spans="2:40" outlineLevel="1" x14ac:dyDescent="0.25">
      <c r="B1674" s="668" t="str">
        <f>B1665</f>
        <v>Gross Return</v>
      </c>
      <c r="C1674" s="662">
        <f>$M1555*C$1610</f>
        <v>1882530.1204819279</v>
      </c>
      <c r="D1674" s="662">
        <f t="shared" ref="D1674:L1674" si="3248">$M1555*D$1610</f>
        <v>2823795.1807228918</v>
      </c>
      <c r="E1674" s="662">
        <f t="shared" si="3248"/>
        <v>3765060.2409638558</v>
      </c>
      <c r="F1674" s="662">
        <f t="shared" si="3248"/>
        <v>4706325.3012048192</v>
      </c>
      <c r="G1674" s="662">
        <f t="shared" si="3248"/>
        <v>5647590.3614457836</v>
      </c>
      <c r="H1674" s="662">
        <f t="shared" si="3248"/>
        <v>6588855.4216867471</v>
      </c>
      <c r="I1674" s="662">
        <f t="shared" si="3248"/>
        <v>7530120.4819277115</v>
      </c>
      <c r="J1674" s="662">
        <f t="shared" si="3248"/>
        <v>8471385.542168675</v>
      </c>
      <c r="K1674" s="662">
        <f t="shared" si="3248"/>
        <v>9412650.6024096385</v>
      </c>
      <c r="L1674" s="939">
        <f t="shared" si="3248"/>
        <v>10353915.662650604</v>
      </c>
      <c r="O1674" s="669"/>
      <c r="P1674" s="669"/>
      <c r="Q1674" s="669"/>
      <c r="R1674" s="669"/>
      <c r="S1674" s="669"/>
      <c r="T1674" s="669"/>
      <c r="V1674" s="669"/>
      <c r="W1674" s="669"/>
      <c r="X1674" s="669"/>
      <c r="Y1674" s="669"/>
      <c r="AD1674" s="663"/>
      <c r="AE1674" s="663"/>
      <c r="AF1674" s="663"/>
      <c r="AG1674" s="663"/>
      <c r="AH1674" s="663"/>
      <c r="AI1674" s="663"/>
      <c r="AJ1674" s="663"/>
      <c r="AK1674" s="663"/>
      <c r="AL1674" s="663"/>
      <c r="AM1674" s="663"/>
      <c r="AN1674" s="663"/>
    </row>
    <row r="1675" spans="2:40" outlineLevel="1" x14ac:dyDescent="0.25">
      <c r="B1675" s="668" t="str">
        <f t="shared" ref="B1675:B1679" si="3249">B1666</f>
        <v>Gross Return Multiple</v>
      </c>
      <c r="C1675" s="895">
        <f>C1674/$T$30</f>
        <v>0.6275100401606426</v>
      </c>
      <c r="D1675" s="895">
        <f t="shared" ref="D1675:L1675" si="3250">D1674/$T$30</f>
        <v>0.9412650602409639</v>
      </c>
      <c r="E1675" s="895">
        <f t="shared" si="3250"/>
        <v>1.2550200803212852</v>
      </c>
      <c r="F1675" s="895">
        <f t="shared" si="3250"/>
        <v>1.5687751004016064</v>
      </c>
      <c r="G1675" s="895">
        <f t="shared" si="3250"/>
        <v>1.8825301204819278</v>
      </c>
      <c r="H1675" s="895">
        <f t="shared" si="3250"/>
        <v>2.196285140562249</v>
      </c>
      <c r="I1675" s="895">
        <f t="shared" si="3250"/>
        <v>2.5100401606425704</v>
      </c>
      <c r="J1675" s="895">
        <f t="shared" si="3250"/>
        <v>2.8237951807228918</v>
      </c>
      <c r="K1675" s="895">
        <f t="shared" si="3250"/>
        <v>3.1375502008032128</v>
      </c>
      <c r="L1675" s="906">
        <f t="shared" si="3250"/>
        <v>3.4513052208835346</v>
      </c>
      <c r="O1675" s="669"/>
      <c r="P1675" s="669"/>
      <c r="Q1675" s="669"/>
      <c r="R1675" s="669"/>
      <c r="S1675" s="669"/>
      <c r="T1675" s="669"/>
      <c r="V1675" s="669"/>
      <c r="W1675" s="669"/>
      <c r="X1675" s="669"/>
      <c r="Y1675" s="669"/>
      <c r="AD1675" s="663"/>
      <c r="AE1675" s="663"/>
      <c r="AF1675" s="663"/>
      <c r="AG1675" s="663"/>
      <c r="AH1675" s="663"/>
      <c r="AI1675" s="663"/>
      <c r="AJ1675" s="663"/>
      <c r="AK1675" s="663"/>
      <c r="AL1675" s="663"/>
      <c r="AM1675" s="663"/>
      <c r="AN1675" s="663"/>
    </row>
    <row r="1676" spans="2:40" outlineLevel="1" x14ac:dyDescent="0.25">
      <c r="B1676" s="668" t="str">
        <f t="shared" si="3249"/>
        <v>IRR in 38 months (03/12) + 180 days lockup</v>
      </c>
      <c r="C1676" s="888" t="str">
        <f ca="1">C1033</f>
        <v>N/A</v>
      </c>
      <c r="D1676" s="888" t="str">
        <f t="shared" ref="D1676:L1676" ca="1" si="3251">D1033</f>
        <v>N/A</v>
      </c>
      <c r="E1676" s="888">
        <f t="shared" ca="1" si="3251"/>
        <v>4.6490618586540217E-2</v>
      </c>
      <c r="F1676" s="888">
        <f t="shared" ca="1" si="3251"/>
        <v>9.4165918231010434E-2</v>
      </c>
      <c r="G1676" s="888">
        <f t="shared" ca="1" si="3251"/>
        <v>0.13465133309364322</v>
      </c>
      <c r="H1676" s="888">
        <f t="shared" ca="1" si="3251"/>
        <v>0.16999245285987852</v>
      </c>
      <c r="I1676" s="888">
        <f t="shared" ca="1" si="3251"/>
        <v>0.20145263075828554</v>
      </c>
      <c r="J1676" s="888">
        <f t="shared" ca="1" si="3251"/>
        <v>0.22987049221992498</v>
      </c>
      <c r="K1676" s="888">
        <f t="shared" ca="1" si="3251"/>
        <v>0.25583305954933167</v>
      </c>
      <c r="L1676" s="909">
        <f t="shared" ca="1" si="3251"/>
        <v>0.27976831793785095</v>
      </c>
      <c r="O1676" s="669"/>
      <c r="P1676" s="669"/>
      <c r="Q1676" s="669"/>
      <c r="R1676" s="669"/>
      <c r="S1676" s="669"/>
      <c r="T1676" s="669"/>
      <c r="V1676" s="669"/>
      <c r="W1676" s="669"/>
      <c r="X1676" s="669"/>
      <c r="Y1676" s="669"/>
      <c r="AD1676" s="663"/>
      <c r="AE1676" s="663"/>
      <c r="AF1676" s="663"/>
      <c r="AG1676" s="663"/>
      <c r="AH1676" s="663"/>
      <c r="AI1676" s="663"/>
      <c r="AJ1676" s="663"/>
      <c r="AK1676" s="663"/>
      <c r="AL1676" s="663"/>
      <c r="AM1676" s="663"/>
      <c r="AN1676" s="663"/>
    </row>
    <row r="1677" spans="2:40" outlineLevel="1" x14ac:dyDescent="0.25">
      <c r="B1677" s="668" t="str">
        <f t="shared" si="3249"/>
        <v>IRR in 44 months (09/12) + 180 days lockup</v>
      </c>
      <c r="C1677" s="888" t="str">
        <f ca="1">C1049</f>
        <v>N/A</v>
      </c>
      <c r="D1677" s="888" t="str">
        <f t="shared" ref="D1677:L1677" ca="1" si="3252">D1049</f>
        <v>N/A</v>
      </c>
      <c r="E1677" s="888">
        <f t="shared" ca="1" si="3252"/>
        <v>4.2232611775398249E-2</v>
      </c>
      <c r="F1677" s="888">
        <f t="shared" ca="1" si="3252"/>
        <v>8.5382309556007396E-2</v>
      </c>
      <c r="G1677" s="888">
        <f t="shared" ca="1" si="3252"/>
        <v>0.1219043433666229</v>
      </c>
      <c r="H1677" s="888">
        <f t="shared" ca="1" si="3252"/>
        <v>0.15369930863380435</v>
      </c>
      <c r="I1677" s="888">
        <f t="shared" ca="1" si="3252"/>
        <v>0.18193746209144593</v>
      </c>
      <c r="J1677" s="888">
        <f t="shared" ca="1" si="3252"/>
        <v>0.20739369988441467</v>
      </c>
      <c r="K1677" s="888">
        <f t="shared" ca="1" si="3252"/>
        <v>0.23060923218727111</v>
      </c>
      <c r="L1677" s="909">
        <f t="shared" ca="1" si="3252"/>
        <v>0.25197789072990417</v>
      </c>
      <c r="O1677" s="669"/>
      <c r="P1677" s="669"/>
      <c r="Q1677" s="669"/>
      <c r="R1677" s="669"/>
      <c r="S1677" s="669"/>
      <c r="T1677" s="669"/>
      <c r="V1677" s="669"/>
      <c r="W1677" s="669"/>
      <c r="X1677" s="669"/>
      <c r="Y1677" s="669"/>
      <c r="AD1677" s="663"/>
      <c r="AE1677" s="663"/>
      <c r="AF1677" s="663"/>
      <c r="AG1677" s="663"/>
      <c r="AH1677" s="663"/>
      <c r="AI1677" s="663"/>
      <c r="AJ1677" s="663"/>
      <c r="AK1677" s="663"/>
      <c r="AL1677" s="663"/>
      <c r="AM1677" s="663"/>
      <c r="AN1677" s="663"/>
    </row>
    <row r="1678" spans="2:40" outlineLevel="1" x14ac:dyDescent="0.25">
      <c r="B1678" s="668" t="str">
        <f t="shared" si="3249"/>
        <v>IRR in 50 months (03/13) + 180 days lockup</v>
      </c>
      <c r="C1678" s="888" t="str">
        <f ca="1">C1065</f>
        <v>N/A</v>
      </c>
      <c r="D1678" s="888" t="str">
        <f t="shared" ref="D1678:L1678" ca="1" si="3253">D1065</f>
        <v>N/A</v>
      </c>
      <c r="E1678" s="888">
        <f t="shared" ca="1" si="3253"/>
        <v>3.8688549399375924E-2</v>
      </c>
      <c r="F1678" s="888">
        <f t="shared" ca="1" si="3253"/>
        <v>7.8094807267189051E-2</v>
      </c>
      <c r="G1678" s="888">
        <f t="shared" ca="1" si="3253"/>
        <v>0.11135597825050356</v>
      </c>
      <c r="H1678" s="888">
        <f t="shared" ca="1" si="3253"/>
        <v>0.14024584889411928</v>
      </c>
      <c r="I1678" s="888">
        <f t="shared" ca="1" si="3253"/>
        <v>0.16585387587547304</v>
      </c>
      <c r="J1678" s="888">
        <f t="shared" ca="1" si="3253"/>
        <v>0.18889990448951721</v>
      </c>
      <c r="K1678" s="888">
        <f t="shared" ca="1" si="3253"/>
        <v>0.20988579392433171</v>
      </c>
      <c r="L1678" s="909">
        <f t="shared" ca="1" si="3253"/>
        <v>0.22917614579200749</v>
      </c>
      <c r="O1678" s="669"/>
      <c r="P1678" s="669"/>
      <c r="Q1678" s="669"/>
      <c r="R1678" s="669"/>
      <c r="S1678" s="669"/>
      <c r="T1678" s="669"/>
      <c r="V1678" s="669"/>
      <c r="W1678" s="669"/>
      <c r="X1678" s="669"/>
      <c r="Y1678" s="669"/>
      <c r="AD1678" s="663"/>
      <c r="AE1678" s="663"/>
      <c r="AF1678" s="663"/>
      <c r="AG1678" s="663"/>
      <c r="AH1678" s="663"/>
      <c r="AI1678" s="663"/>
      <c r="AJ1678" s="663"/>
      <c r="AK1678" s="663"/>
      <c r="AL1678" s="663"/>
      <c r="AM1678" s="663"/>
      <c r="AN1678" s="663"/>
    </row>
    <row r="1679" spans="2:40" outlineLevel="1" x14ac:dyDescent="0.25">
      <c r="B1679" s="668" t="str">
        <f t="shared" si="3249"/>
        <v>IRR in 56 months (09/13) + 180 days lockup</v>
      </c>
      <c r="C1679" s="888" t="str">
        <f ca="1">C1081</f>
        <v>N/A</v>
      </c>
      <c r="D1679" s="888" t="str">
        <f t="shared" ref="D1679:L1679" ca="1" si="3254">D1081</f>
        <v>N/A</v>
      </c>
      <c r="E1679" s="888">
        <f t="shared" ca="1" si="3254"/>
        <v>3.5692873597145097E-2</v>
      </c>
      <c r="F1679" s="888">
        <f t="shared" ca="1" si="3254"/>
        <v>7.1951696276664742E-2</v>
      </c>
      <c r="G1679" s="888">
        <f t="shared" ca="1" si="3254"/>
        <v>0.10248374342918398</v>
      </c>
      <c r="H1679" s="888">
        <f t="shared" ca="1" si="3254"/>
        <v>0.128951233625412</v>
      </c>
      <c r="I1679" s="888">
        <f t="shared" ca="1" si="3254"/>
        <v>0.15237289071083068</v>
      </c>
      <c r="J1679" s="888">
        <f t="shared" ca="1" si="3254"/>
        <v>0.1734206259250641</v>
      </c>
      <c r="K1679" s="888">
        <f t="shared" ca="1" si="3254"/>
        <v>0.1925621807575226</v>
      </c>
      <c r="L1679" s="909">
        <f t="shared" ca="1" si="3254"/>
        <v>0.21013686060905459</v>
      </c>
      <c r="O1679" s="669"/>
      <c r="P1679" s="669"/>
      <c r="Q1679" s="669"/>
      <c r="R1679" s="669"/>
      <c r="S1679" s="669"/>
      <c r="T1679" s="669"/>
      <c r="V1679" s="669"/>
      <c r="W1679" s="669"/>
      <c r="X1679" s="669"/>
      <c r="Y1679" s="669"/>
      <c r="AD1679" s="663"/>
      <c r="AE1679" s="663"/>
      <c r="AF1679" s="663"/>
      <c r="AG1679" s="663"/>
      <c r="AH1679" s="663"/>
      <c r="AI1679" s="663"/>
      <c r="AJ1679" s="663"/>
      <c r="AK1679" s="663"/>
      <c r="AL1679" s="663"/>
      <c r="AM1679" s="663"/>
      <c r="AN1679" s="663"/>
    </row>
    <row r="1680" spans="2:40" outlineLevel="1" x14ac:dyDescent="0.25">
      <c r="B1680" s="661"/>
      <c r="L1680" s="664"/>
      <c r="O1680" s="669"/>
      <c r="P1680" s="669"/>
      <c r="Q1680" s="669"/>
      <c r="R1680" s="669"/>
      <c r="S1680" s="669"/>
      <c r="T1680" s="669"/>
      <c r="V1680" s="669"/>
      <c r="W1680" s="669"/>
      <c r="X1680" s="669"/>
      <c r="Y1680" s="669"/>
      <c r="AD1680" s="663"/>
      <c r="AE1680" s="663"/>
      <c r="AF1680" s="663"/>
      <c r="AG1680" s="663"/>
      <c r="AH1680" s="663"/>
      <c r="AI1680" s="663"/>
      <c r="AJ1680" s="663"/>
      <c r="AK1680" s="663"/>
      <c r="AL1680" s="663"/>
      <c r="AM1680" s="663"/>
      <c r="AN1680" s="663"/>
    </row>
    <row r="1681" spans="2:40" x14ac:dyDescent="0.25">
      <c r="B1681" s="661"/>
      <c r="L1681" s="664"/>
      <c r="O1681" s="669"/>
      <c r="P1681" s="669"/>
      <c r="Q1681" s="669"/>
      <c r="R1681" s="669"/>
      <c r="S1681" s="669"/>
      <c r="T1681" s="669"/>
      <c r="V1681" s="669"/>
      <c r="W1681" s="669"/>
      <c r="X1681" s="669"/>
      <c r="Y1681" s="669"/>
      <c r="AD1681" s="663"/>
      <c r="AE1681" s="663"/>
      <c r="AF1681" s="663"/>
      <c r="AG1681" s="663"/>
      <c r="AH1681" s="663"/>
      <c r="AI1681" s="663"/>
      <c r="AJ1681" s="663"/>
      <c r="AK1681" s="663"/>
      <c r="AL1681" s="663"/>
      <c r="AM1681" s="663"/>
      <c r="AN1681" s="663"/>
    </row>
    <row r="1682" spans="2:40" outlineLevel="1" x14ac:dyDescent="0.25">
      <c r="B1682" s="661" t="str">
        <f>CONCATENATE(B31," Gross Return Analysis")</f>
        <v>Inv C Gross Return Analysis</v>
      </c>
      <c r="C1682" s="662"/>
      <c r="D1682" s="662"/>
      <c r="E1682" s="662"/>
      <c r="F1682" s="662"/>
      <c r="G1682" s="662"/>
      <c r="H1682" s="662"/>
      <c r="I1682" s="662"/>
      <c r="J1682" s="662"/>
      <c r="K1682" s="662"/>
      <c r="L1682" s="939"/>
      <c r="O1682" s="669"/>
      <c r="P1682" s="669"/>
      <c r="Q1682" s="669"/>
      <c r="R1682" s="669"/>
      <c r="S1682" s="669"/>
      <c r="T1682" s="669"/>
      <c r="V1682" s="669"/>
      <c r="W1682" s="669"/>
      <c r="X1682" s="669"/>
      <c r="Y1682" s="669"/>
      <c r="AD1682" s="663"/>
      <c r="AE1682" s="663"/>
      <c r="AF1682" s="663"/>
      <c r="AG1682" s="663"/>
      <c r="AH1682" s="663"/>
      <c r="AI1682" s="663"/>
      <c r="AJ1682" s="663"/>
      <c r="AK1682" s="663"/>
      <c r="AL1682" s="663"/>
      <c r="AM1682" s="663"/>
      <c r="AN1682" s="663"/>
    </row>
    <row r="1683" spans="2:40" outlineLevel="1" x14ac:dyDescent="0.25">
      <c r="B1683" s="668" t="str">
        <f>B1674</f>
        <v>Gross Return</v>
      </c>
      <c r="C1683" s="662">
        <f t="shared" ref="C1683:L1683" si="3255">$M1556*C$1610</f>
        <v>2823795.1807228918</v>
      </c>
      <c r="D1683" s="662">
        <f t="shared" si="3255"/>
        <v>4235692.7710843375</v>
      </c>
      <c r="E1683" s="662">
        <f t="shared" si="3255"/>
        <v>5647590.3614457836</v>
      </c>
      <c r="F1683" s="662">
        <f t="shared" si="3255"/>
        <v>7059487.9518072288</v>
      </c>
      <c r="G1683" s="662">
        <f t="shared" si="3255"/>
        <v>8471385.542168675</v>
      </c>
      <c r="H1683" s="662">
        <f t="shared" si="3255"/>
        <v>9883283.1325301211</v>
      </c>
      <c r="I1683" s="662">
        <f t="shared" si="3255"/>
        <v>11295180.722891567</v>
      </c>
      <c r="J1683" s="662">
        <f t="shared" si="3255"/>
        <v>12707078.313253012</v>
      </c>
      <c r="K1683" s="662">
        <f t="shared" si="3255"/>
        <v>14118975.903614458</v>
      </c>
      <c r="L1683" s="939">
        <f t="shared" si="3255"/>
        <v>15530873.493975904</v>
      </c>
      <c r="O1683" s="669"/>
      <c r="P1683" s="669"/>
      <c r="Q1683" s="669"/>
      <c r="R1683" s="669"/>
      <c r="S1683" s="669"/>
      <c r="T1683" s="669"/>
      <c r="V1683" s="669"/>
      <c r="W1683" s="669"/>
      <c r="X1683" s="669"/>
      <c r="Y1683" s="669"/>
      <c r="AD1683" s="663"/>
      <c r="AE1683" s="663"/>
      <c r="AF1683" s="663"/>
      <c r="AG1683" s="663"/>
      <c r="AH1683" s="663"/>
      <c r="AI1683" s="663"/>
      <c r="AJ1683" s="663"/>
      <c r="AK1683" s="663"/>
      <c r="AL1683" s="663"/>
      <c r="AM1683" s="663"/>
      <c r="AN1683" s="663"/>
    </row>
    <row r="1684" spans="2:40" outlineLevel="1" x14ac:dyDescent="0.25">
      <c r="B1684" s="668" t="str">
        <f t="shared" ref="B1684:B1688" si="3256">B1675</f>
        <v>Gross Return Multiple</v>
      </c>
      <c r="C1684" s="895">
        <f>C1683/$T$31</f>
        <v>0.51341730558598031</v>
      </c>
      <c r="D1684" s="895">
        <f t="shared" ref="D1684:L1684" si="3257">D1683/$T$31</f>
        <v>0.77012595837897047</v>
      </c>
      <c r="E1684" s="895">
        <f t="shared" si="3257"/>
        <v>1.0268346111719606</v>
      </c>
      <c r="F1684" s="895">
        <f t="shared" si="3257"/>
        <v>1.2835432639649507</v>
      </c>
      <c r="G1684" s="895">
        <f t="shared" si="3257"/>
        <v>1.5402519167579409</v>
      </c>
      <c r="H1684" s="895">
        <f t="shared" si="3257"/>
        <v>1.7969605695509312</v>
      </c>
      <c r="I1684" s="895">
        <f t="shared" si="3257"/>
        <v>2.0536692223439212</v>
      </c>
      <c r="J1684" s="895">
        <f t="shared" si="3257"/>
        <v>2.3103778751369113</v>
      </c>
      <c r="K1684" s="895">
        <f t="shared" si="3257"/>
        <v>2.5670865279299013</v>
      </c>
      <c r="L1684" s="906">
        <f t="shared" si="3257"/>
        <v>2.8237951807228918</v>
      </c>
      <c r="O1684" s="669"/>
      <c r="P1684" s="669"/>
      <c r="Q1684" s="669"/>
      <c r="R1684" s="669"/>
      <c r="S1684" s="669"/>
      <c r="T1684" s="669"/>
      <c r="V1684" s="669"/>
      <c r="W1684" s="669"/>
      <c r="X1684" s="669"/>
      <c r="Y1684" s="669"/>
      <c r="AD1684" s="663"/>
      <c r="AE1684" s="663"/>
      <c r="AF1684" s="663"/>
      <c r="AG1684" s="663"/>
      <c r="AH1684" s="663"/>
      <c r="AI1684" s="663"/>
      <c r="AJ1684" s="663"/>
      <c r="AK1684" s="663"/>
      <c r="AL1684" s="663"/>
      <c r="AM1684" s="663"/>
      <c r="AN1684" s="663"/>
    </row>
    <row r="1685" spans="2:40" outlineLevel="1" x14ac:dyDescent="0.25">
      <c r="B1685" s="668" t="str">
        <f t="shared" si="3256"/>
        <v>IRR in 38 months (03/12) + 180 days lockup</v>
      </c>
      <c r="C1685" s="888" t="str">
        <f ca="1">C1099</f>
        <v>N/A</v>
      </c>
      <c r="D1685" s="888" t="str">
        <f t="shared" ref="D1685:L1685" ca="1" si="3258">D1099</f>
        <v>N/A</v>
      </c>
      <c r="E1685" s="888">
        <f t="shared" ca="1" si="3258"/>
        <v>6.051364541053773E-3</v>
      </c>
      <c r="F1685" s="888">
        <f t="shared" ca="1" si="3258"/>
        <v>5.8324137330055245E-2</v>
      </c>
      <c r="G1685" s="888">
        <f t="shared" ca="1" si="3258"/>
        <v>0.10277331471443177</v>
      </c>
      <c r="H1685" s="888">
        <f t="shared" ca="1" si="3258"/>
        <v>0.14161195158958434</v>
      </c>
      <c r="I1685" s="888">
        <f t="shared" ca="1" si="3258"/>
        <v>0.17621049284934998</v>
      </c>
      <c r="J1685" s="888">
        <f t="shared" ca="1" si="3258"/>
        <v>0.20748057961463925</v>
      </c>
      <c r="K1685" s="888">
        <f t="shared" ca="1" si="3258"/>
        <v>0.23606141209602355</v>
      </c>
      <c r="L1685" s="909">
        <f t="shared" ca="1" si="3258"/>
        <v>0.26241969466209414</v>
      </c>
      <c r="O1685" s="669"/>
      <c r="P1685" s="669"/>
      <c r="Q1685" s="669"/>
      <c r="R1685" s="669"/>
      <c r="S1685" s="669"/>
      <c r="T1685" s="669"/>
      <c r="V1685" s="669"/>
      <c r="W1685" s="669"/>
      <c r="X1685" s="669"/>
      <c r="Y1685" s="669"/>
      <c r="AD1685" s="663"/>
      <c r="AE1685" s="663"/>
      <c r="AF1685" s="663"/>
      <c r="AG1685" s="663"/>
      <c r="AH1685" s="663"/>
      <c r="AI1685" s="663"/>
      <c r="AJ1685" s="663"/>
      <c r="AK1685" s="663"/>
      <c r="AL1685" s="663"/>
      <c r="AM1685" s="663"/>
      <c r="AN1685" s="663"/>
    </row>
    <row r="1686" spans="2:40" outlineLevel="1" x14ac:dyDescent="0.25">
      <c r="B1686" s="668" t="str">
        <f t="shared" si="3256"/>
        <v>IRR in 44 months (09/12) + 180 days lockup</v>
      </c>
      <c r="C1686" s="888" t="str">
        <f ca="1">C1115</f>
        <v>N/A</v>
      </c>
      <c r="D1686" s="888" t="str">
        <f t="shared" ref="D1686:L1686" ca="1" si="3259">D1115</f>
        <v>N/A</v>
      </c>
      <c r="E1686" s="888">
        <f t="shared" ca="1" si="3259"/>
        <v>5.4386764764785779E-3</v>
      </c>
      <c r="F1686" s="888">
        <f t="shared" ca="1" si="3259"/>
        <v>5.2317216992378235E-2</v>
      </c>
      <c r="G1686" s="888">
        <f t="shared" ca="1" si="3259"/>
        <v>9.204259216785432E-2</v>
      </c>
      <c r="H1686" s="888">
        <f t="shared" ca="1" si="3259"/>
        <v>0.12665656208992004</v>
      </c>
      <c r="I1686" s="888">
        <f t="shared" ca="1" si="3259"/>
        <v>0.15741900801658634</v>
      </c>
      <c r="J1686" s="888">
        <f t="shared" ca="1" si="3259"/>
        <v>0.18516551852226257</v>
      </c>
      <c r="K1686" s="888">
        <f t="shared" ca="1" si="3259"/>
        <v>0.21048055291175846</v>
      </c>
      <c r="L1686" s="909">
        <f t="shared" ca="1" si="3259"/>
        <v>0.23378985524177548</v>
      </c>
      <c r="O1686" s="669"/>
      <c r="P1686" s="669"/>
      <c r="Q1686" s="669"/>
      <c r="R1686" s="669"/>
      <c r="S1686" s="669"/>
      <c r="T1686" s="669"/>
      <c r="V1686" s="669"/>
      <c r="W1686" s="669"/>
      <c r="X1686" s="669"/>
      <c r="Y1686" s="669"/>
      <c r="AD1686" s="663"/>
      <c r="AE1686" s="663"/>
      <c r="AF1686" s="663"/>
      <c r="AG1686" s="663"/>
      <c r="AH1686" s="663"/>
      <c r="AI1686" s="663"/>
      <c r="AJ1686" s="663"/>
      <c r="AK1686" s="663"/>
      <c r="AL1686" s="663"/>
      <c r="AM1686" s="663"/>
      <c r="AN1686" s="663"/>
    </row>
    <row r="1687" spans="2:40" outlineLevel="1" x14ac:dyDescent="0.25">
      <c r="B1687" s="668" t="str">
        <f t="shared" si="3256"/>
        <v>IRR in 50 months (03/13) + 180 days lockup</v>
      </c>
      <c r="C1687" s="888" t="str">
        <f ca="1">C1131</f>
        <v>N/A</v>
      </c>
      <c r="D1687" s="888" t="str">
        <f t="shared" ref="D1687:L1687" ca="1" si="3260">D1131</f>
        <v>N/A</v>
      </c>
      <c r="E1687" s="888">
        <f t="shared" ca="1" si="3260"/>
        <v>4.9386173486709595E-3</v>
      </c>
      <c r="F1687" s="888">
        <f t="shared" ca="1" si="3260"/>
        <v>4.7429224848747245E-2</v>
      </c>
      <c r="G1687" s="888">
        <f t="shared" ca="1" si="3260"/>
        <v>8.333158195018768E-2</v>
      </c>
      <c r="H1687" s="888">
        <f t="shared" ca="1" si="3260"/>
        <v>0.1145401418209076</v>
      </c>
      <c r="I1687" s="888">
        <f t="shared" ca="1" si="3260"/>
        <v>0.14222047924995429</v>
      </c>
      <c r="J1687" s="888">
        <f t="shared" ca="1" si="3260"/>
        <v>0.16714377999305727</v>
      </c>
      <c r="K1687" s="888">
        <f t="shared" ca="1" si="3260"/>
        <v>0.18984832167625423</v>
      </c>
      <c r="L1687" s="909">
        <f t="shared" ca="1" si="3260"/>
        <v>0.21072551608085632</v>
      </c>
      <c r="O1687" s="669"/>
      <c r="P1687" s="669"/>
      <c r="Q1687" s="669"/>
      <c r="R1687" s="669"/>
      <c r="S1687" s="669"/>
      <c r="T1687" s="669"/>
      <c r="V1687" s="669"/>
      <c r="W1687" s="669"/>
      <c r="X1687" s="669"/>
      <c r="Y1687" s="669"/>
      <c r="AD1687" s="663"/>
      <c r="AE1687" s="663"/>
      <c r="AF1687" s="663"/>
      <c r="AG1687" s="663"/>
      <c r="AH1687" s="663"/>
      <c r="AI1687" s="663"/>
      <c r="AJ1687" s="663"/>
      <c r="AK1687" s="663"/>
      <c r="AL1687" s="663"/>
      <c r="AM1687" s="663"/>
      <c r="AN1687" s="663"/>
    </row>
    <row r="1688" spans="2:40" outlineLevel="1" x14ac:dyDescent="0.25">
      <c r="B1688" s="668" t="str">
        <f t="shared" si="3256"/>
        <v>IRR in 56 months (09/13) + 180 days lockup</v>
      </c>
      <c r="C1688" s="888" t="str">
        <f ca="1">C1147</f>
        <v>N/A</v>
      </c>
      <c r="D1688" s="888" t="str">
        <f t="shared" ref="D1688:L1688" ca="1" si="3261">D1147</f>
        <v>N/A</v>
      </c>
      <c r="E1688" s="888">
        <f t="shared" ca="1" si="3261"/>
        <v>4.5227497816085812E-3</v>
      </c>
      <c r="F1688" s="888">
        <f t="shared" ca="1" si="3261"/>
        <v>4.3374761939048767E-2</v>
      </c>
      <c r="G1688" s="888">
        <f t="shared" ca="1" si="3261"/>
        <v>7.6121059060096752E-2</v>
      </c>
      <c r="H1688" s="888">
        <f t="shared" ca="1" si="3261"/>
        <v>0.10452818274497985</v>
      </c>
      <c r="I1688" s="888">
        <f t="shared" ca="1" si="3261"/>
        <v>0.12968036532402039</v>
      </c>
      <c r="J1688" s="888">
        <f t="shared" ca="1" si="3261"/>
        <v>0.1522935092449188</v>
      </c>
      <c r="K1688" s="888">
        <f t="shared" ca="1" si="3261"/>
        <v>0.17286645770072936</v>
      </c>
      <c r="L1688" s="909">
        <f t="shared" ca="1" si="3261"/>
        <v>0.19176140427589419</v>
      </c>
      <c r="O1688" s="669"/>
      <c r="P1688" s="669"/>
      <c r="Q1688" s="669"/>
      <c r="R1688" s="669"/>
      <c r="S1688" s="669"/>
      <c r="T1688" s="669"/>
      <c r="V1688" s="669"/>
      <c r="W1688" s="669"/>
      <c r="X1688" s="669"/>
      <c r="Y1688" s="669"/>
      <c r="AD1688" s="663"/>
      <c r="AE1688" s="663"/>
      <c r="AF1688" s="663"/>
      <c r="AG1688" s="663"/>
      <c r="AH1688" s="663"/>
      <c r="AI1688" s="663"/>
      <c r="AJ1688" s="663"/>
      <c r="AK1688" s="663"/>
      <c r="AL1688" s="663"/>
      <c r="AM1688" s="663"/>
      <c r="AN1688" s="663"/>
    </row>
    <row r="1689" spans="2:40" outlineLevel="1" x14ac:dyDescent="0.25">
      <c r="B1689" s="661"/>
      <c r="L1689" s="664"/>
      <c r="O1689" s="669"/>
      <c r="P1689" s="669"/>
      <c r="Q1689" s="669"/>
      <c r="R1689" s="669"/>
      <c r="S1689" s="669"/>
      <c r="T1689" s="669"/>
      <c r="V1689" s="669"/>
      <c r="W1689" s="669"/>
      <c r="X1689" s="669"/>
      <c r="Y1689" s="669"/>
      <c r="AD1689" s="663"/>
      <c r="AE1689" s="663"/>
      <c r="AF1689" s="663"/>
      <c r="AG1689" s="663"/>
      <c r="AH1689" s="663"/>
      <c r="AI1689" s="663"/>
      <c r="AJ1689" s="663"/>
      <c r="AK1689" s="663"/>
      <c r="AL1689" s="663"/>
      <c r="AM1689" s="663"/>
      <c r="AN1689" s="663"/>
    </row>
    <row r="1690" spans="2:40" x14ac:dyDescent="0.25">
      <c r="B1690" s="661"/>
      <c r="C1690" s="662"/>
      <c r="L1690" s="664"/>
      <c r="O1690" s="669"/>
      <c r="P1690" s="669"/>
      <c r="Q1690" s="669"/>
      <c r="R1690" s="669"/>
      <c r="S1690" s="669"/>
      <c r="T1690" s="669"/>
      <c r="V1690" s="669"/>
      <c r="W1690" s="669"/>
      <c r="X1690" s="669"/>
      <c r="Y1690" s="669"/>
      <c r="AD1690" s="663"/>
      <c r="AE1690" s="663"/>
      <c r="AF1690" s="663"/>
      <c r="AG1690" s="663"/>
      <c r="AH1690" s="663"/>
      <c r="AI1690" s="663"/>
      <c r="AJ1690" s="663"/>
      <c r="AK1690" s="663"/>
      <c r="AL1690" s="663"/>
      <c r="AM1690" s="663"/>
      <c r="AN1690" s="663"/>
    </row>
    <row r="1691" spans="2:40" outlineLevel="1" x14ac:dyDescent="0.25">
      <c r="B1691" s="661" t="str">
        <f>CONCATENATE(B32," Gross Return Analysis")</f>
        <v>Inv D Gross Return Analysis</v>
      </c>
      <c r="C1691" s="662"/>
      <c r="L1691" s="664"/>
      <c r="O1691" s="669"/>
      <c r="P1691" s="669"/>
      <c r="Q1691" s="669"/>
      <c r="R1691" s="669"/>
      <c r="S1691" s="669"/>
      <c r="T1691" s="669"/>
      <c r="V1691" s="669"/>
      <c r="W1691" s="669"/>
      <c r="X1691" s="669"/>
      <c r="Y1691" s="669"/>
      <c r="AD1691" s="663"/>
      <c r="AE1691" s="663"/>
      <c r="AF1691" s="663"/>
      <c r="AG1691" s="663"/>
      <c r="AH1691" s="663"/>
      <c r="AI1691" s="663"/>
      <c r="AJ1691" s="663"/>
      <c r="AK1691" s="663"/>
      <c r="AL1691" s="663"/>
      <c r="AM1691" s="663"/>
      <c r="AN1691" s="663"/>
    </row>
    <row r="1692" spans="2:40" outlineLevel="1" x14ac:dyDescent="0.25">
      <c r="B1692" s="668" t="str">
        <f>B1683</f>
        <v>Gross Return</v>
      </c>
      <c r="C1692" s="662">
        <f t="shared" ref="C1692:L1692" si="3262">$M1557*C$1610</f>
        <v>2823795.1807228918</v>
      </c>
      <c r="D1692" s="662">
        <f t="shared" si="3262"/>
        <v>4235692.7710843375</v>
      </c>
      <c r="E1692" s="662">
        <f t="shared" si="3262"/>
        <v>5647590.3614457836</v>
      </c>
      <c r="F1692" s="662">
        <f t="shared" si="3262"/>
        <v>7059487.9518072288</v>
      </c>
      <c r="G1692" s="662">
        <f t="shared" si="3262"/>
        <v>8471385.542168675</v>
      </c>
      <c r="H1692" s="662">
        <f t="shared" si="3262"/>
        <v>9883283.1325301211</v>
      </c>
      <c r="I1692" s="662">
        <f t="shared" si="3262"/>
        <v>11295180.722891567</v>
      </c>
      <c r="J1692" s="662">
        <f t="shared" si="3262"/>
        <v>12707078.313253012</v>
      </c>
      <c r="K1692" s="662">
        <f t="shared" si="3262"/>
        <v>14118975.903614458</v>
      </c>
      <c r="L1692" s="939">
        <f t="shared" si="3262"/>
        <v>15530873.493975904</v>
      </c>
      <c r="O1692" s="669"/>
      <c r="P1692" s="669"/>
      <c r="Q1692" s="669"/>
      <c r="R1692" s="669"/>
      <c r="S1692" s="669"/>
      <c r="T1692" s="669"/>
      <c r="V1692" s="669"/>
      <c r="W1692" s="669"/>
      <c r="X1692" s="669"/>
      <c r="Y1692" s="669"/>
      <c r="AD1692" s="663"/>
      <c r="AE1692" s="663"/>
      <c r="AF1692" s="663"/>
      <c r="AG1692" s="663"/>
      <c r="AH1692" s="663"/>
      <c r="AI1692" s="663"/>
      <c r="AJ1692" s="663"/>
      <c r="AK1692" s="663"/>
      <c r="AL1692" s="663"/>
      <c r="AM1692" s="663"/>
      <c r="AN1692" s="663"/>
    </row>
    <row r="1693" spans="2:40" outlineLevel="1" x14ac:dyDescent="0.25">
      <c r="B1693" s="668" t="str">
        <f t="shared" ref="B1693:B1697" si="3263">B1684</f>
        <v>Gross Return Multiple</v>
      </c>
      <c r="C1693" s="895">
        <f>C1692/$T$32</f>
        <v>0.51341730558598031</v>
      </c>
      <c r="D1693" s="895">
        <f t="shared" ref="D1693:L1693" si="3264">D1692/$T$32</f>
        <v>0.77012595837897047</v>
      </c>
      <c r="E1693" s="895">
        <f t="shared" si="3264"/>
        <v>1.0268346111719606</v>
      </c>
      <c r="F1693" s="895">
        <f t="shared" si="3264"/>
        <v>1.2835432639649507</v>
      </c>
      <c r="G1693" s="895">
        <f t="shared" si="3264"/>
        <v>1.5402519167579409</v>
      </c>
      <c r="H1693" s="895">
        <f t="shared" si="3264"/>
        <v>1.7969605695509312</v>
      </c>
      <c r="I1693" s="895">
        <f t="shared" si="3264"/>
        <v>2.0536692223439212</v>
      </c>
      <c r="J1693" s="895">
        <f t="shared" si="3264"/>
        <v>2.3103778751369113</v>
      </c>
      <c r="K1693" s="895">
        <f t="shared" si="3264"/>
        <v>2.5670865279299013</v>
      </c>
      <c r="L1693" s="906">
        <f t="shared" si="3264"/>
        <v>2.8237951807228918</v>
      </c>
      <c r="O1693" s="669"/>
      <c r="P1693" s="669"/>
      <c r="Q1693" s="669"/>
      <c r="R1693" s="669"/>
      <c r="S1693" s="669"/>
      <c r="T1693" s="669"/>
      <c r="V1693" s="669"/>
      <c r="W1693" s="669"/>
      <c r="X1693" s="669"/>
      <c r="Y1693" s="669"/>
      <c r="AD1693" s="663"/>
      <c r="AE1693" s="663"/>
      <c r="AF1693" s="663"/>
      <c r="AG1693" s="663"/>
      <c r="AH1693" s="663"/>
      <c r="AI1693" s="663"/>
      <c r="AJ1693" s="663"/>
      <c r="AK1693" s="663"/>
      <c r="AL1693" s="663"/>
      <c r="AM1693" s="663"/>
      <c r="AN1693" s="663"/>
    </row>
    <row r="1694" spans="2:40" outlineLevel="1" x14ac:dyDescent="0.25">
      <c r="B1694" s="668" t="str">
        <f t="shared" si="3263"/>
        <v>IRR in 38 months (03/12) + 180 days lockup</v>
      </c>
      <c r="C1694" s="888" t="str">
        <f ca="1">C1165</f>
        <v>N/A</v>
      </c>
      <c r="D1694" s="888" t="str">
        <f t="shared" ref="D1694:L1694" ca="1" si="3265">D1165</f>
        <v>N/A</v>
      </c>
      <c r="E1694" s="888">
        <f t="shared" ca="1" si="3265"/>
        <v>6.051364541053773E-3</v>
      </c>
      <c r="F1694" s="888">
        <f t="shared" ca="1" si="3265"/>
        <v>5.8324137330055245E-2</v>
      </c>
      <c r="G1694" s="888">
        <f t="shared" ca="1" si="3265"/>
        <v>0.10277331471443177</v>
      </c>
      <c r="H1694" s="888">
        <f t="shared" ca="1" si="3265"/>
        <v>0.14161195158958434</v>
      </c>
      <c r="I1694" s="888">
        <f t="shared" ca="1" si="3265"/>
        <v>0.17621049284934998</v>
      </c>
      <c r="J1694" s="888">
        <f t="shared" ca="1" si="3265"/>
        <v>0.20748057961463925</v>
      </c>
      <c r="K1694" s="888">
        <f t="shared" ca="1" si="3265"/>
        <v>0.23606141209602355</v>
      </c>
      <c r="L1694" s="909">
        <f t="shared" ca="1" si="3265"/>
        <v>0.26241969466209414</v>
      </c>
      <c r="O1694" s="669"/>
      <c r="P1694" s="669"/>
      <c r="Q1694" s="669"/>
      <c r="R1694" s="669"/>
      <c r="S1694" s="669"/>
      <c r="T1694" s="669"/>
      <c r="V1694" s="669"/>
      <c r="W1694" s="669"/>
      <c r="X1694" s="669"/>
      <c r="Y1694" s="669"/>
      <c r="AD1694" s="663"/>
      <c r="AE1694" s="663"/>
      <c r="AF1694" s="663"/>
      <c r="AG1694" s="663"/>
      <c r="AH1694" s="663"/>
      <c r="AI1694" s="663"/>
      <c r="AJ1694" s="663"/>
      <c r="AK1694" s="663"/>
      <c r="AL1694" s="663"/>
      <c r="AM1694" s="663"/>
      <c r="AN1694" s="663"/>
    </row>
    <row r="1695" spans="2:40" outlineLevel="1" x14ac:dyDescent="0.25">
      <c r="B1695" s="668" t="str">
        <f t="shared" si="3263"/>
        <v>IRR in 44 months (09/12) + 180 days lockup</v>
      </c>
      <c r="C1695" s="888" t="str">
        <f ca="1">C1181</f>
        <v>N/A</v>
      </c>
      <c r="D1695" s="888" t="str">
        <f t="shared" ref="D1695:L1695" ca="1" si="3266">D1181</f>
        <v>N/A</v>
      </c>
      <c r="E1695" s="888">
        <f t="shared" ca="1" si="3266"/>
        <v>5.4386764764785779E-3</v>
      </c>
      <c r="F1695" s="888">
        <f t="shared" ca="1" si="3266"/>
        <v>5.2317216992378235E-2</v>
      </c>
      <c r="G1695" s="888">
        <f t="shared" ca="1" si="3266"/>
        <v>9.204259216785432E-2</v>
      </c>
      <c r="H1695" s="888">
        <f t="shared" ca="1" si="3266"/>
        <v>0.12665656208992004</v>
      </c>
      <c r="I1695" s="888">
        <f t="shared" ca="1" si="3266"/>
        <v>0.15741900801658634</v>
      </c>
      <c r="J1695" s="888">
        <f t="shared" ca="1" si="3266"/>
        <v>0.18516551852226257</v>
      </c>
      <c r="K1695" s="888">
        <f t="shared" ca="1" si="3266"/>
        <v>0.21048055291175846</v>
      </c>
      <c r="L1695" s="909">
        <f t="shared" ca="1" si="3266"/>
        <v>0.23378985524177548</v>
      </c>
      <c r="O1695" s="669"/>
      <c r="P1695" s="669"/>
      <c r="Q1695" s="669"/>
      <c r="R1695" s="669"/>
      <c r="S1695" s="669"/>
      <c r="T1695" s="669"/>
      <c r="V1695" s="669"/>
      <c r="W1695" s="669"/>
      <c r="X1695" s="669"/>
      <c r="Y1695" s="669"/>
      <c r="AD1695" s="663"/>
      <c r="AE1695" s="663"/>
      <c r="AF1695" s="663"/>
      <c r="AG1695" s="663"/>
      <c r="AH1695" s="663"/>
      <c r="AI1695" s="663"/>
      <c r="AJ1695" s="663"/>
      <c r="AK1695" s="663"/>
      <c r="AL1695" s="663"/>
      <c r="AM1695" s="663"/>
      <c r="AN1695" s="663"/>
    </row>
    <row r="1696" spans="2:40" outlineLevel="1" x14ac:dyDescent="0.25">
      <c r="B1696" s="668" t="str">
        <f t="shared" si="3263"/>
        <v>IRR in 50 months (03/13) + 180 days lockup</v>
      </c>
      <c r="C1696" s="888" t="str">
        <f ca="1">C1197</f>
        <v>N/A</v>
      </c>
      <c r="D1696" s="888" t="str">
        <f t="shared" ref="D1696:L1696" ca="1" si="3267">D1197</f>
        <v>N/A</v>
      </c>
      <c r="E1696" s="888">
        <f t="shared" ca="1" si="3267"/>
        <v>4.9386173486709595E-3</v>
      </c>
      <c r="F1696" s="888">
        <f t="shared" ca="1" si="3267"/>
        <v>4.7429224848747245E-2</v>
      </c>
      <c r="G1696" s="888">
        <f t="shared" ca="1" si="3267"/>
        <v>8.333158195018768E-2</v>
      </c>
      <c r="H1696" s="888">
        <f t="shared" ca="1" si="3267"/>
        <v>0.1145401418209076</v>
      </c>
      <c r="I1696" s="888">
        <f t="shared" ca="1" si="3267"/>
        <v>0.14222047924995429</v>
      </c>
      <c r="J1696" s="888">
        <f t="shared" ca="1" si="3267"/>
        <v>0.16714377999305727</v>
      </c>
      <c r="K1696" s="888">
        <f t="shared" ca="1" si="3267"/>
        <v>0.18984832167625423</v>
      </c>
      <c r="L1696" s="909">
        <f t="shared" ca="1" si="3267"/>
        <v>0.21072551608085632</v>
      </c>
      <c r="O1696" s="669"/>
      <c r="P1696" s="669"/>
      <c r="Q1696" s="669"/>
      <c r="R1696" s="669"/>
      <c r="S1696" s="669"/>
      <c r="T1696" s="669"/>
      <c r="V1696" s="669"/>
      <c r="W1696" s="669"/>
      <c r="X1696" s="669"/>
      <c r="Y1696" s="669"/>
      <c r="AD1696" s="663"/>
      <c r="AE1696" s="663"/>
      <c r="AF1696" s="663"/>
      <c r="AG1696" s="663"/>
      <c r="AH1696" s="663"/>
      <c r="AI1696" s="663"/>
      <c r="AJ1696" s="663"/>
      <c r="AK1696" s="663"/>
      <c r="AL1696" s="663"/>
      <c r="AM1696" s="663"/>
      <c r="AN1696" s="663"/>
    </row>
    <row r="1697" spans="2:40" outlineLevel="1" x14ac:dyDescent="0.25">
      <c r="B1697" s="668" t="str">
        <f t="shared" si="3263"/>
        <v>IRR in 56 months (09/13) + 180 days lockup</v>
      </c>
      <c r="C1697" s="888" t="str">
        <f ca="1">C1213</f>
        <v>N/A</v>
      </c>
      <c r="D1697" s="888" t="str">
        <f t="shared" ref="D1697:L1697" ca="1" si="3268">D1213</f>
        <v>N/A</v>
      </c>
      <c r="E1697" s="888">
        <f t="shared" ca="1" si="3268"/>
        <v>4.5227497816085812E-3</v>
      </c>
      <c r="F1697" s="888">
        <f t="shared" ca="1" si="3268"/>
        <v>4.3374761939048767E-2</v>
      </c>
      <c r="G1697" s="888">
        <f t="shared" ca="1" si="3268"/>
        <v>7.6121059060096752E-2</v>
      </c>
      <c r="H1697" s="888">
        <f t="shared" ca="1" si="3268"/>
        <v>0.10452818274497985</v>
      </c>
      <c r="I1697" s="888">
        <f t="shared" ca="1" si="3268"/>
        <v>0.12968036532402039</v>
      </c>
      <c r="J1697" s="888">
        <f t="shared" ca="1" si="3268"/>
        <v>0.1522935092449188</v>
      </c>
      <c r="K1697" s="888">
        <f t="shared" ca="1" si="3268"/>
        <v>0.17286645770072936</v>
      </c>
      <c r="L1697" s="909">
        <f t="shared" ca="1" si="3268"/>
        <v>0.19176140427589419</v>
      </c>
      <c r="O1697" s="669"/>
      <c r="P1697" s="669"/>
      <c r="Q1697" s="669"/>
      <c r="R1697" s="669"/>
      <c r="S1697" s="669"/>
      <c r="T1697" s="669"/>
      <c r="V1697" s="669"/>
      <c r="W1697" s="669"/>
      <c r="X1697" s="669"/>
      <c r="Y1697" s="669"/>
      <c r="AD1697" s="663"/>
      <c r="AE1697" s="663"/>
      <c r="AF1697" s="663"/>
      <c r="AG1697" s="663"/>
      <c r="AH1697" s="663"/>
      <c r="AI1697" s="663"/>
      <c r="AJ1697" s="663"/>
      <c r="AK1697" s="663"/>
      <c r="AL1697" s="663"/>
      <c r="AM1697" s="663"/>
      <c r="AN1697" s="663"/>
    </row>
    <row r="1698" spans="2:40" outlineLevel="1" x14ac:dyDescent="0.25">
      <c r="B1698" s="661"/>
      <c r="C1698" s="662"/>
      <c r="L1698" s="664"/>
      <c r="O1698" s="669"/>
      <c r="P1698" s="669"/>
      <c r="Q1698" s="669"/>
      <c r="R1698" s="669"/>
      <c r="S1698" s="669"/>
      <c r="T1698" s="669"/>
      <c r="V1698" s="669"/>
      <c r="W1698" s="669"/>
      <c r="X1698" s="669"/>
      <c r="Y1698" s="669"/>
      <c r="AD1698" s="663"/>
      <c r="AE1698" s="663"/>
      <c r="AF1698" s="663"/>
      <c r="AG1698" s="663"/>
      <c r="AH1698" s="663"/>
      <c r="AI1698" s="663"/>
      <c r="AJ1698" s="663"/>
      <c r="AK1698" s="663"/>
      <c r="AL1698" s="663"/>
      <c r="AM1698" s="663"/>
      <c r="AN1698" s="663"/>
    </row>
    <row r="1699" spans="2:40" x14ac:dyDescent="0.25">
      <c r="B1699" s="661"/>
      <c r="C1699" s="662"/>
      <c r="L1699" s="664"/>
      <c r="O1699" s="669"/>
      <c r="P1699" s="669"/>
      <c r="Q1699" s="669"/>
      <c r="R1699" s="669"/>
      <c r="S1699" s="669"/>
      <c r="T1699" s="669"/>
      <c r="V1699" s="669"/>
      <c r="W1699" s="669"/>
      <c r="X1699" s="669"/>
      <c r="Y1699" s="669"/>
      <c r="AD1699" s="663"/>
      <c r="AE1699" s="663"/>
      <c r="AF1699" s="663"/>
      <c r="AG1699" s="663"/>
      <c r="AH1699" s="663"/>
      <c r="AI1699" s="663"/>
      <c r="AJ1699" s="663"/>
      <c r="AK1699" s="663"/>
      <c r="AL1699" s="663"/>
      <c r="AM1699" s="663"/>
      <c r="AN1699" s="663"/>
    </row>
    <row r="1700" spans="2:40" outlineLevel="1" x14ac:dyDescent="0.25">
      <c r="B1700" s="661" t="str">
        <f>CONCATENATE(B33," Gross Return Analysis")</f>
        <v>Inv E Gross Return Analysis</v>
      </c>
      <c r="C1700" s="662"/>
      <c r="L1700" s="664"/>
      <c r="O1700" s="669"/>
      <c r="P1700" s="669"/>
      <c r="Q1700" s="669"/>
      <c r="R1700" s="669"/>
      <c r="S1700" s="669"/>
      <c r="T1700" s="669"/>
      <c r="V1700" s="669"/>
      <c r="W1700" s="669"/>
      <c r="X1700" s="669"/>
      <c r="Y1700" s="669"/>
      <c r="AD1700" s="663"/>
      <c r="AE1700" s="663"/>
      <c r="AF1700" s="663"/>
      <c r="AG1700" s="663"/>
      <c r="AH1700" s="663"/>
      <c r="AI1700" s="663"/>
      <c r="AJ1700" s="663"/>
      <c r="AK1700" s="663"/>
      <c r="AL1700" s="663"/>
      <c r="AM1700" s="663"/>
      <c r="AN1700" s="663"/>
    </row>
    <row r="1701" spans="2:40" outlineLevel="1" x14ac:dyDescent="0.25">
      <c r="B1701" s="668" t="str">
        <f>B1692</f>
        <v>Gross Return</v>
      </c>
      <c r="C1701" s="662">
        <f t="shared" ref="C1701:L1701" si="3269">$M1558*C$1610</f>
        <v>2823795.1807228918</v>
      </c>
      <c r="D1701" s="662">
        <f t="shared" si="3269"/>
        <v>4235692.7710843375</v>
      </c>
      <c r="E1701" s="662">
        <f t="shared" si="3269"/>
        <v>5647590.3614457836</v>
      </c>
      <c r="F1701" s="662">
        <f t="shared" si="3269"/>
        <v>7059487.9518072288</v>
      </c>
      <c r="G1701" s="662">
        <f t="shared" si="3269"/>
        <v>8471385.542168675</v>
      </c>
      <c r="H1701" s="662">
        <f t="shared" si="3269"/>
        <v>9883283.1325301211</v>
      </c>
      <c r="I1701" s="662">
        <f t="shared" si="3269"/>
        <v>11295180.722891567</v>
      </c>
      <c r="J1701" s="662">
        <f t="shared" si="3269"/>
        <v>12707078.313253012</v>
      </c>
      <c r="K1701" s="662">
        <f t="shared" si="3269"/>
        <v>14118975.903614458</v>
      </c>
      <c r="L1701" s="939">
        <f t="shared" si="3269"/>
        <v>15530873.493975904</v>
      </c>
      <c r="O1701" s="669"/>
      <c r="P1701" s="669"/>
      <c r="Q1701" s="669"/>
      <c r="R1701" s="669"/>
      <c r="S1701" s="669"/>
      <c r="T1701" s="669"/>
      <c r="V1701" s="669"/>
      <c r="W1701" s="669"/>
      <c r="X1701" s="669"/>
      <c r="Y1701" s="669"/>
      <c r="AD1701" s="663"/>
      <c r="AE1701" s="663"/>
      <c r="AF1701" s="663"/>
      <c r="AG1701" s="663"/>
      <c r="AH1701" s="663"/>
      <c r="AI1701" s="663"/>
      <c r="AJ1701" s="663"/>
      <c r="AK1701" s="663"/>
      <c r="AL1701" s="663"/>
      <c r="AM1701" s="663"/>
      <c r="AN1701" s="663"/>
    </row>
    <row r="1702" spans="2:40" outlineLevel="1" x14ac:dyDescent="0.25">
      <c r="B1702" s="668" t="str">
        <f t="shared" ref="B1702:B1706" si="3270">B1693</f>
        <v>Gross Return Multiple</v>
      </c>
      <c r="C1702" s="895">
        <f>C1701/$T$33</f>
        <v>0.51341730558598031</v>
      </c>
      <c r="D1702" s="895">
        <f t="shared" ref="D1702:L1702" si="3271">D1701/$T$33</f>
        <v>0.77012595837897047</v>
      </c>
      <c r="E1702" s="895">
        <f t="shared" si="3271"/>
        <v>1.0268346111719606</v>
      </c>
      <c r="F1702" s="895">
        <f t="shared" si="3271"/>
        <v>1.2835432639649507</v>
      </c>
      <c r="G1702" s="895">
        <f t="shared" si="3271"/>
        <v>1.5402519167579409</v>
      </c>
      <c r="H1702" s="895">
        <f t="shared" si="3271"/>
        <v>1.7969605695509312</v>
      </c>
      <c r="I1702" s="895">
        <f t="shared" si="3271"/>
        <v>2.0536692223439212</v>
      </c>
      <c r="J1702" s="895">
        <f t="shared" si="3271"/>
        <v>2.3103778751369113</v>
      </c>
      <c r="K1702" s="895">
        <f t="shared" si="3271"/>
        <v>2.5670865279299013</v>
      </c>
      <c r="L1702" s="906">
        <f t="shared" si="3271"/>
        <v>2.8237951807228918</v>
      </c>
      <c r="O1702" s="669"/>
      <c r="P1702" s="669"/>
      <c r="Q1702" s="669"/>
      <c r="R1702" s="669"/>
      <c r="S1702" s="669"/>
      <c r="T1702" s="669"/>
      <c r="V1702" s="669"/>
      <c r="W1702" s="669"/>
      <c r="X1702" s="669"/>
      <c r="Y1702" s="669"/>
      <c r="AD1702" s="663"/>
      <c r="AE1702" s="663"/>
      <c r="AF1702" s="663"/>
      <c r="AG1702" s="663"/>
      <c r="AH1702" s="663"/>
      <c r="AI1702" s="663"/>
      <c r="AJ1702" s="663"/>
      <c r="AK1702" s="663"/>
      <c r="AL1702" s="663"/>
      <c r="AM1702" s="663"/>
      <c r="AN1702" s="663"/>
    </row>
    <row r="1703" spans="2:40" outlineLevel="1" x14ac:dyDescent="0.25">
      <c r="B1703" s="668" t="str">
        <f t="shared" si="3270"/>
        <v>IRR in 38 months (03/12) + 180 days lockup</v>
      </c>
      <c r="C1703" s="888" t="str">
        <f ca="1">C1231</f>
        <v>N/A</v>
      </c>
      <c r="D1703" s="888" t="str">
        <f t="shared" ref="D1703:L1703" ca="1" si="3272">D1231</f>
        <v>N/A</v>
      </c>
      <c r="E1703" s="888">
        <f t="shared" ca="1" si="3272"/>
        <v>6.051364541053773E-3</v>
      </c>
      <c r="F1703" s="888">
        <f t="shared" ca="1" si="3272"/>
        <v>5.8324137330055245E-2</v>
      </c>
      <c r="G1703" s="888">
        <f t="shared" ca="1" si="3272"/>
        <v>0.10277331471443177</v>
      </c>
      <c r="H1703" s="888">
        <f t="shared" ca="1" si="3272"/>
        <v>0.14161195158958434</v>
      </c>
      <c r="I1703" s="888">
        <f t="shared" ca="1" si="3272"/>
        <v>0.17621049284934998</v>
      </c>
      <c r="J1703" s="888">
        <f t="shared" ca="1" si="3272"/>
        <v>0.20748057961463925</v>
      </c>
      <c r="K1703" s="888">
        <f t="shared" ca="1" si="3272"/>
        <v>0.23606141209602355</v>
      </c>
      <c r="L1703" s="909">
        <f t="shared" ca="1" si="3272"/>
        <v>0.26241969466209414</v>
      </c>
      <c r="O1703" s="669"/>
      <c r="P1703" s="669"/>
      <c r="Q1703" s="669"/>
      <c r="R1703" s="669"/>
      <c r="S1703" s="669"/>
      <c r="T1703" s="669"/>
      <c r="V1703" s="669"/>
      <c r="W1703" s="669"/>
      <c r="X1703" s="669"/>
      <c r="Y1703" s="669"/>
      <c r="AD1703" s="663"/>
      <c r="AE1703" s="663"/>
      <c r="AF1703" s="663"/>
      <c r="AG1703" s="663"/>
      <c r="AH1703" s="663"/>
      <c r="AI1703" s="663"/>
      <c r="AJ1703" s="663"/>
      <c r="AK1703" s="663"/>
      <c r="AL1703" s="663"/>
      <c r="AM1703" s="663"/>
      <c r="AN1703" s="663"/>
    </row>
    <row r="1704" spans="2:40" outlineLevel="1" x14ac:dyDescent="0.25">
      <c r="B1704" s="668" t="str">
        <f t="shared" si="3270"/>
        <v>IRR in 44 months (09/12) + 180 days lockup</v>
      </c>
      <c r="C1704" s="888" t="str">
        <f ca="1">C1247</f>
        <v>N/A</v>
      </c>
      <c r="D1704" s="888" t="str">
        <f t="shared" ref="D1704:L1704" ca="1" si="3273">D1247</f>
        <v>N/A</v>
      </c>
      <c r="E1704" s="888">
        <f t="shared" ca="1" si="3273"/>
        <v>5.4386764764785779E-3</v>
      </c>
      <c r="F1704" s="888">
        <f t="shared" ca="1" si="3273"/>
        <v>5.2317216992378235E-2</v>
      </c>
      <c r="G1704" s="888">
        <f t="shared" ca="1" si="3273"/>
        <v>9.204259216785432E-2</v>
      </c>
      <c r="H1704" s="888">
        <f t="shared" ca="1" si="3273"/>
        <v>0.12665656208992004</v>
      </c>
      <c r="I1704" s="888">
        <f t="shared" ca="1" si="3273"/>
        <v>0.15741900801658634</v>
      </c>
      <c r="J1704" s="888">
        <f t="shared" ca="1" si="3273"/>
        <v>0.18516551852226257</v>
      </c>
      <c r="K1704" s="888">
        <f t="shared" ca="1" si="3273"/>
        <v>0.21048055291175846</v>
      </c>
      <c r="L1704" s="909">
        <f t="shared" ca="1" si="3273"/>
        <v>0.23378985524177548</v>
      </c>
      <c r="O1704" s="669"/>
      <c r="P1704" s="669"/>
      <c r="Q1704" s="669"/>
      <c r="R1704" s="669"/>
      <c r="S1704" s="669"/>
      <c r="T1704" s="669"/>
      <c r="V1704" s="669"/>
      <c r="W1704" s="669"/>
      <c r="X1704" s="669"/>
      <c r="Y1704" s="669"/>
      <c r="AD1704" s="663"/>
      <c r="AE1704" s="663"/>
      <c r="AF1704" s="663"/>
      <c r="AG1704" s="663"/>
      <c r="AH1704" s="663"/>
      <c r="AI1704" s="663"/>
      <c r="AJ1704" s="663"/>
      <c r="AK1704" s="663"/>
      <c r="AL1704" s="663"/>
      <c r="AM1704" s="663"/>
      <c r="AN1704" s="663"/>
    </row>
    <row r="1705" spans="2:40" outlineLevel="1" x14ac:dyDescent="0.25">
      <c r="B1705" s="668" t="str">
        <f t="shared" si="3270"/>
        <v>IRR in 50 months (03/13) + 180 days lockup</v>
      </c>
      <c r="C1705" s="888" t="str">
        <f ca="1">C1263</f>
        <v>N/A</v>
      </c>
      <c r="D1705" s="888" t="str">
        <f t="shared" ref="D1705:L1705" ca="1" si="3274">D1263</f>
        <v>N/A</v>
      </c>
      <c r="E1705" s="888">
        <f t="shared" ca="1" si="3274"/>
        <v>4.9386173486709595E-3</v>
      </c>
      <c r="F1705" s="888">
        <f t="shared" ca="1" si="3274"/>
        <v>4.7429224848747245E-2</v>
      </c>
      <c r="G1705" s="888">
        <f t="shared" ca="1" si="3274"/>
        <v>8.333158195018768E-2</v>
      </c>
      <c r="H1705" s="888">
        <f t="shared" ca="1" si="3274"/>
        <v>0.1145401418209076</v>
      </c>
      <c r="I1705" s="888">
        <f t="shared" ca="1" si="3274"/>
        <v>0.14222047924995429</v>
      </c>
      <c r="J1705" s="888">
        <f t="shared" ca="1" si="3274"/>
        <v>0.16714377999305727</v>
      </c>
      <c r="K1705" s="888">
        <f t="shared" ca="1" si="3274"/>
        <v>0.18984832167625423</v>
      </c>
      <c r="L1705" s="909">
        <f t="shared" ca="1" si="3274"/>
        <v>0.21072551608085632</v>
      </c>
      <c r="O1705" s="669"/>
      <c r="P1705" s="669"/>
      <c r="Q1705" s="669"/>
      <c r="R1705" s="669"/>
      <c r="S1705" s="669"/>
      <c r="T1705" s="669"/>
      <c r="V1705" s="669"/>
      <c r="W1705" s="669"/>
      <c r="X1705" s="669"/>
      <c r="Y1705" s="669"/>
      <c r="AD1705" s="663"/>
      <c r="AE1705" s="663"/>
      <c r="AF1705" s="663"/>
      <c r="AG1705" s="663"/>
      <c r="AH1705" s="663"/>
      <c r="AI1705" s="663"/>
      <c r="AJ1705" s="663"/>
      <c r="AK1705" s="663"/>
      <c r="AL1705" s="663"/>
      <c r="AM1705" s="663"/>
      <c r="AN1705" s="663"/>
    </row>
    <row r="1706" spans="2:40" outlineLevel="1" x14ac:dyDescent="0.25">
      <c r="B1706" s="668" t="str">
        <f t="shared" si="3270"/>
        <v>IRR in 56 months (09/13) + 180 days lockup</v>
      </c>
      <c r="C1706" s="888" t="str">
        <f ca="1">C1279</f>
        <v>N/A</v>
      </c>
      <c r="D1706" s="888" t="str">
        <f t="shared" ref="D1706:L1706" ca="1" si="3275">D1279</f>
        <v>N/A</v>
      </c>
      <c r="E1706" s="888">
        <f t="shared" ca="1" si="3275"/>
        <v>4.5227497816085812E-3</v>
      </c>
      <c r="F1706" s="888">
        <f t="shared" ca="1" si="3275"/>
        <v>4.3374761939048767E-2</v>
      </c>
      <c r="G1706" s="888">
        <f t="shared" ca="1" si="3275"/>
        <v>7.6121059060096752E-2</v>
      </c>
      <c r="H1706" s="888">
        <f t="shared" ca="1" si="3275"/>
        <v>0.10452818274497985</v>
      </c>
      <c r="I1706" s="888">
        <f t="shared" ca="1" si="3275"/>
        <v>0.12968036532402039</v>
      </c>
      <c r="J1706" s="888">
        <f t="shared" ca="1" si="3275"/>
        <v>0.1522935092449188</v>
      </c>
      <c r="K1706" s="888">
        <f t="shared" ca="1" si="3275"/>
        <v>0.17286645770072936</v>
      </c>
      <c r="L1706" s="909">
        <f t="shared" ca="1" si="3275"/>
        <v>0.19176140427589419</v>
      </c>
      <c r="O1706" s="669"/>
      <c r="P1706" s="669"/>
      <c r="Q1706" s="669"/>
      <c r="R1706" s="669"/>
      <c r="S1706" s="669"/>
      <c r="T1706" s="669"/>
      <c r="V1706" s="669"/>
      <c r="W1706" s="669"/>
      <c r="X1706" s="669"/>
      <c r="Y1706" s="669"/>
      <c r="AD1706" s="663"/>
      <c r="AE1706" s="663"/>
      <c r="AF1706" s="663"/>
      <c r="AG1706" s="663"/>
      <c r="AH1706" s="663"/>
      <c r="AI1706" s="663"/>
      <c r="AJ1706" s="663"/>
      <c r="AK1706" s="663"/>
      <c r="AL1706" s="663"/>
      <c r="AM1706" s="663"/>
      <c r="AN1706" s="663"/>
    </row>
    <row r="1707" spans="2:40" outlineLevel="1" x14ac:dyDescent="0.25">
      <c r="B1707" s="661"/>
      <c r="C1707" s="662"/>
      <c r="L1707" s="664"/>
      <c r="O1707" s="669"/>
      <c r="P1707" s="669"/>
      <c r="Q1707" s="669"/>
      <c r="R1707" s="669"/>
      <c r="S1707" s="669"/>
      <c r="T1707" s="669"/>
      <c r="V1707" s="669"/>
      <c r="W1707" s="669"/>
      <c r="X1707" s="669"/>
      <c r="Y1707" s="669"/>
      <c r="AD1707" s="663"/>
      <c r="AE1707" s="663"/>
      <c r="AF1707" s="663"/>
      <c r="AG1707" s="663"/>
      <c r="AH1707" s="663"/>
      <c r="AI1707" s="663"/>
      <c r="AJ1707" s="663"/>
      <c r="AK1707" s="663"/>
      <c r="AL1707" s="663"/>
      <c r="AM1707" s="663"/>
      <c r="AN1707" s="663"/>
    </row>
    <row r="1708" spans="2:40" x14ac:dyDescent="0.25">
      <c r="B1708" s="661"/>
      <c r="C1708" s="662"/>
      <c r="L1708" s="664"/>
      <c r="O1708" s="669"/>
      <c r="P1708" s="669"/>
      <c r="Q1708" s="669"/>
      <c r="R1708" s="669"/>
      <c r="S1708" s="669"/>
      <c r="T1708" s="669"/>
      <c r="V1708" s="669"/>
      <c r="W1708" s="669"/>
      <c r="X1708" s="669"/>
      <c r="Y1708" s="669"/>
      <c r="AD1708" s="663"/>
      <c r="AE1708" s="663"/>
      <c r="AF1708" s="663"/>
      <c r="AG1708" s="663"/>
      <c r="AH1708" s="663"/>
      <c r="AI1708" s="663"/>
      <c r="AJ1708" s="663"/>
      <c r="AK1708" s="663"/>
      <c r="AL1708" s="663"/>
      <c r="AM1708" s="663"/>
      <c r="AN1708" s="663"/>
    </row>
    <row r="1709" spans="2:40" outlineLevel="1" x14ac:dyDescent="0.25">
      <c r="B1709" s="661" t="str">
        <f>CONCATENATE(B34," Gross Return Analysis")</f>
        <v>Inv F Gross Return Analysis</v>
      </c>
      <c r="C1709" s="662"/>
      <c r="L1709" s="664"/>
      <c r="O1709" s="669"/>
      <c r="P1709" s="669"/>
      <c r="Q1709" s="669"/>
      <c r="R1709" s="669"/>
      <c r="S1709" s="669"/>
      <c r="T1709" s="669"/>
      <c r="V1709" s="669"/>
      <c r="W1709" s="669"/>
      <c r="X1709" s="669"/>
      <c r="Y1709" s="669"/>
      <c r="AD1709" s="663"/>
      <c r="AE1709" s="663"/>
      <c r="AF1709" s="663"/>
      <c r="AG1709" s="663"/>
      <c r="AH1709" s="663"/>
      <c r="AI1709" s="663"/>
      <c r="AJ1709" s="663"/>
      <c r="AK1709" s="663"/>
      <c r="AL1709" s="663"/>
      <c r="AM1709" s="663"/>
      <c r="AN1709" s="663"/>
    </row>
    <row r="1710" spans="2:40" outlineLevel="1" x14ac:dyDescent="0.25">
      <c r="B1710" s="668" t="str">
        <f>B1701</f>
        <v>Gross Return</v>
      </c>
      <c r="C1710" s="662">
        <f t="shared" ref="C1710:L1710" si="3276">$M1559*C$1610</f>
        <v>4078815.2610441777</v>
      </c>
      <c r="D1710" s="662">
        <f t="shared" si="3276"/>
        <v>6118222.8915662663</v>
      </c>
      <c r="E1710" s="662">
        <f t="shared" si="3276"/>
        <v>8157630.5220883554</v>
      </c>
      <c r="F1710" s="662">
        <f t="shared" si="3276"/>
        <v>10197038.152610444</v>
      </c>
      <c r="G1710" s="662">
        <f t="shared" si="3276"/>
        <v>12236445.783132533</v>
      </c>
      <c r="H1710" s="662">
        <f t="shared" si="3276"/>
        <v>14275853.413654622</v>
      </c>
      <c r="I1710" s="662">
        <f t="shared" si="3276"/>
        <v>16315261.044176711</v>
      </c>
      <c r="J1710" s="662">
        <f t="shared" si="3276"/>
        <v>18354668.6746988</v>
      </c>
      <c r="K1710" s="662">
        <f t="shared" si="3276"/>
        <v>20394076.305220887</v>
      </c>
      <c r="L1710" s="939">
        <f t="shared" si="3276"/>
        <v>22433483.935742974</v>
      </c>
      <c r="O1710" s="669"/>
      <c r="P1710" s="669"/>
      <c r="Q1710" s="669"/>
      <c r="R1710" s="669"/>
      <c r="S1710" s="669"/>
      <c r="T1710" s="669"/>
      <c r="V1710" s="669"/>
      <c r="W1710" s="669"/>
      <c r="X1710" s="669"/>
      <c r="Y1710" s="669"/>
      <c r="AD1710" s="663"/>
      <c r="AE1710" s="663"/>
      <c r="AF1710" s="663"/>
      <c r="AG1710" s="663"/>
      <c r="AH1710" s="663"/>
      <c r="AI1710" s="663"/>
      <c r="AJ1710" s="663"/>
      <c r="AK1710" s="663"/>
      <c r="AL1710" s="663"/>
      <c r="AM1710" s="663"/>
      <c r="AN1710" s="663"/>
    </row>
    <row r="1711" spans="2:40" outlineLevel="1" x14ac:dyDescent="0.25">
      <c r="B1711" s="668" t="str">
        <f t="shared" ref="B1711:B1715" si="3277">B1702</f>
        <v>Gross Return Multiple</v>
      </c>
      <c r="C1711" s="895">
        <f>C1710/$T$34</f>
        <v>0.44496166484118294</v>
      </c>
      <c r="D1711" s="895">
        <f t="shared" ref="D1711:L1711" si="3278">D1710/$T$34</f>
        <v>0.6674424972617744</v>
      </c>
      <c r="E1711" s="895">
        <f t="shared" si="3278"/>
        <v>0.88992332968236587</v>
      </c>
      <c r="F1711" s="895">
        <f t="shared" si="3278"/>
        <v>1.1124041621029572</v>
      </c>
      <c r="G1711" s="895">
        <f t="shared" si="3278"/>
        <v>1.3348849945235488</v>
      </c>
      <c r="H1711" s="895">
        <f t="shared" si="3278"/>
        <v>1.5573658269441404</v>
      </c>
      <c r="I1711" s="895">
        <f t="shared" si="3278"/>
        <v>1.7798466593647317</v>
      </c>
      <c r="J1711" s="895">
        <f t="shared" si="3278"/>
        <v>2.0023274917853233</v>
      </c>
      <c r="K1711" s="895">
        <f t="shared" si="3278"/>
        <v>2.2248083242059145</v>
      </c>
      <c r="L1711" s="906">
        <f t="shared" si="3278"/>
        <v>2.447289156626506</v>
      </c>
      <c r="O1711" s="669"/>
      <c r="P1711" s="669"/>
      <c r="Q1711" s="669"/>
      <c r="R1711" s="669"/>
      <c r="S1711" s="669"/>
      <c r="T1711" s="669"/>
      <c r="V1711" s="669"/>
      <c r="W1711" s="669"/>
      <c r="X1711" s="669"/>
      <c r="Y1711" s="669"/>
      <c r="AD1711" s="663"/>
      <c r="AE1711" s="663"/>
      <c r="AF1711" s="663"/>
      <c r="AG1711" s="663"/>
      <c r="AH1711" s="663"/>
      <c r="AI1711" s="663"/>
      <c r="AJ1711" s="663"/>
      <c r="AK1711" s="663"/>
      <c r="AL1711" s="663"/>
      <c r="AM1711" s="663"/>
      <c r="AN1711" s="663"/>
    </row>
    <row r="1712" spans="2:40" outlineLevel="1" x14ac:dyDescent="0.25">
      <c r="B1712" s="668" t="str">
        <f t="shared" si="3277"/>
        <v>IRR in 38 months (03/12) + 180 days lockup</v>
      </c>
      <c r="C1712" s="888" t="str">
        <f ca="1">C1297</f>
        <v>N/A</v>
      </c>
      <c r="D1712" s="888" t="str">
        <f t="shared" ref="D1712:L1712" ca="1" si="3279">D1297</f>
        <v>N/A</v>
      </c>
      <c r="E1712" s="888" t="str">
        <f t="shared" ca="1" si="3279"/>
        <v>N/A</v>
      </c>
      <c r="F1712" s="888">
        <f t="shared" ca="1" si="3279"/>
        <v>2.9530248045921331E-2</v>
      </c>
      <c r="G1712" s="888">
        <f t="shared" ca="1" si="3279"/>
        <v>8.2110747694969177E-2</v>
      </c>
      <c r="H1712" s="888">
        <f t="shared" ca="1" si="3279"/>
        <v>0.12865657210350037</v>
      </c>
      <c r="I1712" s="888">
        <f t="shared" ca="1" si="3279"/>
        <v>0.17059164643287658</v>
      </c>
      <c r="J1712" s="888">
        <f t="shared" ca="1" si="3279"/>
        <v>0.20887243151664736</v>
      </c>
      <c r="K1712" s="888">
        <f t="shared" ca="1" si="3279"/>
        <v>0.24417533278465273</v>
      </c>
      <c r="L1712" s="909">
        <f t="shared" ca="1" si="3279"/>
        <v>0.27699800133705144</v>
      </c>
      <c r="O1712" s="669"/>
      <c r="P1712" s="669"/>
      <c r="Q1712" s="669"/>
      <c r="R1712" s="669"/>
      <c r="S1712" s="669"/>
      <c r="T1712" s="669"/>
      <c r="V1712" s="669"/>
      <c r="W1712" s="669"/>
      <c r="X1712" s="669"/>
      <c r="Y1712" s="669"/>
      <c r="AD1712" s="663"/>
      <c r="AE1712" s="663"/>
      <c r="AF1712" s="663"/>
      <c r="AG1712" s="663"/>
      <c r="AH1712" s="663"/>
      <c r="AI1712" s="663"/>
      <c r="AJ1712" s="663"/>
      <c r="AK1712" s="663"/>
      <c r="AL1712" s="663"/>
      <c r="AM1712" s="663"/>
      <c r="AN1712" s="663"/>
    </row>
    <row r="1713" spans="2:40" outlineLevel="1" x14ac:dyDescent="0.25">
      <c r="B1713" s="668" t="str">
        <f t="shared" si="3277"/>
        <v>IRR in 44 months (09/12) + 180 days lockup</v>
      </c>
      <c r="C1713" s="888" t="str">
        <f ca="1">C1313</f>
        <v>N/A</v>
      </c>
      <c r="D1713" s="888" t="str">
        <f t="shared" ref="D1713:L1713" ca="1" si="3280">D1313</f>
        <v>N/A</v>
      </c>
      <c r="E1713" s="888" t="str">
        <f t="shared" ca="1" si="3280"/>
        <v>N/A</v>
      </c>
      <c r="F1713" s="888">
        <f t="shared" ca="1" si="3280"/>
        <v>2.597889006137848E-2</v>
      </c>
      <c r="G1713" s="888">
        <f t="shared" ca="1" si="3280"/>
        <v>7.2019067406654383E-2</v>
      </c>
      <c r="H1713" s="888">
        <f t="shared" ca="1" si="3280"/>
        <v>0.11255366206169126</v>
      </c>
      <c r="I1713" s="888">
        <f t="shared" ca="1" si="3280"/>
        <v>0.14890311360359193</v>
      </c>
      <c r="J1713" s="888">
        <f t="shared" ca="1" si="3280"/>
        <v>0.18195013403892521</v>
      </c>
      <c r="K1713" s="888">
        <f t="shared" ca="1" si="3280"/>
        <v>0.21231635212898259</v>
      </c>
      <c r="L1713" s="909">
        <f t="shared" ca="1" si="3280"/>
        <v>0.24045746922492978</v>
      </c>
      <c r="O1713" s="669"/>
      <c r="P1713" s="669"/>
      <c r="Q1713" s="669"/>
      <c r="R1713" s="669"/>
      <c r="S1713" s="669"/>
      <c r="T1713" s="669"/>
      <c r="V1713" s="669"/>
      <c r="W1713" s="669"/>
      <c r="X1713" s="669"/>
      <c r="Y1713" s="669"/>
      <c r="AD1713" s="663"/>
      <c r="AE1713" s="663"/>
      <c r="AF1713" s="663"/>
      <c r="AG1713" s="663"/>
      <c r="AH1713" s="663"/>
      <c r="AI1713" s="663"/>
      <c r="AJ1713" s="663"/>
      <c r="AK1713" s="663"/>
      <c r="AL1713" s="663"/>
      <c r="AM1713" s="663"/>
      <c r="AN1713" s="663"/>
    </row>
    <row r="1714" spans="2:40" outlineLevel="1" x14ac:dyDescent="0.25">
      <c r="B1714" s="668" t="str">
        <f t="shared" si="3277"/>
        <v>IRR in 50 months (03/13) + 180 days lockup</v>
      </c>
      <c r="C1714" s="888" t="str">
        <f ca="1">C1329</f>
        <v>N/A</v>
      </c>
      <c r="D1714" s="888" t="str">
        <f t="shared" ref="D1714:L1714" ca="1" si="3281">D1329</f>
        <v>N/A</v>
      </c>
      <c r="E1714" s="888" t="str">
        <f t="shared" ca="1" si="3281"/>
        <v>N/A</v>
      </c>
      <c r="F1714" s="888">
        <f t="shared" ca="1" si="3281"/>
        <v>2.3189982771873476E-2</v>
      </c>
      <c r="G1714" s="888">
        <f t="shared" ca="1" si="3281"/>
        <v>6.4135804772377E-2</v>
      </c>
      <c r="H1714" s="888">
        <f t="shared" ca="1" si="3281"/>
        <v>0.10003075003623962</v>
      </c>
      <c r="I1714" s="888">
        <f t="shared" ca="1" si="3281"/>
        <v>0.13210160136222837</v>
      </c>
      <c r="J1714" s="888">
        <f t="shared" ca="1" si="3281"/>
        <v>0.16116531491279609</v>
      </c>
      <c r="K1714" s="888">
        <f t="shared" ca="1" si="3281"/>
        <v>0.18779537081718448</v>
      </c>
      <c r="L1714" s="909">
        <f t="shared" ca="1" si="3281"/>
        <v>0.21241092085838323</v>
      </c>
      <c r="O1714" s="669"/>
      <c r="P1714" s="669"/>
      <c r="Q1714" s="669"/>
      <c r="R1714" s="669"/>
      <c r="S1714" s="669"/>
      <c r="T1714" s="669"/>
      <c r="V1714" s="669"/>
      <c r="W1714" s="669"/>
      <c r="X1714" s="669"/>
      <c r="Y1714" s="669"/>
      <c r="AD1714" s="663"/>
      <c r="AE1714" s="663"/>
      <c r="AF1714" s="663"/>
      <c r="AG1714" s="663"/>
      <c r="AH1714" s="663"/>
      <c r="AI1714" s="663"/>
      <c r="AJ1714" s="663"/>
      <c r="AK1714" s="663"/>
      <c r="AL1714" s="663"/>
      <c r="AM1714" s="663"/>
      <c r="AN1714" s="663"/>
    </row>
    <row r="1715" spans="2:40" outlineLevel="1" x14ac:dyDescent="0.25">
      <c r="B1715" s="668" t="str">
        <f t="shared" si="3277"/>
        <v>IRR in 56 months (09/13) + 180 days lockup</v>
      </c>
      <c r="C1715" s="888" t="str">
        <f ca="1">C1345</f>
        <v>N/A</v>
      </c>
      <c r="D1715" s="888" t="str">
        <f t="shared" ref="D1715:L1715" ca="1" si="3282">D1345</f>
        <v>N/A</v>
      </c>
      <c r="E1715" s="888" t="str">
        <f t="shared" ca="1" si="3282"/>
        <v>N/A</v>
      </c>
      <c r="F1715" s="888">
        <f t="shared" ca="1" si="3282"/>
        <v>2.0941802859306333E-2</v>
      </c>
      <c r="G1715" s="888">
        <f t="shared" ca="1" si="3282"/>
        <v>5.780768692493439E-2</v>
      </c>
      <c r="H1715" s="888">
        <f t="shared" ca="1" si="3282"/>
        <v>9.0014013648033145E-2</v>
      </c>
      <c r="I1715" s="888">
        <f t="shared" ca="1" si="3282"/>
        <v>0.1187039315700531</v>
      </c>
      <c r="J1715" s="888">
        <f t="shared" ca="1" si="3282"/>
        <v>0.14463638663291931</v>
      </c>
      <c r="K1715" s="888">
        <f t="shared" ca="1" si="3282"/>
        <v>0.16834271550178528</v>
      </c>
      <c r="L1715" s="909">
        <f t="shared" ca="1" si="3282"/>
        <v>0.19021038413047789</v>
      </c>
      <c r="O1715" s="669"/>
      <c r="P1715" s="669"/>
      <c r="Q1715" s="669"/>
      <c r="R1715" s="669"/>
      <c r="S1715" s="669"/>
      <c r="T1715" s="669"/>
      <c r="V1715" s="669"/>
      <c r="W1715" s="669"/>
      <c r="X1715" s="669"/>
      <c r="Y1715" s="669"/>
      <c r="AD1715" s="663"/>
      <c r="AE1715" s="663"/>
      <c r="AF1715" s="663"/>
      <c r="AG1715" s="663"/>
      <c r="AH1715" s="663"/>
      <c r="AI1715" s="663"/>
      <c r="AJ1715" s="663"/>
      <c r="AK1715" s="663"/>
      <c r="AL1715" s="663"/>
      <c r="AM1715" s="663"/>
      <c r="AN1715" s="663"/>
    </row>
    <row r="1716" spans="2:40" outlineLevel="1" x14ac:dyDescent="0.25">
      <c r="B1716" s="661"/>
      <c r="C1716" s="662"/>
      <c r="L1716" s="664"/>
      <c r="O1716" s="669"/>
      <c r="P1716" s="669"/>
      <c r="Q1716" s="669"/>
      <c r="R1716" s="669"/>
      <c r="S1716" s="669"/>
      <c r="T1716" s="669"/>
      <c r="V1716" s="669"/>
      <c r="W1716" s="669"/>
      <c r="X1716" s="669"/>
      <c r="Y1716" s="669"/>
      <c r="AD1716" s="663"/>
      <c r="AE1716" s="663"/>
      <c r="AF1716" s="663"/>
      <c r="AG1716" s="663"/>
      <c r="AH1716" s="663"/>
      <c r="AI1716" s="663"/>
      <c r="AJ1716" s="663"/>
      <c r="AK1716" s="663"/>
      <c r="AL1716" s="663"/>
      <c r="AM1716" s="663"/>
      <c r="AN1716" s="663"/>
    </row>
    <row r="1717" spans="2:40" x14ac:dyDescent="0.25">
      <c r="B1717" s="661"/>
      <c r="C1717" s="662"/>
      <c r="L1717" s="664"/>
      <c r="O1717" s="669"/>
      <c r="P1717" s="669"/>
      <c r="Q1717" s="669"/>
      <c r="R1717" s="669"/>
      <c r="S1717" s="669"/>
      <c r="T1717" s="669"/>
      <c r="V1717" s="669"/>
      <c r="W1717" s="669"/>
      <c r="X1717" s="669"/>
      <c r="Y1717" s="669"/>
      <c r="AD1717" s="663"/>
      <c r="AE1717" s="663"/>
      <c r="AF1717" s="663"/>
      <c r="AG1717" s="663"/>
      <c r="AH1717" s="663"/>
      <c r="AI1717" s="663"/>
      <c r="AJ1717" s="663"/>
      <c r="AK1717" s="663"/>
      <c r="AL1717" s="663"/>
      <c r="AM1717" s="663"/>
      <c r="AN1717" s="663"/>
    </row>
    <row r="1718" spans="2:40" outlineLevel="1" x14ac:dyDescent="0.25">
      <c r="B1718" s="661" t="str">
        <f>CONCATENATE(B35," Gross Return Analysis")</f>
        <v>Inv G Gross Return Analysis</v>
      </c>
      <c r="C1718" s="662"/>
      <c r="L1718" s="664"/>
      <c r="O1718" s="669"/>
      <c r="P1718" s="669"/>
      <c r="Q1718" s="669"/>
      <c r="R1718" s="669"/>
      <c r="S1718" s="669"/>
      <c r="T1718" s="669"/>
      <c r="V1718" s="669"/>
      <c r="W1718" s="669"/>
      <c r="X1718" s="669"/>
      <c r="Y1718" s="669"/>
      <c r="AD1718" s="663"/>
      <c r="AE1718" s="663"/>
      <c r="AF1718" s="663"/>
      <c r="AG1718" s="663"/>
      <c r="AH1718" s="663"/>
      <c r="AI1718" s="663"/>
      <c r="AJ1718" s="663"/>
      <c r="AK1718" s="663"/>
      <c r="AL1718" s="663"/>
      <c r="AM1718" s="663"/>
      <c r="AN1718" s="663"/>
    </row>
    <row r="1719" spans="2:40" outlineLevel="1" x14ac:dyDescent="0.25">
      <c r="B1719" s="668" t="str">
        <f>B1710</f>
        <v>Gross Return</v>
      </c>
      <c r="C1719" s="662">
        <f t="shared" ref="C1719:L1719" si="3283">$M1560*C$1610</f>
        <v>4078815.2610441777</v>
      </c>
      <c r="D1719" s="662">
        <f t="shared" si="3283"/>
        <v>6118222.8915662663</v>
      </c>
      <c r="E1719" s="662">
        <f t="shared" si="3283"/>
        <v>8157630.5220883554</v>
      </c>
      <c r="F1719" s="662">
        <f t="shared" si="3283"/>
        <v>10197038.152610444</v>
      </c>
      <c r="G1719" s="662">
        <f t="shared" si="3283"/>
        <v>12236445.783132533</v>
      </c>
      <c r="H1719" s="662">
        <f t="shared" si="3283"/>
        <v>14275853.413654622</v>
      </c>
      <c r="I1719" s="662">
        <f t="shared" si="3283"/>
        <v>16315261.044176711</v>
      </c>
      <c r="J1719" s="662">
        <f t="shared" si="3283"/>
        <v>18354668.6746988</v>
      </c>
      <c r="K1719" s="662">
        <f t="shared" si="3283"/>
        <v>20394076.305220887</v>
      </c>
      <c r="L1719" s="939">
        <f t="shared" si="3283"/>
        <v>22433483.935742974</v>
      </c>
      <c r="O1719" s="669"/>
      <c r="P1719" s="669"/>
      <c r="Q1719" s="669"/>
      <c r="R1719" s="669"/>
      <c r="S1719" s="669"/>
      <c r="T1719" s="669"/>
      <c r="V1719" s="669"/>
      <c r="W1719" s="669"/>
      <c r="X1719" s="669"/>
      <c r="Y1719" s="669"/>
      <c r="AD1719" s="663"/>
      <c r="AE1719" s="663"/>
      <c r="AF1719" s="663"/>
      <c r="AG1719" s="663"/>
      <c r="AH1719" s="663"/>
      <c r="AI1719" s="663"/>
      <c r="AJ1719" s="663"/>
      <c r="AK1719" s="663"/>
      <c r="AL1719" s="663"/>
      <c r="AM1719" s="663"/>
      <c r="AN1719" s="663"/>
    </row>
    <row r="1720" spans="2:40" outlineLevel="1" x14ac:dyDescent="0.25">
      <c r="B1720" s="668" t="str">
        <f t="shared" ref="B1720:B1724" si="3284">B1711</f>
        <v>Gross Return Multiple</v>
      </c>
      <c r="C1720" s="895">
        <f>C1719/$T$35</f>
        <v>0.44496166484118294</v>
      </c>
      <c r="D1720" s="895">
        <f t="shared" ref="D1720:L1720" si="3285">D1719/$T$35</f>
        <v>0.6674424972617744</v>
      </c>
      <c r="E1720" s="895">
        <f t="shared" si="3285"/>
        <v>0.88992332968236587</v>
      </c>
      <c r="F1720" s="895">
        <f t="shared" si="3285"/>
        <v>1.1124041621029572</v>
      </c>
      <c r="G1720" s="895">
        <f t="shared" si="3285"/>
        <v>1.3348849945235488</v>
      </c>
      <c r="H1720" s="895">
        <f t="shared" si="3285"/>
        <v>1.5573658269441404</v>
      </c>
      <c r="I1720" s="895">
        <f t="shared" si="3285"/>
        <v>1.7798466593647317</v>
      </c>
      <c r="J1720" s="895">
        <f t="shared" si="3285"/>
        <v>2.0023274917853233</v>
      </c>
      <c r="K1720" s="895">
        <f t="shared" si="3285"/>
        <v>2.2248083242059145</v>
      </c>
      <c r="L1720" s="906">
        <f t="shared" si="3285"/>
        <v>2.447289156626506</v>
      </c>
      <c r="O1720" s="669"/>
      <c r="P1720" s="669"/>
      <c r="Q1720" s="669"/>
      <c r="R1720" s="669"/>
      <c r="S1720" s="669"/>
      <c r="T1720" s="669"/>
      <c r="V1720" s="669"/>
      <c r="W1720" s="669"/>
      <c r="X1720" s="669"/>
      <c r="Y1720" s="669"/>
      <c r="AD1720" s="663"/>
      <c r="AE1720" s="663"/>
      <c r="AF1720" s="663"/>
      <c r="AG1720" s="663"/>
      <c r="AH1720" s="663"/>
      <c r="AI1720" s="663"/>
      <c r="AJ1720" s="663"/>
      <c r="AK1720" s="663"/>
      <c r="AL1720" s="663"/>
      <c r="AM1720" s="663"/>
      <c r="AN1720" s="663"/>
    </row>
    <row r="1721" spans="2:40" outlineLevel="1" x14ac:dyDescent="0.25">
      <c r="B1721" s="668" t="str">
        <f t="shared" si="3284"/>
        <v>IRR in 38 months (03/12) + 180 days lockup</v>
      </c>
      <c r="C1721" s="888" t="str">
        <f ca="1">C1363</f>
        <v>N/A</v>
      </c>
      <c r="D1721" s="888" t="str">
        <f t="shared" ref="D1721:L1721" ca="1" si="3286">D1363</f>
        <v>N/A</v>
      </c>
      <c r="E1721" s="888" t="str">
        <f t="shared" ca="1" si="3286"/>
        <v>N/A</v>
      </c>
      <c r="F1721" s="888">
        <f t="shared" ca="1" si="3286"/>
        <v>2.9530248045921331E-2</v>
      </c>
      <c r="G1721" s="888">
        <f t="shared" ca="1" si="3286"/>
        <v>8.2110747694969177E-2</v>
      </c>
      <c r="H1721" s="888">
        <f t="shared" ca="1" si="3286"/>
        <v>0.12865657210350037</v>
      </c>
      <c r="I1721" s="888">
        <f t="shared" ca="1" si="3286"/>
        <v>0.17059164643287658</v>
      </c>
      <c r="J1721" s="888">
        <f t="shared" ca="1" si="3286"/>
        <v>0.20887243151664736</v>
      </c>
      <c r="K1721" s="888">
        <f t="shared" ca="1" si="3286"/>
        <v>0.24417533278465273</v>
      </c>
      <c r="L1721" s="909">
        <f t="shared" ca="1" si="3286"/>
        <v>0.27699800133705144</v>
      </c>
      <c r="O1721" s="669"/>
      <c r="P1721" s="669"/>
      <c r="Q1721" s="669"/>
      <c r="R1721" s="669"/>
      <c r="S1721" s="669"/>
      <c r="T1721" s="669"/>
      <c r="V1721" s="669"/>
      <c r="W1721" s="669"/>
      <c r="X1721" s="669"/>
      <c r="Y1721" s="669"/>
      <c r="AD1721" s="663"/>
      <c r="AE1721" s="663"/>
      <c r="AF1721" s="663"/>
      <c r="AG1721" s="663"/>
      <c r="AH1721" s="663"/>
      <c r="AI1721" s="663"/>
      <c r="AJ1721" s="663"/>
      <c r="AK1721" s="663"/>
      <c r="AL1721" s="663"/>
      <c r="AM1721" s="663"/>
      <c r="AN1721" s="663"/>
    </row>
    <row r="1722" spans="2:40" outlineLevel="1" x14ac:dyDescent="0.25">
      <c r="B1722" s="668" t="str">
        <f t="shared" si="3284"/>
        <v>IRR in 44 months (09/12) + 180 days lockup</v>
      </c>
      <c r="C1722" s="888" t="str">
        <f ca="1">C1379</f>
        <v>N/A</v>
      </c>
      <c r="D1722" s="888" t="str">
        <f t="shared" ref="D1722:L1722" ca="1" si="3287">D1379</f>
        <v>N/A</v>
      </c>
      <c r="E1722" s="888" t="str">
        <f t="shared" ca="1" si="3287"/>
        <v>N/A</v>
      </c>
      <c r="F1722" s="888">
        <f t="shared" ca="1" si="3287"/>
        <v>2.597889006137848E-2</v>
      </c>
      <c r="G1722" s="888">
        <f t="shared" ca="1" si="3287"/>
        <v>7.2019067406654383E-2</v>
      </c>
      <c r="H1722" s="888">
        <f t="shared" ca="1" si="3287"/>
        <v>0.11255366206169126</v>
      </c>
      <c r="I1722" s="888">
        <f t="shared" ca="1" si="3287"/>
        <v>0.14890311360359193</v>
      </c>
      <c r="J1722" s="888">
        <f t="shared" ca="1" si="3287"/>
        <v>0.18195013403892521</v>
      </c>
      <c r="K1722" s="888">
        <f t="shared" ca="1" si="3287"/>
        <v>0.21231635212898259</v>
      </c>
      <c r="L1722" s="909">
        <f t="shared" ca="1" si="3287"/>
        <v>0.24045746922492978</v>
      </c>
      <c r="O1722" s="669"/>
      <c r="P1722" s="669"/>
      <c r="Q1722" s="669"/>
      <c r="R1722" s="669"/>
      <c r="S1722" s="669"/>
      <c r="T1722" s="669"/>
      <c r="V1722" s="669"/>
      <c r="W1722" s="669"/>
      <c r="X1722" s="669"/>
      <c r="Y1722" s="669"/>
      <c r="AD1722" s="663"/>
      <c r="AE1722" s="663"/>
      <c r="AF1722" s="663"/>
      <c r="AG1722" s="663"/>
      <c r="AH1722" s="663"/>
      <c r="AI1722" s="663"/>
      <c r="AJ1722" s="663"/>
      <c r="AK1722" s="663"/>
      <c r="AL1722" s="663"/>
      <c r="AM1722" s="663"/>
      <c r="AN1722" s="663"/>
    </row>
    <row r="1723" spans="2:40" outlineLevel="1" x14ac:dyDescent="0.25">
      <c r="B1723" s="668" t="str">
        <f t="shared" si="3284"/>
        <v>IRR in 50 months (03/13) + 180 days lockup</v>
      </c>
      <c r="C1723" s="888" t="str">
        <f ca="1">C1395</f>
        <v>N/A</v>
      </c>
      <c r="D1723" s="888" t="str">
        <f t="shared" ref="D1723:L1723" ca="1" si="3288">D1395</f>
        <v>N/A</v>
      </c>
      <c r="E1723" s="888" t="str">
        <f t="shared" ca="1" si="3288"/>
        <v>N/A</v>
      </c>
      <c r="F1723" s="888">
        <f t="shared" ca="1" si="3288"/>
        <v>2.3189982771873476E-2</v>
      </c>
      <c r="G1723" s="888">
        <f t="shared" ca="1" si="3288"/>
        <v>6.4135804772377E-2</v>
      </c>
      <c r="H1723" s="888">
        <f t="shared" ca="1" si="3288"/>
        <v>0.10003075003623962</v>
      </c>
      <c r="I1723" s="888">
        <f t="shared" ca="1" si="3288"/>
        <v>0.13210160136222837</v>
      </c>
      <c r="J1723" s="888">
        <f t="shared" ca="1" si="3288"/>
        <v>0.16116531491279609</v>
      </c>
      <c r="K1723" s="888">
        <f t="shared" ca="1" si="3288"/>
        <v>0.18779537081718448</v>
      </c>
      <c r="L1723" s="909">
        <f t="shared" ca="1" si="3288"/>
        <v>0.21241092085838323</v>
      </c>
      <c r="O1723" s="669"/>
      <c r="P1723" s="669"/>
      <c r="Q1723" s="669"/>
      <c r="R1723" s="669"/>
      <c r="S1723" s="669"/>
      <c r="T1723" s="669"/>
      <c r="V1723" s="669"/>
      <c r="W1723" s="669"/>
      <c r="X1723" s="669"/>
      <c r="Y1723" s="669"/>
      <c r="AD1723" s="663"/>
      <c r="AE1723" s="663"/>
      <c r="AF1723" s="663"/>
      <c r="AG1723" s="663"/>
      <c r="AH1723" s="663"/>
      <c r="AI1723" s="663"/>
      <c r="AJ1723" s="663"/>
      <c r="AK1723" s="663"/>
      <c r="AL1723" s="663"/>
      <c r="AM1723" s="663"/>
      <c r="AN1723" s="663"/>
    </row>
    <row r="1724" spans="2:40" outlineLevel="1" x14ac:dyDescent="0.25">
      <c r="B1724" s="668" t="str">
        <f t="shared" si="3284"/>
        <v>IRR in 56 months (09/13) + 180 days lockup</v>
      </c>
      <c r="C1724" s="888" t="str">
        <f ca="1">C1411</f>
        <v>N/A</v>
      </c>
      <c r="D1724" s="888" t="str">
        <f t="shared" ref="D1724:L1724" ca="1" si="3289">D1411</f>
        <v>N/A</v>
      </c>
      <c r="E1724" s="888" t="str">
        <f t="shared" ca="1" si="3289"/>
        <v>N/A</v>
      </c>
      <c r="F1724" s="888">
        <f t="shared" ca="1" si="3289"/>
        <v>2.0941802859306333E-2</v>
      </c>
      <c r="G1724" s="888">
        <f t="shared" ca="1" si="3289"/>
        <v>5.780768692493439E-2</v>
      </c>
      <c r="H1724" s="888">
        <f t="shared" ca="1" si="3289"/>
        <v>9.0014013648033145E-2</v>
      </c>
      <c r="I1724" s="888">
        <f t="shared" ca="1" si="3289"/>
        <v>0.1187039315700531</v>
      </c>
      <c r="J1724" s="888">
        <f t="shared" ca="1" si="3289"/>
        <v>0.14463638663291931</v>
      </c>
      <c r="K1724" s="888">
        <f t="shared" ca="1" si="3289"/>
        <v>0.16834271550178528</v>
      </c>
      <c r="L1724" s="909">
        <f t="shared" ca="1" si="3289"/>
        <v>0.19021038413047789</v>
      </c>
      <c r="O1724" s="669"/>
      <c r="P1724" s="669"/>
      <c r="Q1724" s="669"/>
      <c r="R1724" s="669"/>
      <c r="S1724" s="669"/>
      <c r="T1724" s="669"/>
      <c r="V1724" s="669"/>
      <c r="W1724" s="669"/>
      <c r="X1724" s="669"/>
      <c r="Y1724" s="669"/>
      <c r="AD1724" s="663"/>
      <c r="AE1724" s="663"/>
      <c r="AF1724" s="663"/>
      <c r="AG1724" s="663"/>
      <c r="AH1724" s="663"/>
      <c r="AI1724" s="663"/>
      <c r="AJ1724" s="663"/>
      <c r="AK1724" s="663"/>
      <c r="AL1724" s="663"/>
      <c r="AM1724" s="663"/>
      <c r="AN1724" s="663"/>
    </row>
    <row r="1725" spans="2:40" outlineLevel="1" x14ac:dyDescent="0.25">
      <c r="B1725" s="661"/>
      <c r="C1725" s="662"/>
      <c r="L1725" s="664"/>
      <c r="O1725" s="669"/>
      <c r="P1725" s="669"/>
      <c r="Q1725" s="669"/>
      <c r="R1725" s="669"/>
      <c r="S1725" s="669"/>
      <c r="T1725" s="669"/>
      <c r="V1725" s="669"/>
      <c r="W1725" s="669"/>
      <c r="X1725" s="669"/>
      <c r="Y1725" s="669"/>
      <c r="AD1725" s="663"/>
      <c r="AE1725" s="663"/>
      <c r="AF1725" s="663"/>
      <c r="AG1725" s="663"/>
      <c r="AH1725" s="663"/>
      <c r="AI1725" s="663"/>
      <c r="AJ1725" s="663"/>
      <c r="AK1725" s="663"/>
      <c r="AL1725" s="663"/>
      <c r="AM1725" s="663"/>
      <c r="AN1725" s="663"/>
    </row>
    <row r="1726" spans="2:40" x14ac:dyDescent="0.25">
      <c r="B1726" s="661"/>
      <c r="C1726" s="662"/>
      <c r="L1726" s="664"/>
      <c r="O1726" s="669"/>
      <c r="P1726" s="669"/>
      <c r="Q1726" s="669"/>
      <c r="R1726" s="669"/>
      <c r="S1726" s="669"/>
      <c r="T1726" s="669"/>
      <c r="V1726" s="669"/>
      <c r="W1726" s="669"/>
      <c r="X1726" s="669"/>
      <c r="Y1726" s="669"/>
      <c r="AD1726" s="663"/>
      <c r="AE1726" s="663"/>
      <c r="AF1726" s="663"/>
      <c r="AG1726" s="663"/>
      <c r="AH1726" s="663"/>
      <c r="AI1726" s="663"/>
      <c r="AJ1726" s="663"/>
      <c r="AK1726" s="663"/>
      <c r="AL1726" s="663"/>
      <c r="AM1726" s="663"/>
      <c r="AN1726" s="663"/>
    </row>
    <row r="1727" spans="2:40" outlineLevel="1" x14ac:dyDescent="0.25">
      <c r="B1727" s="661" t="str">
        <f>CONCATENATE(B36," Gross Return Analysis")</f>
        <v>Inv H Gross Return Analysis</v>
      </c>
      <c r="C1727" s="662"/>
      <c r="L1727" s="664"/>
      <c r="O1727" s="669"/>
      <c r="P1727" s="669"/>
      <c r="Q1727" s="669"/>
      <c r="R1727" s="669"/>
      <c r="S1727" s="669"/>
      <c r="T1727" s="669"/>
      <c r="V1727" s="669"/>
      <c r="W1727" s="669"/>
      <c r="X1727" s="669"/>
      <c r="Y1727" s="669"/>
      <c r="AD1727" s="663"/>
      <c r="AE1727" s="663"/>
      <c r="AF1727" s="663"/>
      <c r="AG1727" s="663"/>
      <c r="AH1727" s="663"/>
      <c r="AI1727" s="663"/>
      <c r="AJ1727" s="663"/>
      <c r="AK1727" s="663"/>
      <c r="AL1727" s="663"/>
      <c r="AM1727" s="663"/>
      <c r="AN1727" s="663"/>
    </row>
    <row r="1728" spans="2:40" outlineLevel="1" x14ac:dyDescent="0.25">
      <c r="B1728" s="668" t="str">
        <f>B1719</f>
        <v>Gross Return</v>
      </c>
      <c r="C1728" s="662">
        <f t="shared" ref="C1728:L1728" si="3290">$M1561*C$1610</f>
        <v>4078815.2610441777</v>
      </c>
      <c r="D1728" s="662">
        <f t="shared" si="3290"/>
        <v>6118222.8915662663</v>
      </c>
      <c r="E1728" s="662">
        <f t="shared" si="3290"/>
        <v>8157630.5220883554</v>
      </c>
      <c r="F1728" s="662">
        <f t="shared" si="3290"/>
        <v>10197038.152610444</v>
      </c>
      <c r="G1728" s="662">
        <f t="shared" si="3290"/>
        <v>12236445.783132533</v>
      </c>
      <c r="H1728" s="662">
        <f t="shared" si="3290"/>
        <v>14275853.413654622</v>
      </c>
      <c r="I1728" s="662">
        <f t="shared" si="3290"/>
        <v>16315261.044176711</v>
      </c>
      <c r="J1728" s="662">
        <f t="shared" si="3290"/>
        <v>18354668.6746988</v>
      </c>
      <c r="K1728" s="662">
        <f t="shared" si="3290"/>
        <v>20394076.305220887</v>
      </c>
      <c r="L1728" s="939">
        <f t="shared" si="3290"/>
        <v>22433483.935742974</v>
      </c>
      <c r="O1728" s="669"/>
      <c r="P1728" s="669"/>
      <c r="Q1728" s="669"/>
      <c r="R1728" s="669"/>
      <c r="S1728" s="669"/>
      <c r="T1728" s="669"/>
      <c r="V1728" s="669"/>
      <c r="W1728" s="669"/>
      <c r="X1728" s="669"/>
      <c r="Y1728" s="669"/>
      <c r="AD1728" s="663"/>
      <c r="AE1728" s="663"/>
      <c r="AF1728" s="663"/>
      <c r="AG1728" s="663"/>
      <c r="AH1728" s="663"/>
      <c r="AI1728" s="663"/>
      <c r="AJ1728" s="663"/>
      <c r="AK1728" s="663"/>
      <c r="AL1728" s="663"/>
      <c r="AM1728" s="663"/>
      <c r="AN1728" s="663"/>
    </row>
    <row r="1729" spans="2:40" outlineLevel="1" x14ac:dyDescent="0.25">
      <c r="B1729" s="668" t="str">
        <f t="shared" ref="B1729:B1733" si="3291">B1720</f>
        <v>Gross Return Multiple</v>
      </c>
      <c r="C1729" s="895">
        <f>C1728/$T$36</f>
        <v>0.44496166484118294</v>
      </c>
      <c r="D1729" s="895">
        <f t="shared" ref="D1729:L1729" si="3292">D1728/$T$36</f>
        <v>0.6674424972617744</v>
      </c>
      <c r="E1729" s="895">
        <f t="shared" si="3292"/>
        <v>0.88992332968236587</v>
      </c>
      <c r="F1729" s="895">
        <f t="shared" si="3292"/>
        <v>1.1124041621029572</v>
      </c>
      <c r="G1729" s="895">
        <f t="shared" si="3292"/>
        <v>1.3348849945235488</v>
      </c>
      <c r="H1729" s="895">
        <f t="shared" si="3292"/>
        <v>1.5573658269441404</v>
      </c>
      <c r="I1729" s="895">
        <f t="shared" si="3292"/>
        <v>1.7798466593647317</v>
      </c>
      <c r="J1729" s="895">
        <f t="shared" si="3292"/>
        <v>2.0023274917853233</v>
      </c>
      <c r="K1729" s="895">
        <f t="shared" si="3292"/>
        <v>2.2248083242059145</v>
      </c>
      <c r="L1729" s="906">
        <f t="shared" si="3292"/>
        <v>2.447289156626506</v>
      </c>
      <c r="O1729" s="669"/>
      <c r="P1729" s="669"/>
      <c r="Q1729" s="669"/>
      <c r="R1729" s="669"/>
      <c r="S1729" s="669"/>
      <c r="T1729" s="669"/>
      <c r="V1729" s="669"/>
      <c r="W1729" s="669"/>
      <c r="X1729" s="669"/>
      <c r="Y1729" s="669"/>
      <c r="AD1729" s="663"/>
      <c r="AE1729" s="663"/>
      <c r="AF1729" s="663"/>
      <c r="AG1729" s="663"/>
      <c r="AH1729" s="663"/>
      <c r="AI1729" s="663"/>
      <c r="AJ1729" s="663"/>
      <c r="AK1729" s="663"/>
      <c r="AL1729" s="663"/>
      <c r="AM1729" s="663"/>
      <c r="AN1729" s="663"/>
    </row>
    <row r="1730" spans="2:40" outlineLevel="1" x14ac:dyDescent="0.25">
      <c r="B1730" s="668" t="str">
        <f t="shared" si="3291"/>
        <v>IRR in 38 months (03/12) + 180 days lockup</v>
      </c>
      <c r="C1730" s="888" t="str">
        <f ca="1">C1429</f>
        <v>N/A</v>
      </c>
      <c r="D1730" s="888" t="str">
        <f t="shared" ref="D1730:L1730" ca="1" si="3293">D1429</f>
        <v>N/A</v>
      </c>
      <c r="E1730" s="888" t="str">
        <f t="shared" ca="1" si="3293"/>
        <v>N/A</v>
      </c>
      <c r="F1730" s="888">
        <f t="shared" ca="1" si="3293"/>
        <v>2.9530248045921331E-2</v>
      </c>
      <c r="G1730" s="888">
        <f t="shared" ca="1" si="3293"/>
        <v>8.2110747694969177E-2</v>
      </c>
      <c r="H1730" s="888">
        <f t="shared" ca="1" si="3293"/>
        <v>0.12865657210350037</v>
      </c>
      <c r="I1730" s="888">
        <f t="shared" ca="1" si="3293"/>
        <v>0.17059164643287658</v>
      </c>
      <c r="J1730" s="888">
        <f t="shared" ca="1" si="3293"/>
        <v>0.20887243151664736</v>
      </c>
      <c r="K1730" s="888">
        <f t="shared" ca="1" si="3293"/>
        <v>0.24417533278465273</v>
      </c>
      <c r="L1730" s="909">
        <f t="shared" ca="1" si="3293"/>
        <v>0.27699800133705144</v>
      </c>
      <c r="O1730" s="669"/>
      <c r="P1730" s="669"/>
      <c r="Q1730" s="669"/>
      <c r="R1730" s="669"/>
      <c r="S1730" s="669"/>
      <c r="T1730" s="669"/>
      <c r="V1730" s="669"/>
      <c r="W1730" s="669"/>
      <c r="X1730" s="669"/>
      <c r="Y1730" s="669"/>
      <c r="AD1730" s="663"/>
      <c r="AE1730" s="663"/>
      <c r="AF1730" s="663"/>
      <c r="AG1730" s="663"/>
      <c r="AH1730" s="663"/>
      <c r="AI1730" s="663"/>
      <c r="AJ1730" s="663"/>
      <c r="AK1730" s="663"/>
      <c r="AL1730" s="663"/>
      <c r="AM1730" s="663"/>
      <c r="AN1730" s="663"/>
    </row>
    <row r="1731" spans="2:40" outlineLevel="1" x14ac:dyDescent="0.25">
      <c r="B1731" s="668" t="str">
        <f t="shared" si="3291"/>
        <v>IRR in 44 months (09/12) + 180 days lockup</v>
      </c>
      <c r="C1731" s="888" t="str">
        <f ca="1">C1445</f>
        <v>N/A</v>
      </c>
      <c r="D1731" s="888" t="str">
        <f t="shared" ref="D1731:L1731" ca="1" si="3294">D1445</f>
        <v>N/A</v>
      </c>
      <c r="E1731" s="888" t="str">
        <f t="shared" ca="1" si="3294"/>
        <v>N/A</v>
      </c>
      <c r="F1731" s="888">
        <f t="shared" ca="1" si="3294"/>
        <v>2.597889006137848E-2</v>
      </c>
      <c r="G1731" s="888">
        <f t="shared" ca="1" si="3294"/>
        <v>7.2019067406654383E-2</v>
      </c>
      <c r="H1731" s="888">
        <f t="shared" ca="1" si="3294"/>
        <v>0.11255366206169126</v>
      </c>
      <c r="I1731" s="888">
        <f t="shared" ca="1" si="3294"/>
        <v>0.14890311360359193</v>
      </c>
      <c r="J1731" s="888">
        <f t="shared" ca="1" si="3294"/>
        <v>0.18195013403892521</v>
      </c>
      <c r="K1731" s="888">
        <f t="shared" ca="1" si="3294"/>
        <v>0.21231635212898259</v>
      </c>
      <c r="L1731" s="909">
        <f t="shared" ca="1" si="3294"/>
        <v>0.24045746922492978</v>
      </c>
      <c r="O1731" s="669"/>
      <c r="P1731" s="669"/>
      <c r="Q1731" s="669"/>
      <c r="R1731" s="669"/>
      <c r="S1731" s="669"/>
      <c r="T1731" s="669"/>
      <c r="V1731" s="669"/>
      <c r="W1731" s="669"/>
      <c r="X1731" s="669"/>
      <c r="Y1731" s="669"/>
      <c r="AD1731" s="663"/>
      <c r="AE1731" s="663"/>
      <c r="AF1731" s="663"/>
      <c r="AG1731" s="663"/>
      <c r="AH1731" s="663"/>
      <c r="AI1731" s="663"/>
      <c r="AJ1731" s="663"/>
      <c r="AK1731" s="663"/>
      <c r="AL1731" s="663"/>
      <c r="AM1731" s="663"/>
      <c r="AN1731" s="663"/>
    </row>
    <row r="1732" spans="2:40" outlineLevel="1" x14ac:dyDescent="0.25">
      <c r="B1732" s="668" t="str">
        <f t="shared" si="3291"/>
        <v>IRR in 50 months (03/13) + 180 days lockup</v>
      </c>
      <c r="C1732" s="888" t="str">
        <f ca="1">C1461</f>
        <v>N/A</v>
      </c>
      <c r="D1732" s="888" t="str">
        <f t="shared" ref="D1732:L1732" ca="1" si="3295">D1461</f>
        <v>N/A</v>
      </c>
      <c r="E1732" s="888" t="str">
        <f t="shared" ca="1" si="3295"/>
        <v>N/A</v>
      </c>
      <c r="F1732" s="888">
        <f t="shared" ca="1" si="3295"/>
        <v>2.3189982771873476E-2</v>
      </c>
      <c r="G1732" s="888">
        <f t="shared" ca="1" si="3295"/>
        <v>6.4135804772377E-2</v>
      </c>
      <c r="H1732" s="888">
        <f t="shared" ca="1" si="3295"/>
        <v>0.10003075003623962</v>
      </c>
      <c r="I1732" s="888">
        <f t="shared" ca="1" si="3295"/>
        <v>0.13210160136222837</v>
      </c>
      <c r="J1732" s="888">
        <f t="shared" ca="1" si="3295"/>
        <v>0.16116531491279609</v>
      </c>
      <c r="K1732" s="888">
        <f t="shared" ca="1" si="3295"/>
        <v>0.18779537081718448</v>
      </c>
      <c r="L1732" s="909">
        <f t="shared" ca="1" si="3295"/>
        <v>0.21241092085838323</v>
      </c>
      <c r="O1732" s="669"/>
      <c r="P1732" s="669"/>
      <c r="Q1732" s="669"/>
      <c r="R1732" s="669"/>
      <c r="S1732" s="669"/>
      <c r="T1732" s="669"/>
      <c r="V1732" s="669"/>
      <c r="W1732" s="669"/>
      <c r="X1732" s="669"/>
      <c r="Y1732" s="669"/>
      <c r="AD1732" s="663"/>
      <c r="AE1732" s="663"/>
      <c r="AF1732" s="663"/>
      <c r="AG1732" s="663"/>
      <c r="AH1732" s="663"/>
      <c r="AI1732" s="663"/>
      <c r="AJ1732" s="663"/>
      <c r="AK1732" s="663"/>
      <c r="AL1732" s="663"/>
      <c r="AM1732" s="663"/>
      <c r="AN1732" s="663"/>
    </row>
    <row r="1733" spans="2:40" outlineLevel="1" x14ac:dyDescent="0.25">
      <c r="B1733" s="668" t="str">
        <f t="shared" si="3291"/>
        <v>IRR in 56 months (09/13) + 180 days lockup</v>
      </c>
      <c r="C1733" s="888" t="str">
        <f ca="1">C1477</f>
        <v>N/A</v>
      </c>
      <c r="D1733" s="888" t="str">
        <f t="shared" ref="D1733:L1733" ca="1" si="3296">D1477</f>
        <v>N/A</v>
      </c>
      <c r="E1733" s="888" t="str">
        <f t="shared" ca="1" si="3296"/>
        <v>N/A</v>
      </c>
      <c r="F1733" s="888">
        <f t="shared" ca="1" si="3296"/>
        <v>2.0941802859306333E-2</v>
      </c>
      <c r="G1733" s="888">
        <f t="shared" ca="1" si="3296"/>
        <v>5.780768692493439E-2</v>
      </c>
      <c r="H1733" s="888">
        <f t="shared" ca="1" si="3296"/>
        <v>9.0014013648033145E-2</v>
      </c>
      <c r="I1733" s="888">
        <f t="shared" ca="1" si="3296"/>
        <v>0.1187039315700531</v>
      </c>
      <c r="J1733" s="888">
        <f t="shared" ca="1" si="3296"/>
        <v>0.14463638663291931</v>
      </c>
      <c r="K1733" s="888">
        <f t="shared" ca="1" si="3296"/>
        <v>0.16834271550178528</v>
      </c>
      <c r="L1733" s="909">
        <f t="shared" ca="1" si="3296"/>
        <v>0.19021038413047789</v>
      </c>
      <c r="O1733" s="669"/>
      <c r="P1733" s="669"/>
      <c r="Q1733" s="669"/>
      <c r="R1733" s="669"/>
      <c r="S1733" s="669"/>
      <c r="T1733" s="669"/>
      <c r="V1733" s="669"/>
      <c r="W1733" s="669"/>
      <c r="X1733" s="669"/>
      <c r="Y1733" s="669"/>
      <c r="AD1733" s="663"/>
      <c r="AE1733" s="663"/>
      <c r="AF1733" s="663"/>
      <c r="AG1733" s="663"/>
      <c r="AH1733" s="663"/>
      <c r="AI1733" s="663"/>
      <c r="AJ1733" s="663"/>
      <c r="AK1733" s="663"/>
      <c r="AL1733" s="663"/>
      <c r="AM1733" s="663"/>
      <c r="AN1733" s="663"/>
    </row>
    <row r="1734" spans="2:40" outlineLevel="1" x14ac:dyDescent="0.25">
      <c r="B1734" s="661"/>
      <c r="C1734" s="662"/>
      <c r="L1734" s="664"/>
      <c r="O1734" s="669"/>
      <c r="P1734" s="669"/>
      <c r="Q1734" s="669"/>
      <c r="R1734" s="669"/>
      <c r="S1734" s="669"/>
      <c r="T1734" s="669"/>
      <c r="V1734" s="669"/>
      <c r="W1734" s="669"/>
      <c r="X1734" s="669"/>
      <c r="Y1734" s="669"/>
      <c r="AD1734" s="663"/>
      <c r="AE1734" s="663"/>
      <c r="AF1734" s="663"/>
      <c r="AG1734" s="663"/>
      <c r="AH1734" s="663"/>
      <c r="AI1734" s="663"/>
      <c r="AJ1734" s="663"/>
      <c r="AK1734" s="663"/>
      <c r="AL1734" s="663"/>
      <c r="AM1734" s="663"/>
      <c r="AN1734" s="663"/>
    </row>
    <row r="1735" spans="2:40" x14ac:dyDescent="0.25">
      <c r="B1735" s="661"/>
      <c r="C1735" s="662"/>
      <c r="L1735" s="664"/>
      <c r="O1735" s="669"/>
      <c r="P1735" s="669"/>
      <c r="Q1735" s="669"/>
      <c r="R1735" s="669"/>
      <c r="S1735" s="669"/>
      <c r="T1735" s="669"/>
      <c r="V1735" s="669"/>
      <c r="W1735" s="669"/>
      <c r="X1735" s="669"/>
      <c r="Y1735" s="669"/>
      <c r="AD1735" s="663"/>
      <c r="AE1735" s="663"/>
      <c r="AF1735" s="663"/>
      <c r="AG1735" s="663"/>
      <c r="AH1735" s="663"/>
      <c r="AI1735" s="663"/>
      <c r="AJ1735" s="663"/>
      <c r="AK1735" s="663"/>
      <c r="AL1735" s="663"/>
      <c r="AM1735" s="663"/>
      <c r="AN1735" s="663"/>
    </row>
    <row r="1736" spans="2:40" outlineLevel="1" x14ac:dyDescent="0.25">
      <c r="B1736" s="661" t="str">
        <f>CONCATENATE(B37," Gross Return Analysis")</f>
        <v>Other Investors Gross Return Analysis</v>
      </c>
      <c r="C1736" s="662"/>
      <c r="L1736" s="664"/>
      <c r="O1736" s="669"/>
      <c r="P1736" s="669"/>
      <c r="Q1736" s="669"/>
      <c r="R1736" s="669"/>
      <c r="S1736" s="669"/>
      <c r="T1736" s="669"/>
      <c r="V1736" s="669"/>
      <c r="W1736" s="669"/>
      <c r="X1736" s="669"/>
      <c r="Y1736" s="669"/>
      <c r="AD1736" s="663"/>
      <c r="AE1736" s="663"/>
      <c r="AF1736" s="663"/>
      <c r="AG1736" s="663"/>
      <c r="AH1736" s="663"/>
      <c r="AI1736" s="663"/>
      <c r="AJ1736" s="663"/>
      <c r="AK1736" s="663"/>
      <c r="AL1736" s="663"/>
      <c r="AM1736" s="663"/>
      <c r="AN1736" s="663"/>
    </row>
    <row r="1737" spans="2:40" outlineLevel="1" x14ac:dyDescent="0.25">
      <c r="B1737" s="668" t="str">
        <f>B1728</f>
        <v>Gross Return</v>
      </c>
      <c r="C1737" s="662">
        <f t="shared" ref="C1737:L1737" si="3297">$M1562*C$1610</f>
        <v>0</v>
      </c>
      <c r="D1737" s="662">
        <f t="shared" si="3297"/>
        <v>0</v>
      </c>
      <c r="E1737" s="662">
        <f t="shared" si="3297"/>
        <v>0</v>
      </c>
      <c r="F1737" s="662">
        <f t="shared" si="3297"/>
        <v>0</v>
      </c>
      <c r="G1737" s="662">
        <f t="shared" si="3297"/>
        <v>0</v>
      </c>
      <c r="H1737" s="662">
        <f t="shared" si="3297"/>
        <v>0</v>
      </c>
      <c r="I1737" s="662">
        <f t="shared" si="3297"/>
        <v>0</v>
      </c>
      <c r="J1737" s="662">
        <f t="shared" si="3297"/>
        <v>0</v>
      </c>
      <c r="K1737" s="662">
        <f t="shared" si="3297"/>
        <v>0</v>
      </c>
      <c r="L1737" s="939">
        <f t="shared" si="3297"/>
        <v>0</v>
      </c>
      <c r="O1737" s="669"/>
      <c r="P1737" s="669"/>
      <c r="Q1737" s="669"/>
      <c r="R1737" s="669"/>
      <c r="S1737" s="669"/>
      <c r="T1737" s="669"/>
      <c r="V1737" s="669"/>
      <c r="W1737" s="669"/>
      <c r="X1737" s="669"/>
      <c r="Y1737" s="669"/>
      <c r="AD1737" s="663"/>
      <c r="AE1737" s="663"/>
      <c r="AF1737" s="663"/>
      <c r="AG1737" s="663"/>
      <c r="AH1737" s="663"/>
      <c r="AI1737" s="663"/>
      <c r="AJ1737" s="663"/>
      <c r="AK1737" s="663"/>
      <c r="AL1737" s="663"/>
      <c r="AM1737" s="663"/>
      <c r="AN1737" s="663"/>
    </row>
    <row r="1738" spans="2:40" outlineLevel="1" x14ac:dyDescent="0.25">
      <c r="B1738" s="668" t="str">
        <f t="shared" ref="B1738:B1742" si="3298">B1729</f>
        <v>Gross Return Multiple</v>
      </c>
      <c r="C1738" s="895" t="e">
        <f>C1737/$T$37</f>
        <v>#DIV/0!</v>
      </c>
      <c r="D1738" s="895" t="e">
        <f t="shared" ref="D1738:L1738" si="3299">D1737/$T$37</f>
        <v>#DIV/0!</v>
      </c>
      <c r="E1738" s="895" t="e">
        <f t="shared" si="3299"/>
        <v>#DIV/0!</v>
      </c>
      <c r="F1738" s="895" t="e">
        <f t="shared" si="3299"/>
        <v>#DIV/0!</v>
      </c>
      <c r="G1738" s="895" t="e">
        <f t="shared" si="3299"/>
        <v>#DIV/0!</v>
      </c>
      <c r="H1738" s="895" t="e">
        <f t="shared" si="3299"/>
        <v>#DIV/0!</v>
      </c>
      <c r="I1738" s="895" t="e">
        <f t="shared" si="3299"/>
        <v>#DIV/0!</v>
      </c>
      <c r="J1738" s="895" t="e">
        <f t="shared" si="3299"/>
        <v>#DIV/0!</v>
      </c>
      <c r="K1738" s="895" t="e">
        <f t="shared" si="3299"/>
        <v>#DIV/0!</v>
      </c>
      <c r="L1738" s="906" t="e">
        <f t="shared" si="3299"/>
        <v>#DIV/0!</v>
      </c>
      <c r="O1738" s="669"/>
      <c r="P1738" s="669"/>
      <c r="Q1738" s="669"/>
      <c r="R1738" s="669"/>
      <c r="S1738" s="669"/>
      <c r="T1738" s="669"/>
      <c r="V1738" s="669"/>
      <c r="W1738" s="669"/>
      <c r="X1738" s="669"/>
      <c r="Y1738" s="669"/>
      <c r="AD1738" s="663"/>
      <c r="AE1738" s="663"/>
      <c r="AF1738" s="663"/>
      <c r="AG1738" s="663"/>
      <c r="AH1738" s="663"/>
      <c r="AI1738" s="663"/>
      <c r="AJ1738" s="663"/>
      <c r="AK1738" s="663"/>
      <c r="AL1738" s="663"/>
      <c r="AM1738" s="663"/>
      <c r="AN1738" s="663"/>
    </row>
    <row r="1739" spans="2:40" outlineLevel="1" x14ac:dyDescent="0.25">
      <c r="B1739" s="668" t="str">
        <f t="shared" si="3298"/>
        <v>IRR in 38 months (03/12) + 180 days lockup</v>
      </c>
      <c r="C1739" s="888" t="e">
        <f ca="1">C1495</f>
        <v>#REF!</v>
      </c>
      <c r="D1739" s="888" t="e">
        <f t="shared" ref="D1739:L1739" ca="1" si="3300">D1495</f>
        <v>#REF!</v>
      </c>
      <c r="E1739" s="888" t="e">
        <f t="shared" ca="1" si="3300"/>
        <v>#REF!</v>
      </c>
      <c r="F1739" s="888" t="e">
        <f t="shared" ca="1" si="3300"/>
        <v>#REF!</v>
      </c>
      <c r="G1739" s="888" t="e">
        <f t="shared" ca="1" si="3300"/>
        <v>#REF!</v>
      </c>
      <c r="H1739" s="888" t="e">
        <f t="shared" ca="1" si="3300"/>
        <v>#REF!</v>
      </c>
      <c r="I1739" s="888" t="e">
        <f t="shared" ca="1" si="3300"/>
        <v>#REF!</v>
      </c>
      <c r="J1739" s="888" t="e">
        <f t="shared" ca="1" si="3300"/>
        <v>#REF!</v>
      </c>
      <c r="K1739" s="888" t="e">
        <f t="shared" ca="1" si="3300"/>
        <v>#REF!</v>
      </c>
      <c r="L1739" s="909" t="e">
        <f t="shared" ca="1" si="3300"/>
        <v>#REF!</v>
      </c>
      <c r="O1739" s="669"/>
      <c r="P1739" s="669"/>
      <c r="Q1739" s="669"/>
      <c r="R1739" s="669"/>
      <c r="S1739" s="669"/>
      <c r="T1739" s="669"/>
      <c r="V1739" s="669"/>
      <c r="W1739" s="669"/>
      <c r="X1739" s="669"/>
      <c r="Y1739" s="669"/>
      <c r="AD1739" s="663"/>
      <c r="AE1739" s="663"/>
      <c r="AF1739" s="663"/>
      <c r="AG1739" s="663"/>
      <c r="AH1739" s="663"/>
      <c r="AI1739" s="663"/>
      <c r="AJ1739" s="663"/>
      <c r="AK1739" s="663"/>
      <c r="AL1739" s="663"/>
      <c r="AM1739" s="663"/>
      <c r="AN1739" s="663"/>
    </row>
    <row r="1740" spans="2:40" outlineLevel="1" x14ac:dyDescent="0.25">
      <c r="B1740" s="668" t="str">
        <f t="shared" si="3298"/>
        <v>IRR in 44 months (09/12) + 180 days lockup</v>
      </c>
      <c r="C1740" s="888" t="e">
        <f ca="1">C1511</f>
        <v>#REF!</v>
      </c>
      <c r="D1740" s="888" t="e">
        <f t="shared" ref="D1740:L1740" ca="1" si="3301">D1511</f>
        <v>#REF!</v>
      </c>
      <c r="E1740" s="888" t="e">
        <f t="shared" ca="1" si="3301"/>
        <v>#REF!</v>
      </c>
      <c r="F1740" s="888" t="e">
        <f t="shared" ca="1" si="3301"/>
        <v>#REF!</v>
      </c>
      <c r="G1740" s="888" t="e">
        <f t="shared" ca="1" si="3301"/>
        <v>#REF!</v>
      </c>
      <c r="H1740" s="888" t="e">
        <f t="shared" ca="1" si="3301"/>
        <v>#REF!</v>
      </c>
      <c r="I1740" s="888" t="e">
        <f t="shared" ca="1" si="3301"/>
        <v>#REF!</v>
      </c>
      <c r="J1740" s="888" t="e">
        <f t="shared" ca="1" si="3301"/>
        <v>#REF!</v>
      </c>
      <c r="K1740" s="888" t="e">
        <f t="shared" ca="1" si="3301"/>
        <v>#REF!</v>
      </c>
      <c r="L1740" s="909" t="e">
        <f t="shared" ca="1" si="3301"/>
        <v>#REF!</v>
      </c>
      <c r="O1740" s="669"/>
      <c r="P1740" s="669"/>
      <c r="Q1740" s="669"/>
      <c r="R1740" s="669"/>
      <c r="S1740" s="669"/>
      <c r="T1740" s="669"/>
      <c r="V1740" s="669"/>
      <c r="W1740" s="669"/>
      <c r="X1740" s="669"/>
      <c r="Y1740" s="669"/>
      <c r="AD1740" s="663"/>
      <c r="AE1740" s="663"/>
      <c r="AF1740" s="663"/>
      <c r="AG1740" s="663"/>
      <c r="AH1740" s="663"/>
      <c r="AI1740" s="663"/>
      <c r="AJ1740" s="663"/>
      <c r="AK1740" s="663"/>
      <c r="AL1740" s="663"/>
      <c r="AM1740" s="663"/>
      <c r="AN1740" s="663"/>
    </row>
    <row r="1741" spans="2:40" outlineLevel="1" x14ac:dyDescent="0.25">
      <c r="B1741" s="668" t="str">
        <f t="shared" si="3298"/>
        <v>IRR in 50 months (03/13) + 180 days lockup</v>
      </c>
      <c r="C1741" s="888" t="e">
        <f ca="1">C1527</f>
        <v>#REF!</v>
      </c>
      <c r="D1741" s="888" t="e">
        <f t="shared" ref="D1741:L1741" ca="1" si="3302">D1527</f>
        <v>#REF!</v>
      </c>
      <c r="E1741" s="888" t="e">
        <f t="shared" ca="1" si="3302"/>
        <v>#REF!</v>
      </c>
      <c r="F1741" s="888" t="e">
        <f t="shared" ca="1" si="3302"/>
        <v>#REF!</v>
      </c>
      <c r="G1741" s="888" t="e">
        <f t="shared" ca="1" si="3302"/>
        <v>#REF!</v>
      </c>
      <c r="H1741" s="888" t="e">
        <f t="shared" ca="1" si="3302"/>
        <v>#REF!</v>
      </c>
      <c r="I1741" s="888" t="e">
        <f t="shared" ca="1" si="3302"/>
        <v>#REF!</v>
      </c>
      <c r="J1741" s="888" t="e">
        <f t="shared" ca="1" si="3302"/>
        <v>#REF!</v>
      </c>
      <c r="K1741" s="888" t="e">
        <f t="shared" ca="1" si="3302"/>
        <v>#REF!</v>
      </c>
      <c r="L1741" s="909" t="e">
        <f t="shared" ca="1" si="3302"/>
        <v>#REF!</v>
      </c>
      <c r="O1741" s="669"/>
      <c r="P1741" s="669"/>
      <c r="Q1741" s="669"/>
      <c r="R1741" s="669"/>
      <c r="S1741" s="669"/>
      <c r="T1741" s="669"/>
      <c r="V1741" s="669"/>
      <c r="W1741" s="669"/>
      <c r="X1741" s="669"/>
      <c r="Y1741" s="669"/>
      <c r="AD1741" s="663"/>
      <c r="AE1741" s="663"/>
      <c r="AF1741" s="663"/>
      <c r="AG1741" s="663"/>
      <c r="AH1741" s="663"/>
      <c r="AI1741" s="663"/>
      <c r="AJ1741" s="663"/>
      <c r="AK1741" s="663"/>
      <c r="AL1741" s="663"/>
      <c r="AM1741" s="663"/>
      <c r="AN1741" s="663"/>
    </row>
    <row r="1742" spans="2:40" outlineLevel="1" x14ac:dyDescent="0.25">
      <c r="B1742" s="668" t="str">
        <f t="shared" si="3298"/>
        <v>IRR in 56 months (09/13) + 180 days lockup</v>
      </c>
      <c r="C1742" s="888" t="e">
        <f ca="1">C1543</f>
        <v>#REF!</v>
      </c>
      <c r="D1742" s="888" t="e">
        <f t="shared" ref="D1742:L1742" ca="1" si="3303">D1543</f>
        <v>#REF!</v>
      </c>
      <c r="E1742" s="888" t="e">
        <f t="shared" ca="1" si="3303"/>
        <v>#REF!</v>
      </c>
      <c r="F1742" s="888" t="e">
        <f t="shared" ca="1" si="3303"/>
        <v>#REF!</v>
      </c>
      <c r="G1742" s="888" t="e">
        <f t="shared" ca="1" si="3303"/>
        <v>#REF!</v>
      </c>
      <c r="H1742" s="888" t="e">
        <f t="shared" ca="1" si="3303"/>
        <v>#REF!</v>
      </c>
      <c r="I1742" s="888" t="e">
        <f t="shared" ca="1" si="3303"/>
        <v>#REF!</v>
      </c>
      <c r="J1742" s="888" t="e">
        <f t="shared" ca="1" si="3303"/>
        <v>#REF!</v>
      </c>
      <c r="K1742" s="888" t="e">
        <f t="shared" ca="1" si="3303"/>
        <v>#REF!</v>
      </c>
      <c r="L1742" s="909" t="e">
        <f t="shared" ca="1" si="3303"/>
        <v>#REF!</v>
      </c>
    </row>
    <row r="1743" spans="2:40" outlineLevel="1" x14ac:dyDescent="0.25">
      <c r="B1743" s="661"/>
      <c r="C1743" s="662"/>
      <c r="L1743" s="664"/>
    </row>
    <row r="1744" spans="2:40" ht="15.75" thickBot="1" x14ac:dyDescent="0.3">
      <c r="B1744" s="943"/>
      <c r="C1744" s="911"/>
      <c r="D1744" s="902"/>
      <c r="E1744" s="902"/>
      <c r="F1744" s="902"/>
      <c r="G1744" s="902"/>
      <c r="H1744" s="902"/>
      <c r="I1744" s="902"/>
      <c r="J1744" s="902"/>
      <c r="K1744" s="902"/>
      <c r="L1744" s="903"/>
    </row>
    <row r="1745" spans="2:3" x14ac:dyDescent="0.25">
      <c r="B1745" s="944"/>
      <c r="C1745" s="662"/>
    </row>
    <row r="1746" spans="2:3" x14ac:dyDescent="0.25">
      <c r="B1746" s="944"/>
      <c r="C1746" s="662"/>
    </row>
    <row r="1747" spans="2:3" x14ac:dyDescent="0.25">
      <c r="B1747" s="944"/>
      <c r="C1747" s="662"/>
    </row>
    <row r="1748" spans="2:3" x14ac:dyDescent="0.25">
      <c r="C1748" s="662"/>
    </row>
    <row r="1749" spans="2:3" x14ac:dyDescent="0.25">
      <c r="C1749" s="662"/>
    </row>
    <row r="1750" spans="2:3" x14ac:dyDescent="0.25">
      <c r="C1750" s="662"/>
    </row>
    <row r="1751" spans="2:3" x14ac:dyDescent="0.25">
      <c r="C1751" s="662"/>
    </row>
    <row r="1752" spans="2:3" x14ac:dyDescent="0.25">
      <c r="C1752" s="662"/>
    </row>
    <row r="1753" spans="2:3" x14ac:dyDescent="0.25">
      <c r="C1753" s="662"/>
    </row>
    <row r="1754" spans="2:3" x14ac:dyDescent="0.25">
      <c r="C1754" s="662"/>
    </row>
    <row r="1755" spans="2:3" x14ac:dyDescent="0.25">
      <c r="C1755" s="662"/>
    </row>
    <row r="1756" spans="2:3" x14ac:dyDescent="0.25">
      <c r="C1756" s="662"/>
    </row>
    <row r="1757" spans="2:3" x14ac:dyDescent="0.25">
      <c r="C1757" s="662"/>
    </row>
    <row r="1758" spans="2:3" x14ac:dyDescent="0.25">
      <c r="C1758" s="662"/>
    </row>
    <row r="1759" spans="2:3" x14ac:dyDescent="0.25">
      <c r="C1759" s="662"/>
    </row>
    <row r="1760" spans="2:3" x14ac:dyDescent="0.25">
      <c r="C1760" s="662"/>
    </row>
    <row r="1761" spans="3:3" x14ac:dyDescent="0.25">
      <c r="C1761" s="662"/>
    </row>
    <row r="1762" spans="3:3" x14ac:dyDescent="0.25">
      <c r="C1762" s="662"/>
    </row>
    <row r="1763" spans="3:3" x14ac:dyDescent="0.25">
      <c r="C1763" s="662"/>
    </row>
    <row r="1764" spans="3:3" x14ac:dyDescent="0.25">
      <c r="C1764" s="662"/>
    </row>
    <row r="1765" spans="3:3" x14ac:dyDescent="0.25">
      <c r="C1765" s="662"/>
    </row>
    <row r="1766" spans="3:3" x14ac:dyDescent="0.25">
      <c r="C1766" s="662"/>
    </row>
    <row r="1767" spans="3:3" x14ac:dyDescent="0.25">
      <c r="C1767" s="662"/>
    </row>
    <row r="1768" spans="3:3" x14ac:dyDescent="0.25">
      <c r="C1768" s="662"/>
    </row>
    <row r="1769" spans="3:3" x14ac:dyDescent="0.25">
      <c r="C1769" s="662"/>
    </row>
    <row r="1770" spans="3:3" x14ac:dyDescent="0.25">
      <c r="C1770" s="662"/>
    </row>
    <row r="1771" spans="3:3" x14ac:dyDescent="0.25">
      <c r="C1771" s="662"/>
    </row>
    <row r="1772" spans="3:3" x14ac:dyDescent="0.25">
      <c r="C1772" s="662"/>
    </row>
    <row r="1773" spans="3:3" x14ac:dyDescent="0.25">
      <c r="C1773" s="662"/>
    </row>
    <row r="1774" spans="3:3" x14ac:dyDescent="0.25">
      <c r="C1774" s="662"/>
    </row>
    <row r="1775" spans="3:3" x14ac:dyDescent="0.25">
      <c r="C1775" s="662"/>
    </row>
    <row r="1776" spans="3:3" x14ac:dyDescent="0.25">
      <c r="C1776" s="662"/>
    </row>
    <row r="1777" spans="3:3" x14ac:dyDescent="0.25">
      <c r="C1777" s="662"/>
    </row>
    <row r="1778" spans="3:3" x14ac:dyDescent="0.25">
      <c r="C1778" s="662"/>
    </row>
    <row r="1779" spans="3:3" x14ac:dyDescent="0.25">
      <c r="C1779" s="662"/>
    </row>
    <row r="1780" spans="3:3" x14ac:dyDescent="0.25">
      <c r="C1780" s="662"/>
    </row>
    <row r="1781" spans="3:3" x14ac:dyDescent="0.25">
      <c r="C1781" s="662"/>
    </row>
    <row r="1782" spans="3:3" x14ac:dyDescent="0.25">
      <c r="C1782" s="662"/>
    </row>
    <row r="1783" spans="3:3" x14ac:dyDescent="0.25">
      <c r="C1783" s="662"/>
    </row>
    <row r="1784" spans="3:3" x14ac:dyDescent="0.25">
      <c r="C1784" s="662"/>
    </row>
    <row r="1785" spans="3:3" x14ac:dyDescent="0.25">
      <c r="C1785" s="662"/>
    </row>
    <row r="1786" spans="3:3" x14ac:dyDescent="0.25">
      <c r="C1786" s="662"/>
    </row>
    <row r="1787" spans="3:3" x14ac:dyDescent="0.25">
      <c r="C1787" s="662"/>
    </row>
    <row r="1788" spans="3:3" x14ac:dyDescent="0.25">
      <c r="C1788" s="662"/>
    </row>
    <row r="1789" spans="3:3" x14ac:dyDescent="0.25">
      <c r="C1789" s="662"/>
    </row>
    <row r="1790" spans="3:3" x14ac:dyDescent="0.25">
      <c r="C1790" s="662"/>
    </row>
    <row r="1791" spans="3:3" x14ac:dyDescent="0.25">
      <c r="C1791" s="662"/>
    </row>
    <row r="1792" spans="3:3" x14ac:dyDescent="0.25">
      <c r="C1792" s="662"/>
    </row>
    <row r="1793" spans="3:3" x14ac:dyDescent="0.25">
      <c r="C1793" s="662"/>
    </row>
    <row r="1794" spans="3:3" x14ac:dyDescent="0.25">
      <c r="C1794" s="662"/>
    </row>
    <row r="1795" spans="3:3" x14ac:dyDescent="0.25">
      <c r="C1795" s="662"/>
    </row>
    <row r="1796" spans="3:3" x14ac:dyDescent="0.25">
      <c r="C1796" s="662"/>
    </row>
    <row r="1797" spans="3:3" x14ac:dyDescent="0.25">
      <c r="C1797" s="662"/>
    </row>
    <row r="1798" spans="3:3" x14ac:dyDescent="0.25">
      <c r="C1798" s="662"/>
    </row>
    <row r="1799" spans="3:3" x14ac:dyDescent="0.25">
      <c r="C1799" s="662"/>
    </row>
    <row r="1800" spans="3:3" x14ac:dyDescent="0.25">
      <c r="C1800" s="662"/>
    </row>
    <row r="1801" spans="3:3" x14ac:dyDescent="0.25">
      <c r="C1801" s="662"/>
    </row>
    <row r="1802" spans="3:3" x14ac:dyDescent="0.25">
      <c r="C1802" s="662"/>
    </row>
    <row r="1803" spans="3:3" x14ac:dyDescent="0.25">
      <c r="C1803" s="662"/>
    </row>
    <row r="1804" spans="3:3" x14ac:dyDescent="0.25">
      <c r="C1804" s="662"/>
    </row>
    <row r="1805" spans="3:3" x14ac:dyDescent="0.25">
      <c r="C1805" s="662"/>
    </row>
    <row r="1806" spans="3:3" x14ac:dyDescent="0.25">
      <c r="C1806" s="662"/>
    </row>
    <row r="1807" spans="3:3" x14ac:dyDescent="0.25">
      <c r="C1807" s="662"/>
    </row>
    <row r="1808" spans="3:3" x14ac:dyDescent="0.25">
      <c r="C1808" s="662"/>
    </row>
    <row r="1809" spans="3:3" x14ac:dyDescent="0.25">
      <c r="C1809" s="662"/>
    </row>
    <row r="1810" spans="3:3" x14ac:dyDescent="0.25">
      <c r="C1810" s="662"/>
    </row>
    <row r="1811" spans="3:3" x14ac:dyDescent="0.25">
      <c r="C1811" s="662"/>
    </row>
    <row r="1812" spans="3:3" x14ac:dyDescent="0.25">
      <c r="C1812" s="662"/>
    </row>
    <row r="1813" spans="3:3" x14ac:dyDescent="0.25">
      <c r="C1813" s="662"/>
    </row>
    <row r="1814" spans="3:3" x14ac:dyDescent="0.25">
      <c r="C1814" s="662"/>
    </row>
    <row r="1815" spans="3:3" x14ac:dyDescent="0.25">
      <c r="C1815" s="662"/>
    </row>
    <row r="1816" spans="3:3" x14ac:dyDescent="0.25">
      <c r="C1816" s="662"/>
    </row>
    <row r="1817" spans="3:3" x14ac:dyDescent="0.25">
      <c r="C1817" s="662"/>
    </row>
    <row r="1818" spans="3:3" x14ac:dyDescent="0.25">
      <c r="C1818" s="662"/>
    </row>
    <row r="1819" spans="3:3" x14ac:dyDescent="0.25">
      <c r="C1819" s="662"/>
    </row>
    <row r="1820" spans="3:3" x14ac:dyDescent="0.25">
      <c r="C1820" s="662"/>
    </row>
    <row r="1821" spans="3:3" x14ac:dyDescent="0.25">
      <c r="C1821" s="662"/>
    </row>
    <row r="1822" spans="3:3" x14ac:dyDescent="0.25">
      <c r="C1822" s="662"/>
    </row>
    <row r="1823" spans="3:3" x14ac:dyDescent="0.25">
      <c r="C1823" s="662"/>
    </row>
    <row r="1824" spans="3:3" x14ac:dyDescent="0.25">
      <c r="C1824" s="662"/>
    </row>
    <row r="1825" spans="3:3" x14ac:dyDescent="0.25">
      <c r="C1825" s="662"/>
    </row>
    <row r="1826" spans="3:3" x14ac:dyDescent="0.25">
      <c r="C1826" s="662"/>
    </row>
    <row r="1827" spans="3:3" x14ac:dyDescent="0.25">
      <c r="C1827" s="662"/>
    </row>
    <row r="1828" spans="3:3" x14ac:dyDescent="0.25">
      <c r="C1828" s="662"/>
    </row>
    <row r="1829" spans="3:3" x14ac:dyDescent="0.25">
      <c r="C1829" s="662"/>
    </row>
    <row r="1830" spans="3:3" x14ac:dyDescent="0.25">
      <c r="C1830" s="662"/>
    </row>
    <row r="1831" spans="3:3" x14ac:dyDescent="0.25">
      <c r="C1831" s="662"/>
    </row>
    <row r="1832" spans="3:3" x14ac:dyDescent="0.25">
      <c r="C1832" s="662"/>
    </row>
    <row r="1833" spans="3:3" x14ac:dyDescent="0.25">
      <c r="C1833" s="662"/>
    </row>
    <row r="1834" spans="3:3" x14ac:dyDescent="0.25">
      <c r="C1834" s="662"/>
    </row>
    <row r="1835" spans="3:3" x14ac:dyDescent="0.25">
      <c r="C1835" s="662"/>
    </row>
    <row r="1836" spans="3:3" x14ac:dyDescent="0.25">
      <c r="C1836" s="662"/>
    </row>
    <row r="1837" spans="3:3" x14ac:dyDescent="0.25">
      <c r="C1837" s="662"/>
    </row>
    <row r="1838" spans="3:3" x14ac:dyDescent="0.25">
      <c r="C1838" s="662"/>
    </row>
    <row r="1839" spans="3:3" x14ac:dyDescent="0.25">
      <c r="C1839" s="662"/>
    </row>
    <row r="1840" spans="3:3" x14ac:dyDescent="0.25">
      <c r="C1840" s="662"/>
    </row>
    <row r="1841" spans="3:3" x14ac:dyDescent="0.25">
      <c r="C1841" s="662"/>
    </row>
    <row r="1842" spans="3:3" x14ac:dyDescent="0.25">
      <c r="C1842" s="662"/>
    </row>
    <row r="1843" spans="3:3" x14ac:dyDescent="0.25">
      <c r="C1843" s="662"/>
    </row>
    <row r="1844" spans="3:3" x14ac:dyDescent="0.25">
      <c r="C1844" s="662"/>
    </row>
    <row r="1845" spans="3:3" x14ac:dyDescent="0.25">
      <c r="C1845" s="662"/>
    </row>
    <row r="1846" spans="3:3" x14ac:dyDescent="0.25">
      <c r="C1846" s="662"/>
    </row>
    <row r="1847" spans="3:3" x14ac:dyDescent="0.25">
      <c r="C1847" s="662"/>
    </row>
    <row r="1848" spans="3:3" x14ac:dyDescent="0.25">
      <c r="C1848" s="662"/>
    </row>
    <row r="1849" spans="3:3" x14ac:dyDescent="0.25">
      <c r="C1849" s="662"/>
    </row>
    <row r="1850" spans="3:3" x14ac:dyDescent="0.25">
      <c r="C1850" s="662"/>
    </row>
    <row r="1851" spans="3:3" x14ac:dyDescent="0.25">
      <c r="C1851" s="662"/>
    </row>
    <row r="1852" spans="3:3" x14ac:dyDescent="0.25">
      <c r="C1852" s="662"/>
    </row>
    <row r="1853" spans="3:3" x14ac:dyDescent="0.25">
      <c r="C1853" s="662"/>
    </row>
    <row r="1854" spans="3:3" x14ac:dyDescent="0.25">
      <c r="C1854" s="662"/>
    </row>
    <row r="1855" spans="3:3" x14ac:dyDescent="0.25">
      <c r="C1855" s="662"/>
    </row>
    <row r="1856" spans="3:3" x14ac:dyDescent="0.25">
      <c r="C1856" s="662"/>
    </row>
    <row r="1857" spans="3:3" x14ac:dyDescent="0.25">
      <c r="C1857" s="662"/>
    </row>
    <row r="1858" spans="3:3" x14ac:dyDescent="0.25">
      <c r="C1858" s="662"/>
    </row>
    <row r="1859" spans="3:3" x14ac:dyDescent="0.25">
      <c r="C1859" s="662"/>
    </row>
    <row r="1860" spans="3:3" x14ac:dyDescent="0.25">
      <c r="C1860" s="662"/>
    </row>
    <row r="1861" spans="3:3" x14ac:dyDescent="0.25">
      <c r="C1861" s="662"/>
    </row>
    <row r="1862" spans="3:3" x14ac:dyDescent="0.25">
      <c r="C1862" s="662"/>
    </row>
    <row r="1863" spans="3:3" x14ac:dyDescent="0.25">
      <c r="C1863" s="662"/>
    </row>
    <row r="1864" spans="3:3" x14ac:dyDescent="0.25">
      <c r="C1864" s="662"/>
    </row>
    <row r="1865" spans="3:3" x14ac:dyDescent="0.25">
      <c r="C1865" s="662"/>
    </row>
    <row r="1866" spans="3:3" x14ac:dyDescent="0.25">
      <c r="C1866" s="662"/>
    </row>
    <row r="1867" spans="3:3" x14ac:dyDescent="0.25">
      <c r="C1867" s="662"/>
    </row>
    <row r="1868" spans="3:3" x14ac:dyDescent="0.25">
      <c r="C1868" s="662"/>
    </row>
    <row r="1869" spans="3:3" x14ac:dyDescent="0.25">
      <c r="C1869" s="662"/>
    </row>
    <row r="1870" spans="3:3" x14ac:dyDescent="0.25">
      <c r="C1870" s="662"/>
    </row>
    <row r="1871" spans="3:3" x14ac:dyDescent="0.25">
      <c r="C1871" s="662"/>
    </row>
    <row r="1872" spans="3:3" x14ac:dyDescent="0.25">
      <c r="C1872" s="662"/>
    </row>
    <row r="1873" spans="3:3" x14ac:dyDescent="0.25">
      <c r="C1873" s="662"/>
    </row>
    <row r="1874" spans="3:3" x14ac:dyDescent="0.25">
      <c r="C1874" s="662"/>
    </row>
    <row r="1875" spans="3:3" x14ac:dyDescent="0.25">
      <c r="C1875" s="662"/>
    </row>
    <row r="1876" spans="3:3" x14ac:dyDescent="0.25">
      <c r="C1876" s="662"/>
    </row>
    <row r="1877" spans="3:3" x14ac:dyDescent="0.25">
      <c r="C1877" s="662"/>
    </row>
    <row r="1878" spans="3:3" x14ac:dyDescent="0.25">
      <c r="C1878" s="662"/>
    </row>
    <row r="1879" spans="3:3" x14ac:dyDescent="0.25">
      <c r="C1879" s="662"/>
    </row>
    <row r="1880" spans="3:3" x14ac:dyDescent="0.25">
      <c r="C1880" s="662"/>
    </row>
    <row r="1881" spans="3:3" x14ac:dyDescent="0.25">
      <c r="C1881" s="662"/>
    </row>
    <row r="1882" spans="3:3" x14ac:dyDescent="0.25">
      <c r="C1882" s="662"/>
    </row>
    <row r="1883" spans="3:3" x14ac:dyDescent="0.25">
      <c r="C1883" s="662"/>
    </row>
    <row r="1884" spans="3:3" x14ac:dyDescent="0.25">
      <c r="C1884" s="662"/>
    </row>
    <row r="1885" spans="3:3" x14ac:dyDescent="0.25">
      <c r="C1885" s="662"/>
    </row>
    <row r="1886" spans="3:3" x14ac:dyDescent="0.25">
      <c r="C1886" s="662"/>
    </row>
    <row r="1887" spans="3:3" x14ac:dyDescent="0.25">
      <c r="C1887" s="662"/>
    </row>
    <row r="1888" spans="3:3" x14ac:dyDescent="0.25">
      <c r="C1888" s="662"/>
    </row>
    <row r="1889" spans="3:3" x14ac:dyDescent="0.25">
      <c r="C1889" s="662"/>
    </row>
    <row r="1890" spans="3:3" x14ac:dyDescent="0.25">
      <c r="C1890" s="662"/>
    </row>
    <row r="1891" spans="3:3" x14ac:dyDescent="0.25">
      <c r="C1891" s="662"/>
    </row>
    <row r="1892" spans="3:3" x14ac:dyDescent="0.25">
      <c r="C1892" s="662"/>
    </row>
    <row r="1893" spans="3:3" x14ac:dyDescent="0.25">
      <c r="C1893" s="662"/>
    </row>
    <row r="1894" spans="3:3" x14ac:dyDescent="0.25">
      <c r="C1894" s="662"/>
    </row>
    <row r="1895" spans="3:3" x14ac:dyDescent="0.25">
      <c r="C1895" s="662"/>
    </row>
    <row r="1896" spans="3:3" x14ac:dyDescent="0.25">
      <c r="C1896" s="662"/>
    </row>
    <row r="1897" spans="3:3" x14ac:dyDescent="0.25">
      <c r="C1897" s="662"/>
    </row>
    <row r="1898" spans="3:3" x14ac:dyDescent="0.25">
      <c r="C1898" s="662"/>
    </row>
    <row r="1899" spans="3:3" x14ac:dyDescent="0.25">
      <c r="C1899" s="662"/>
    </row>
    <row r="1900" spans="3:3" x14ac:dyDescent="0.25">
      <c r="C1900" s="662"/>
    </row>
    <row r="1901" spans="3:3" x14ac:dyDescent="0.25">
      <c r="C1901" s="662"/>
    </row>
    <row r="1902" spans="3:3" x14ac:dyDescent="0.25">
      <c r="C1902" s="662"/>
    </row>
    <row r="1903" spans="3:3" x14ac:dyDescent="0.25">
      <c r="C1903" s="662"/>
    </row>
    <row r="1904" spans="3:3" x14ac:dyDescent="0.25">
      <c r="C1904" s="662"/>
    </row>
    <row r="1905" spans="3:3" x14ac:dyDescent="0.25">
      <c r="C1905" s="662"/>
    </row>
    <row r="1906" spans="3:3" x14ac:dyDescent="0.25">
      <c r="C1906" s="662"/>
    </row>
    <row r="1907" spans="3:3" x14ac:dyDescent="0.25">
      <c r="C1907" s="662"/>
    </row>
    <row r="1908" spans="3:3" x14ac:dyDescent="0.25">
      <c r="C1908" s="662"/>
    </row>
    <row r="1909" spans="3:3" x14ac:dyDescent="0.25">
      <c r="C1909" s="662"/>
    </row>
    <row r="1910" spans="3:3" x14ac:dyDescent="0.25">
      <c r="C1910" s="662"/>
    </row>
    <row r="1911" spans="3:3" x14ac:dyDescent="0.25">
      <c r="C1911" s="662"/>
    </row>
    <row r="1912" spans="3:3" x14ac:dyDescent="0.25">
      <c r="C1912" s="662"/>
    </row>
    <row r="1913" spans="3:3" x14ac:dyDescent="0.25">
      <c r="C1913" s="662"/>
    </row>
    <row r="1914" spans="3:3" x14ac:dyDescent="0.25">
      <c r="C1914" s="662"/>
    </row>
    <row r="1915" spans="3:3" x14ac:dyDescent="0.25">
      <c r="C1915" s="662"/>
    </row>
    <row r="1916" spans="3:3" x14ac:dyDescent="0.25">
      <c r="C1916" s="662"/>
    </row>
    <row r="1917" spans="3:3" x14ac:dyDescent="0.25">
      <c r="C1917" s="662"/>
    </row>
    <row r="1918" spans="3:3" x14ac:dyDescent="0.25">
      <c r="C1918" s="662"/>
    </row>
    <row r="1919" spans="3:3" x14ac:dyDescent="0.25">
      <c r="C1919" s="662"/>
    </row>
    <row r="1920" spans="3:3" x14ac:dyDescent="0.25">
      <c r="C1920" s="662"/>
    </row>
    <row r="1921" spans="3:3" x14ac:dyDescent="0.25">
      <c r="C1921" s="662"/>
    </row>
    <row r="1922" spans="3:3" x14ac:dyDescent="0.25">
      <c r="C1922" s="662"/>
    </row>
    <row r="1923" spans="3:3" x14ac:dyDescent="0.25">
      <c r="C1923" s="662"/>
    </row>
    <row r="1924" spans="3:3" x14ac:dyDescent="0.25">
      <c r="C1924" s="662"/>
    </row>
    <row r="1925" spans="3:3" x14ac:dyDescent="0.25">
      <c r="C1925" s="662"/>
    </row>
    <row r="1926" spans="3:3" x14ac:dyDescent="0.25">
      <c r="C1926" s="662"/>
    </row>
    <row r="1927" spans="3:3" x14ac:dyDescent="0.25">
      <c r="C1927" s="662"/>
    </row>
    <row r="1928" spans="3:3" x14ac:dyDescent="0.25">
      <c r="C1928" s="662"/>
    </row>
    <row r="1929" spans="3:3" x14ac:dyDescent="0.25">
      <c r="C1929" s="662"/>
    </row>
    <row r="1930" spans="3:3" x14ac:dyDescent="0.25">
      <c r="C1930" s="662"/>
    </row>
    <row r="1931" spans="3:3" x14ac:dyDescent="0.25">
      <c r="C1931" s="662"/>
    </row>
    <row r="1932" spans="3:3" x14ac:dyDescent="0.25">
      <c r="C1932" s="662"/>
    </row>
    <row r="1933" spans="3:3" x14ac:dyDescent="0.25">
      <c r="C1933" s="662"/>
    </row>
    <row r="1934" spans="3:3" x14ac:dyDescent="0.25">
      <c r="C1934" s="662"/>
    </row>
    <row r="1935" spans="3:3" x14ac:dyDescent="0.25">
      <c r="C1935" s="662"/>
    </row>
    <row r="1936" spans="3:3" x14ac:dyDescent="0.25">
      <c r="C1936" s="662"/>
    </row>
    <row r="1937" spans="3:3" x14ac:dyDescent="0.25">
      <c r="C1937" s="662"/>
    </row>
    <row r="1938" spans="3:3" x14ac:dyDescent="0.25">
      <c r="C1938" s="662"/>
    </row>
    <row r="1939" spans="3:3" x14ac:dyDescent="0.25">
      <c r="C1939" s="662"/>
    </row>
    <row r="1940" spans="3:3" x14ac:dyDescent="0.25">
      <c r="C1940" s="662"/>
    </row>
    <row r="1941" spans="3:3" x14ac:dyDescent="0.25">
      <c r="C1941" s="662"/>
    </row>
    <row r="1942" spans="3:3" x14ac:dyDescent="0.25">
      <c r="C1942" s="662"/>
    </row>
    <row r="1943" spans="3:3" x14ac:dyDescent="0.25">
      <c r="C1943" s="662"/>
    </row>
    <row r="1944" spans="3:3" x14ac:dyDescent="0.25">
      <c r="C1944" s="662"/>
    </row>
    <row r="1945" spans="3:3" x14ac:dyDescent="0.25">
      <c r="C1945" s="662"/>
    </row>
    <row r="1946" spans="3:3" x14ac:dyDescent="0.25">
      <c r="C1946" s="662"/>
    </row>
    <row r="1947" spans="3:3" x14ac:dyDescent="0.25">
      <c r="C1947" s="662"/>
    </row>
    <row r="1948" spans="3:3" x14ac:dyDescent="0.25">
      <c r="C1948" s="662"/>
    </row>
    <row r="1949" spans="3:3" x14ac:dyDescent="0.25">
      <c r="C1949" s="662"/>
    </row>
    <row r="1950" spans="3:3" x14ac:dyDescent="0.25">
      <c r="C1950" s="662"/>
    </row>
    <row r="1951" spans="3:3" x14ac:dyDescent="0.25">
      <c r="C1951" s="662"/>
    </row>
    <row r="1952" spans="3:3" x14ac:dyDescent="0.25">
      <c r="C1952" s="662"/>
    </row>
    <row r="1953" spans="3:3" x14ac:dyDescent="0.25">
      <c r="C1953" s="662"/>
    </row>
    <row r="1954" spans="3:3" x14ac:dyDescent="0.25">
      <c r="C1954" s="662"/>
    </row>
    <row r="1955" spans="3:3" x14ac:dyDescent="0.25">
      <c r="C1955" s="662"/>
    </row>
    <row r="1956" spans="3:3" x14ac:dyDescent="0.25">
      <c r="C1956" s="662"/>
    </row>
    <row r="1957" spans="3:3" x14ac:dyDescent="0.25">
      <c r="C1957" s="662"/>
    </row>
    <row r="1958" spans="3:3" x14ac:dyDescent="0.25">
      <c r="C1958" s="662"/>
    </row>
    <row r="1959" spans="3:3" x14ac:dyDescent="0.25">
      <c r="C1959" s="662"/>
    </row>
    <row r="1960" spans="3:3" x14ac:dyDescent="0.25">
      <c r="C1960" s="662"/>
    </row>
    <row r="1961" spans="3:3" x14ac:dyDescent="0.25">
      <c r="C1961" s="662"/>
    </row>
    <row r="1962" spans="3:3" x14ac:dyDescent="0.25">
      <c r="C1962" s="662"/>
    </row>
    <row r="1963" spans="3:3" x14ac:dyDescent="0.25">
      <c r="C1963" s="662"/>
    </row>
    <row r="1964" spans="3:3" x14ac:dyDescent="0.25">
      <c r="C1964" s="662"/>
    </row>
    <row r="1965" spans="3:3" x14ac:dyDescent="0.25">
      <c r="C1965" s="662"/>
    </row>
    <row r="1966" spans="3:3" x14ac:dyDescent="0.25">
      <c r="C1966" s="662"/>
    </row>
    <row r="1967" spans="3:3" x14ac:dyDescent="0.25">
      <c r="C1967" s="662"/>
    </row>
    <row r="1968" spans="3:3" x14ac:dyDescent="0.25">
      <c r="C1968" s="662"/>
    </row>
    <row r="1969" spans="3:3" x14ac:dyDescent="0.25">
      <c r="C1969" s="662"/>
    </row>
    <row r="1970" spans="3:3" x14ac:dyDescent="0.25">
      <c r="C1970" s="662"/>
    </row>
    <row r="1971" spans="3:3" x14ac:dyDescent="0.25">
      <c r="C1971" s="662"/>
    </row>
    <row r="1972" spans="3:3" x14ac:dyDescent="0.25">
      <c r="C1972" s="662"/>
    </row>
    <row r="1973" spans="3:3" x14ac:dyDescent="0.25">
      <c r="C1973" s="662"/>
    </row>
    <row r="1974" spans="3:3" x14ac:dyDescent="0.25">
      <c r="C1974" s="662"/>
    </row>
    <row r="1975" spans="3:3" x14ac:dyDescent="0.25">
      <c r="C1975" s="662"/>
    </row>
    <row r="1976" spans="3:3" x14ac:dyDescent="0.25">
      <c r="C1976" s="662"/>
    </row>
    <row r="1977" spans="3:3" x14ac:dyDescent="0.25">
      <c r="C1977" s="662"/>
    </row>
    <row r="1978" spans="3:3" x14ac:dyDescent="0.25">
      <c r="C1978" s="662"/>
    </row>
    <row r="1979" spans="3:3" x14ac:dyDescent="0.25">
      <c r="C1979" s="662"/>
    </row>
    <row r="1980" spans="3:3" x14ac:dyDescent="0.25">
      <c r="C1980" s="662"/>
    </row>
    <row r="1981" spans="3:3" x14ac:dyDescent="0.25">
      <c r="C1981" s="662"/>
    </row>
    <row r="1982" spans="3:3" x14ac:dyDescent="0.25">
      <c r="C1982" s="662"/>
    </row>
    <row r="1983" spans="3:3" x14ac:dyDescent="0.25">
      <c r="C1983" s="662"/>
    </row>
    <row r="1984" spans="3:3" x14ac:dyDescent="0.25">
      <c r="C1984" s="662"/>
    </row>
    <row r="1985" spans="3:3" x14ac:dyDescent="0.25">
      <c r="C1985" s="662"/>
    </row>
    <row r="1986" spans="3:3" x14ac:dyDescent="0.25">
      <c r="C1986" s="662"/>
    </row>
    <row r="1987" spans="3:3" x14ac:dyDescent="0.25">
      <c r="C1987" s="662"/>
    </row>
    <row r="1988" spans="3:3" x14ac:dyDescent="0.25">
      <c r="C1988" s="662"/>
    </row>
    <row r="1989" spans="3:3" x14ac:dyDescent="0.25">
      <c r="C1989" s="662"/>
    </row>
    <row r="1990" spans="3:3" x14ac:dyDescent="0.25">
      <c r="C1990" s="662"/>
    </row>
    <row r="1991" spans="3:3" x14ac:dyDescent="0.25">
      <c r="C1991" s="662"/>
    </row>
    <row r="1992" spans="3:3" x14ac:dyDescent="0.25">
      <c r="C1992" s="662"/>
    </row>
    <row r="1993" spans="3:3" x14ac:dyDescent="0.25">
      <c r="C1993" s="662"/>
    </row>
    <row r="1994" spans="3:3" x14ac:dyDescent="0.25">
      <c r="C1994" s="662"/>
    </row>
    <row r="1995" spans="3:3" x14ac:dyDescent="0.25">
      <c r="C1995" s="662"/>
    </row>
    <row r="1996" spans="3:3" x14ac:dyDescent="0.25">
      <c r="C1996" s="662"/>
    </row>
    <row r="1997" spans="3:3" x14ac:dyDescent="0.25">
      <c r="C1997" s="662"/>
    </row>
    <row r="1998" spans="3:3" x14ac:dyDescent="0.25">
      <c r="C1998" s="662"/>
    </row>
    <row r="1999" spans="3:3" x14ac:dyDescent="0.25">
      <c r="C1999" s="662"/>
    </row>
    <row r="2000" spans="3:3" x14ac:dyDescent="0.25">
      <c r="C2000" s="662"/>
    </row>
    <row r="2001" spans="3:3" x14ac:dyDescent="0.25">
      <c r="C2001" s="662"/>
    </row>
    <row r="2002" spans="3:3" x14ac:dyDescent="0.25">
      <c r="C2002" s="662"/>
    </row>
    <row r="2003" spans="3:3" x14ac:dyDescent="0.25">
      <c r="C2003" s="662"/>
    </row>
    <row r="2004" spans="3:3" x14ac:dyDescent="0.25">
      <c r="C2004" s="662"/>
    </row>
    <row r="2005" spans="3:3" x14ac:dyDescent="0.25">
      <c r="C2005" s="662"/>
    </row>
    <row r="2006" spans="3:3" x14ac:dyDescent="0.25">
      <c r="C2006" s="662"/>
    </row>
    <row r="2007" spans="3:3" x14ac:dyDescent="0.25">
      <c r="C2007" s="662"/>
    </row>
    <row r="2008" spans="3:3" x14ac:dyDescent="0.25">
      <c r="C2008" s="662"/>
    </row>
    <row r="2009" spans="3:3" x14ac:dyDescent="0.25">
      <c r="C2009" s="662"/>
    </row>
    <row r="2010" spans="3:3" x14ac:dyDescent="0.25">
      <c r="C2010" s="662"/>
    </row>
    <row r="2011" spans="3:3" x14ac:dyDescent="0.25">
      <c r="C2011" s="662"/>
    </row>
    <row r="2012" spans="3:3" x14ac:dyDescent="0.25">
      <c r="C2012" s="662"/>
    </row>
    <row r="2013" spans="3:3" x14ac:dyDescent="0.25">
      <c r="C2013" s="662"/>
    </row>
    <row r="2014" spans="3:3" x14ac:dyDescent="0.25">
      <c r="C2014" s="662"/>
    </row>
    <row r="2015" spans="3:3" x14ac:dyDescent="0.25">
      <c r="C2015" s="662"/>
    </row>
    <row r="2016" spans="3:3" x14ac:dyDescent="0.25">
      <c r="C2016" s="662"/>
    </row>
    <row r="2017" spans="3:3" x14ac:dyDescent="0.25">
      <c r="C2017" s="662"/>
    </row>
    <row r="2018" spans="3:3" x14ac:dyDescent="0.25">
      <c r="C2018" s="662"/>
    </row>
    <row r="2019" spans="3:3" x14ac:dyDescent="0.25">
      <c r="C2019" s="662"/>
    </row>
    <row r="2020" spans="3:3" x14ac:dyDescent="0.25">
      <c r="C2020" s="662"/>
    </row>
    <row r="2021" spans="3:3" x14ac:dyDescent="0.25">
      <c r="C2021" s="662"/>
    </row>
    <row r="2022" spans="3:3" x14ac:dyDescent="0.25">
      <c r="C2022" s="662"/>
    </row>
    <row r="2023" spans="3:3" x14ac:dyDescent="0.25">
      <c r="C2023" s="662"/>
    </row>
    <row r="2024" spans="3:3" x14ac:dyDescent="0.25">
      <c r="C2024" s="662"/>
    </row>
    <row r="2025" spans="3:3" x14ac:dyDescent="0.25">
      <c r="C2025" s="662"/>
    </row>
    <row r="2026" spans="3:3" x14ac:dyDescent="0.25">
      <c r="C2026" s="662"/>
    </row>
    <row r="2027" spans="3:3" x14ac:dyDescent="0.25">
      <c r="C2027" s="662"/>
    </row>
    <row r="2028" spans="3:3" x14ac:dyDescent="0.25">
      <c r="C2028" s="662"/>
    </row>
    <row r="2029" spans="3:3" x14ac:dyDescent="0.25">
      <c r="C2029" s="662"/>
    </row>
    <row r="2030" spans="3:3" x14ac:dyDescent="0.25">
      <c r="C2030" s="662"/>
    </row>
    <row r="2031" spans="3:3" x14ac:dyDescent="0.25">
      <c r="C2031" s="662"/>
    </row>
    <row r="2032" spans="3:3" x14ac:dyDescent="0.25">
      <c r="C2032" s="662"/>
    </row>
    <row r="2033" spans="3:3" x14ac:dyDescent="0.25">
      <c r="C2033" s="662"/>
    </row>
    <row r="2034" spans="3:3" x14ac:dyDescent="0.25">
      <c r="C2034" s="662"/>
    </row>
    <row r="2035" spans="3:3" x14ac:dyDescent="0.25">
      <c r="C2035" s="662"/>
    </row>
    <row r="2036" spans="3:3" x14ac:dyDescent="0.25">
      <c r="C2036" s="662"/>
    </row>
    <row r="2037" spans="3:3" x14ac:dyDescent="0.25">
      <c r="C2037" s="662"/>
    </row>
    <row r="2038" spans="3:3" x14ac:dyDescent="0.25">
      <c r="C2038" s="662"/>
    </row>
    <row r="2039" spans="3:3" x14ac:dyDescent="0.25">
      <c r="C2039" s="662"/>
    </row>
    <row r="2040" spans="3:3" x14ac:dyDescent="0.25">
      <c r="C2040" s="662"/>
    </row>
    <row r="2041" spans="3:3" x14ac:dyDescent="0.25">
      <c r="C2041" s="662"/>
    </row>
    <row r="2042" spans="3:3" x14ac:dyDescent="0.25">
      <c r="C2042" s="662"/>
    </row>
    <row r="2043" spans="3:3" x14ac:dyDescent="0.25">
      <c r="C2043" s="662"/>
    </row>
    <row r="2044" spans="3:3" x14ac:dyDescent="0.25">
      <c r="C2044" s="662"/>
    </row>
    <row r="2045" spans="3:3" x14ac:dyDescent="0.25">
      <c r="C2045" s="662"/>
    </row>
    <row r="2046" spans="3:3" x14ac:dyDescent="0.25">
      <c r="C2046" s="662"/>
    </row>
    <row r="2047" spans="3:3" x14ac:dyDescent="0.25">
      <c r="C2047" s="662"/>
    </row>
    <row r="2048" spans="3:3" x14ac:dyDescent="0.25">
      <c r="C2048" s="662"/>
    </row>
    <row r="2049" spans="3:3" x14ac:dyDescent="0.25">
      <c r="C2049" s="662"/>
    </row>
    <row r="2050" spans="3:3" x14ac:dyDescent="0.25">
      <c r="C2050" s="662"/>
    </row>
    <row r="2051" spans="3:3" x14ac:dyDescent="0.25">
      <c r="C2051" s="662"/>
    </row>
    <row r="2052" spans="3:3" x14ac:dyDescent="0.25">
      <c r="C2052" s="662"/>
    </row>
    <row r="2053" spans="3:3" x14ac:dyDescent="0.25">
      <c r="C2053" s="662"/>
    </row>
    <row r="2054" spans="3:3" x14ac:dyDescent="0.25">
      <c r="C2054" s="662"/>
    </row>
    <row r="2055" spans="3:3" x14ac:dyDescent="0.25">
      <c r="C2055" s="662"/>
    </row>
    <row r="2056" spans="3:3" x14ac:dyDescent="0.25">
      <c r="C2056" s="662"/>
    </row>
    <row r="2057" spans="3:3" x14ac:dyDescent="0.25">
      <c r="C2057" s="662"/>
    </row>
    <row r="2058" spans="3:3" x14ac:dyDescent="0.25">
      <c r="C2058" s="662"/>
    </row>
    <row r="2059" spans="3:3" x14ac:dyDescent="0.25">
      <c r="C2059" s="662"/>
    </row>
    <row r="2060" spans="3:3" x14ac:dyDescent="0.25">
      <c r="C2060" s="662"/>
    </row>
    <row r="2061" spans="3:3" x14ac:dyDescent="0.25">
      <c r="C2061" s="662"/>
    </row>
    <row r="2062" spans="3:3" x14ac:dyDescent="0.25">
      <c r="C2062" s="662"/>
    </row>
    <row r="2063" spans="3:3" x14ac:dyDescent="0.25">
      <c r="C2063" s="662"/>
    </row>
    <row r="2064" spans="3:3" x14ac:dyDescent="0.25">
      <c r="C2064" s="662"/>
    </row>
    <row r="2065" spans="3:3" x14ac:dyDescent="0.25">
      <c r="C2065" s="662"/>
    </row>
    <row r="2066" spans="3:3" x14ac:dyDescent="0.25">
      <c r="C2066" s="662"/>
    </row>
    <row r="2067" spans="3:3" x14ac:dyDescent="0.25">
      <c r="C2067" s="662"/>
    </row>
    <row r="2068" spans="3:3" x14ac:dyDescent="0.25">
      <c r="C2068" s="662"/>
    </row>
    <row r="2069" spans="3:3" x14ac:dyDescent="0.25">
      <c r="C2069" s="662"/>
    </row>
    <row r="2070" spans="3:3" x14ac:dyDescent="0.25">
      <c r="C2070" s="662"/>
    </row>
    <row r="2071" spans="3:3" x14ac:dyDescent="0.25">
      <c r="C2071" s="662"/>
    </row>
    <row r="2072" spans="3:3" x14ac:dyDescent="0.25">
      <c r="C2072" s="662"/>
    </row>
    <row r="2073" spans="3:3" x14ac:dyDescent="0.25">
      <c r="C2073" s="662"/>
    </row>
    <row r="2074" spans="3:3" x14ac:dyDescent="0.25">
      <c r="C2074" s="662"/>
    </row>
    <row r="2075" spans="3:3" x14ac:dyDescent="0.25">
      <c r="C2075" s="662"/>
    </row>
    <row r="2076" spans="3:3" x14ac:dyDescent="0.25">
      <c r="C2076" s="662"/>
    </row>
    <row r="2077" spans="3:3" x14ac:dyDescent="0.25">
      <c r="C2077" s="662"/>
    </row>
    <row r="2078" spans="3:3" x14ac:dyDescent="0.25">
      <c r="C2078" s="662"/>
    </row>
    <row r="2079" spans="3:3" x14ac:dyDescent="0.25">
      <c r="C2079" s="662"/>
    </row>
    <row r="2080" spans="3:3" x14ac:dyDescent="0.25">
      <c r="C2080" s="662"/>
    </row>
    <row r="2081" spans="3:3" x14ac:dyDescent="0.25">
      <c r="C2081" s="662"/>
    </row>
    <row r="2082" spans="3:3" x14ac:dyDescent="0.25">
      <c r="C2082" s="662"/>
    </row>
    <row r="2083" spans="3:3" x14ac:dyDescent="0.25">
      <c r="C2083" s="662"/>
    </row>
    <row r="2084" spans="3:3" x14ac:dyDescent="0.25">
      <c r="C2084" s="662"/>
    </row>
    <row r="2085" spans="3:3" x14ac:dyDescent="0.25">
      <c r="C2085" s="662"/>
    </row>
    <row r="2086" spans="3:3" x14ac:dyDescent="0.25">
      <c r="C2086" s="662"/>
    </row>
    <row r="2087" spans="3:3" x14ac:dyDescent="0.25">
      <c r="C2087" s="662"/>
    </row>
    <row r="2088" spans="3:3" x14ac:dyDescent="0.25">
      <c r="C2088" s="662"/>
    </row>
    <row r="2089" spans="3:3" x14ac:dyDescent="0.25">
      <c r="C2089" s="662"/>
    </row>
    <row r="2090" spans="3:3" x14ac:dyDescent="0.25">
      <c r="C2090" s="662"/>
    </row>
    <row r="2091" spans="3:3" x14ac:dyDescent="0.25">
      <c r="C2091" s="662"/>
    </row>
    <row r="2092" spans="3:3" x14ac:dyDescent="0.25">
      <c r="C2092" s="662"/>
    </row>
    <row r="2093" spans="3:3" x14ac:dyDescent="0.25">
      <c r="C2093" s="662"/>
    </row>
    <row r="2094" spans="3:3" x14ac:dyDescent="0.25">
      <c r="C2094" s="662"/>
    </row>
    <row r="2095" spans="3:3" x14ac:dyDescent="0.25">
      <c r="C2095" s="662"/>
    </row>
    <row r="2096" spans="3:3" x14ac:dyDescent="0.25">
      <c r="C2096" s="662"/>
    </row>
    <row r="2097" spans="3:3" x14ac:dyDescent="0.25">
      <c r="C2097" s="662"/>
    </row>
    <row r="2098" spans="3:3" x14ac:dyDescent="0.25">
      <c r="C2098" s="662"/>
    </row>
    <row r="2099" spans="3:3" x14ac:dyDescent="0.25">
      <c r="C2099" s="662"/>
    </row>
    <row r="2100" spans="3:3" x14ac:dyDescent="0.25">
      <c r="C2100" s="662"/>
    </row>
    <row r="2101" spans="3:3" x14ac:dyDescent="0.25">
      <c r="C2101" s="662"/>
    </row>
    <row r="2102" spans="3:3" x14ac:dyDescent="0.25">
      <c r="C2102" s="662"/>
    </row>
    <row r="2103" spans="3:3" x14ac:dyDescent="0.25">
      <c r="C2103" s="662"/>
    </row>
    <row r="2104" spans="3:3" x14ac:dyDescent="0.25">
      <c r="C2104" s="662"/>
    </row>
    <row r="2105" spans="3:3" x14ac:dyDescent="0.25">
      <c r="C2105" s="662"/>
    </row>
    <row r="2106" spans="3:3" x14ac:dyDescent="0.25">
      <c r="C2106" s="662"/>
    </row>
    <row r="2107" spans="3:3" x14ac:dyDescent="0.25">
      <c r="C2107" s="662"/>
    </row>
    <row r="2108" spans="3:3" x14ac:dyDescent="0.25">
      <c r="C2108" s="662"/>
    </row>
    <row r="2109" spans="3:3" x14ac:dyDescent="0.25">
      <c r="C2109" s="662"/>
    </row>
    <row r="2110" spans="3:3" x14ac:dyDescent="0.25">
      <c r="C2110" s="662"/>
    </row>
    <row r="2111" spans="3:3" x14ac:dyDescent="0.25">
      <c r="C2111" s="662"/>
    </row>
    <row r="2112" spans="3:3" x14ac:dyDescent="0.25">
      <c r="C2112" s="662"/>
    </row>
    <row r="2113" spans="1:40" x14ac:dyDescent="0.25">
      <c r="C2113" s="662"/>
    </row>
    <row r="2114" spans="1:40" x14ac:dyDescent="0.25">
      <c r="C2114" s="662"/>
    </row>
    <row r="2115" spans="1:40" x14ac:dyDescent="0.25">
      <c r="C2115" s="662"/>
    </row>
    <row r="2116" spans="1:40" x14ac:dyDescent="0.25">
      <c r="C2116" s="662"/>
    </row>
    <row r="2117" spans="1:40" x14ac:dyDescent="0.25">
      <c r="C2117" s="662"/>
    </row>
    <row r="2119" spans="1:40" ht="15.75" thickBot="1" x14ac:dyDescent="0.3">
      <c r="D2119" s="856" t="s">
        <v>56</v>
      </c>
      <c r="E2119" s="857"/>
      <c r="F2119" s="921">
        <f t="shared" ref="F2119:H2119" si="3304">IFERROR(F51*F26,"")</f>
        <v>5010000</v>
      </c>
      <c r="G2119" s="922">
        <f t="shared" si="3304"/>
        <v>5010000</v>
      </c>
      <c r="H2119" s="922">
        <f t="shared" si="3304"/>
        <v>6010000</v>
      </c>
      <c r="I2119" s="922">
        <f t="shared" ref="I2119:O2119" si="3305">IFERROR(I51*I26,"")</f>
        <v>10010000</v>
      </c>
      <c r="J2119" s="923">
        <f t="shared" si="3305"/>
        <v>0</v>
      </c>
      <c r="K2119" s="923">
        <f t="shared" si="3305"/>
        <v>0</v>
      </c>
      <c r="L2119" s="923">
        <f t="shared" si="3305"/>
        <v>0</v>
      </c>
      <c r="M2119" s="923">
        <f t="shared" si="3305"/>
        <v>0</v>
      </c>
      <c r="N2119" s="923">
        <f t="shared" si="3305"/>
        <v>0</v>
      </c>
      <c r="O2119" s="924">
        <f t="shared" si="3305"/>
        <v>0</v>
      </c>
      <c r="U2119" s="663"/>
      <c r="Z2119" s="663"/>
      <c r="AA2119" s="663"/>
      <c r="AB2119" s="663"/>
      <c r="AC2119" s="663"/>
      <c r="AD2119" s="663"/>
      <c r="AE2119" s="663"/>
      <c r="AF2119" s="663"/>
      <c r="AG2119" s="663"/>
      <c r="AH2119" s="663"/>
      <c r="AI2119" s="663"/>
      <c r="AJ2119" s="663"/>
      <c r="AK2119" s="663"/>
      <c r="AL2119" s="663"/>
      <c r="AM2119" s="663"/>
      <c r="AN2119" s="663"/>
    </row>
    <row r="2120" spans="1:40" ht="15.75" thickBot="1" x14ac:dyDescent="0.3">
      <c r="B2120" s="761" t="s">
        <v>8</v>
      </c>
      <c r="C2120" s="762">
        <f>C20+C24</f>
        <v>5200000</v>
      </c>
      <c r="D2120" s="763">
        <f t="shared" ref="D2120:E2120" si="3306">D20+D24</f>
        <v>0</v>
      </c>
      <c r="E2120" s="764">
        <f t="shared" si="3306"/>
        <v>5200000</v>
      </c>
      <c r="F2120" s="767">
        <f>'Pro Forma Cap Table'!F26</f>
        <v>5010000</v>
      </c>
      <c r="G2120" s="767">
        <f>'Pro Forma Cap Table'!G26</f>
        <v>5010000</v>
      </c>
      <c r="H2120" s="767">
        <f>'Pro Forma Cap Table'!H26</f>
        <v>6010000</v>
      </c>
      <c r="I2120" s="767">
        <f>'Pro Forma Cap Table'!I26</f>
        <v>10010000</v>
      </c>
      <c r="J2120" s="767">
        <f>'Pro Forma Cap Table'!J26</f>
        <v>0</v>
      </c>
      <c r="K2120" s="767">
        <f>'Pro Forma Cap Table'!K26</f>
        <v>0</v>
      </c>
      <c r="L2120" s="767">
        <f>'Pro Forma Cap Table'!L26</f>
        <v>0</v>
      </c>
      <c r="M2120" s="766">
        <f>'Pro Forma Cap Table'!M26</f>
        <v>0</v>
      </c>
      <c r="N2120" s="766">
        <f>'Pro Forma Cap Table'!N26</f>
        <v>0</v>
      </c>
      <c r="O2120" s="766">
        <f>'Pro Forma Cap Table'!O26</f>
        <v>0</v>
      </c>
      <c r="P2120" s="925">
        <f>P26</f>
        <v>26040000.000000007</v>
      </c>
      <c r="Q2120" s="767">
        <f>Q39+Q43</f>
        <v>31240000.000000007</v>
      </c>
      <c r="R2120" s="768">
        <f>R39+R43</f>
        <v>0.99999999999999989</v>
      </c>
      <c r="S2120" s="768">
        <f>S39+S43</f>
        <v>1.0000000000000002</v>
      </c>
      <c r="T2120" s="769"/>
      <c r="U2120" s="663"/>
      <c r="Z2120" s="663"/>
      <c r="AA2120" s="663"/>
      <c r="AB2120" s="663"/>
      <c r="AC2120" s="663"/>
      <c r="AD2120" s="663"/>
      <c r="AE2120" s="663"/>
      <c r="AF2120" s="663"/>
      <c r="AG2120" s="663"/>
      <c r="AH2120" s="663"/>
      <c r="AI2120" s="663"/>
      <c r="AJ2120" s="663"/>
      <c r="AK2120" s="663"/>
      <c r="AL2120" s="663"/>
      <c r="AM2120" s="663"/>
      <c r="AN2120" s="663"/>
    </row>
    <row r="2121" spans="1:40" ht="15.75" thickBot="1" x14ac:dyDescent="0.3">
      <c r="A2121" s="663"/>
      <c r="B2121" s="761" t="s">
        <v>9</v>
      </c>
      <c r="C2121" s="814">
        <f>C26*C7</f>
        <v>5.2000000000000005E-2</v>
      </c>
      <c r="D2121" s="815">
        <f>D26*D7</f>
        <v>0</v>
      </c>
      <c r="E2121" s="816">
        <f>SUM(C2121:D2121)</f>
        <v>5.2000000000000005E-2</v>
      </c>
      <c r="F2121" s="822">
        <f>(F26)*F7</f>
        <v>5010000</v>
      </c>
      <c r="G2121" s="822">
        <f t="shared" ref="G2121:O2121" si="3307">(G26)*G7</f>
        <v>10020000</v>
      </c>
      <c r="H2121" s="822">
        <f t="shared" si="3307"/>
        <v>15025000</v>
      </c>
      <c r="I2121" s="822">
        <f t="shared" si="3307"/>
        <v>20020000</v>
      </c>
      <c r="J2121" s="822">
        <f t="shared" si="3307"/>
        <v>0</v>
      </c>
      <c r="K2121" s="822">
        <f t="shared" si="3307"/>
        <v>0</v>
      </c>
      <c r="L2121" s="822">
        <f t="shared" si="3307"/>
        <v>0</v>
      </c>
      <c r="M2121" s="822">
        <f t="shared" si="3307"/>
        <v>0</v>
      </c>
      <c r="N2121" s="822">
        <f t="shared" si="3307"/>
        <v>0</v>
      </c>
      <c r="O2121" s="822">
        <f t="shared" si="3307"/>
        <v>0</v>
      </c>
      <c r="P2121" s="816">
        <f>SUM(F2123:O2123)</f>
        <v>0</v>
      </c>
      <c r="Q2121" s="767"/>
      <c r="R2121" s="768"/>
      <c r="S2121" s="768"/>
      <c r="T2121" s="769">
        <f>P2121+E2121</f>
        <v>5.2000000000000005E-2</v>
      </c>
    </row>
    <row r="2122" spans="1:40" x14ac:dyDescent="0.25">
      <c r="A2122" s="663"/>
    </row>
  </sheetData>
  <mergeCells count="29">
    <mergeCell ref="Q50:T50"/>
    <mergeCell ref="B1:U1"/>
    <mergeCell ref="B2:U2"/>
    <mergeCell ref="B3:U3"/>
    <mergeCell ref="C9:O9"/>
    <mergeCell ref="C28:O28"/>
    <mergeCell ref="J151:K151"/>
    <mergeCell ref="F151:G151"/>
    <mergeCell ref="Q51:T51"/>
    <mergeCell ref="Q52:T52"/>
    <mergeCell ref="Q53:T53"/>
    <mergeCell ref="R151:S151"/>
    <mergeCell ref="V151:W151"/>
    <mergeCell ref="AD151:AE151"/>
    <mergeCell ref="AH151:AI151"/>
    <mergeCell ref="AP151:AQ151"/>
    <mergeCell ref="AT151:AU151"/>
    <mergeCell ref="BB151:BC151"/>
    <mergeCell ref="BF151:BG151"/>
    <mergeCell ref="BN151:BO151"/>
    <mergeCell ref="BR151:BS151"/>
    <mergeCell ref="BZ151:CA151"/>
    <mergeCell ref="DJ151:DK151"/>
    <mergeCell ref="DN151:DO151"/>
    <mergeCell ref="CD151:CE151"/>
    <mergeCell ref="CL151:CM151"/>
    <mergeCell ref="CP151:CQ151"/>
    <mergeCell ref="CX151:CY151"/>
    <mergeCell ref="DB151:DC15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Y65"/>
  <sheetViews>
    <sheetView showGridLines="0" topLeftCell="A41" workbookViewId="0">
      <selection activeCell="E6" sqref="E6"/>
    </sheetView>
  </sheetViews>
  <sheetFormatPr defaultRowHeight="12.75" x14ac:dyDescent="0.2"/>
  <cols>
    <col min="1" max="1" width="4.140625" style="26" customWidth="1"/>
    <col min="2" max="2" width="20.5703125" customWidth="1"/>
    <col min="3" max="3" width="9.85546875" hidden="1" customWidth="1"/>
    <col min="4" max="4" width="10" hidden="1" customWidth="1"/>
    <col min="5" max="5" width="11.28515625" customWidth="1"/>
    <col min="6" max="6" width="12.28515625" customWidth="1"/>
    <col min="7" max="7" width="12.7109375" customWidth="1"/>
    <col min="8" max="8" width="12.5703125" customWidth="1"/>
    <col min="9" max="9" width="13.28515625" customWidth="1"/>
    <col min="10" max="10" width="12.42578125" customWidth="1"/>
    <col min="11" max="11" width="12.28515625" customWidth="1"/>
    <col min="12" max="12" width="12.42578125" customWidth="1"/>
    <col min="13" max="15" width="10.7109375" customWidth="1"/>
    <col min="16" max="16" width="13.7109375" customWidth="1"/>
    <col min="17" max="17" width="13" customWidth="1"/>
    <col min="18" max="18" width="13.42578125" customWidth="1"/>
    <col min="19" max="19" width="15.42578125" style="26" bestFit="1" customWidth="1"/>
    <col min="20" max="20" width="11.140625" customWidth="1"/>
    <col min="21" max="21" width="2.28515625" customWidth="1"/>
    <col min="22" max="22" width="16" customWidth="1"/>
    <col min="23" max="23" width="10.85546875" hidden="1" customWidth="1"/>
    <col min="24" max="24" width="10" style="26" hidden="1" customWidth="1"/>
    <col min="25" max="25" width="9.28515625" style="26" hidden="1" customWidth="1"/>
    <col min="26" max="34" width="9.140625" style="26" customWidth="1"/>
    <col min="35" max="38" width="9.140625" style="26" hidden="1" customWidth="1"/>
    <col min="39" max="51" width="9.140625" hidden="1" customWidth="1"/>
    <col min="52" max="52" width="0" hidden="1" customWidth="1"/>
  </cols>
  <sheetData>
    <row r="1" spans="1:51" s="26" customFormat="1" ht="18" x14ac:dyDescent="0.25">
      <c r="B1" s="973" t="str">
        <f>Inputs!I6</f>
        <v>Company Name</v>
      </c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</row>
    <row r="2" spans="1:51" s="26" customFormat="1" ht="18" x14ac:dyDescent="0.25">
      <c r="B2" s="974" t="s">
        <v>41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  <c r="P2" s="974"/>
      <c r="Q2" s="974"/>
      <c r="R2" s="974"/>
      <c r="S2" s="974"/>
    </row>
    <row r="3" spans="1:51" s="26" customFormat="1" ht="15" x14ac:dyDescent="0.2">
      <c r="B3" s="965">
        <f>Inputs!I7</f>
        <v>39813</v>
      </c>
      <c r="C3" s="966"/>
      <c r="D3" s="966"/>
      <c r="E3" s="966"/>
      <c r="F3" s="966"/>
      <c r="G3" s="966"/>
      <c r="H3" s="966"/>
      <c r="I3" s="966"/>
      <c r="J3" s="966"/>
      <c r="K3" s="966"/>
      <c r="L3" s="966"/>
      <c r="M3" s="966"/>
      <c r="N3" s="966"/>
      <c r="O3" s="966"/>
      <c r="P3" s="966"/>
      <c r="Q3" s="966"/>
      <c r="R3" s="966"/>
      <c r="S3" s="966"/>
    </row>
    <row r="4" spans="1:51" s="26" customFormat="1" ht="16.5" thickBot="1" x14ac:dyDescent="0.3">
      <c r="C4" s="35"/>
      <c r="D4" s="36"/>
      <c r="E4" s="35"/>
      <c r="F4" s="35"/>
      <c r="G4" s="37"/>
      <c r="H4" s="38"/>
      <c r="I4" s="38"/>
      <c r="J4" s="38"/>
      <c r="K4" s="38"/>
      <c r="L4" s="38"/>
      <c r="M4" s="38"/>
      <c r="N4" s="38"/>
      <c r="O4" s="38"/>
      <c r="P4" s="34"/>
      <c r="Q4" s="34"/>
      <c r="R4" s="34"/>
    </row>
    <row r="5" spans="1:51" s="291" customFormat="1" ht="12" thickBot="1" x14ac:dyDescent="0.25">
      <c r="A5" s="289"/>
      <c r="B5" s="289"/>
      <c r="C5" s="290"/>
      <c r="D5" s="38"/>
      <c r="E5" s="38"/>
      <c r="F5" s="109">
        <f t="array" ref="F5:O5">IF(TRANSPOSE(Inputs!E$10:E$19)=0,"",TRANSPOSE(Inputs!E$10:E$19))</f>
        <v>39113</v>
      </c>
      <c r="G5" s="109">
        <v>39478</v>
      </c>
      <c r="H5" s="109">
        <v>39843</v>
      </c>
      <c r="I5" s="109">
        <v>39843</v>
      </c>
      <c r="J5" s="109">
        <v>39843</v>
      </c>
      <c r="K5" s="109">
        <v>39843</v>
      </c>
      <c r="L5" s="109">
        <v>39843</v>
      </c>
      <c r="M5" s="109">
        <v>39843</v>
      </c>
      <c r="N5" s="109">
        <v>39843</v>
      </c>
      <c r="O5" s="109">
        <v>39843</v>
      </c>
      <c r="P5" s="292"/>
      <c r="Q5" s="292"/>
      <c r="R5" s="292"/>
      <c r="S5" s="293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</row>
    <row r="6" spans="1:51" s="291" customFormat="1" ht="11.25" x14ac:dyDescent="0.2">
      <c r="A6" s="289"/>
      <c r="B6" s="103"/>
      <c r="C6" s="294" t="s">
        <v>0</v>
      </c>
      <c r="D6" s="173" t="s">
        <v>27</v>
      </c>
      <c r="E6" s="173" t="s">
        <v>2</v>
      </c>
      <c r="F6" s="294" t="str">
        <f t="array" ref="F6:O6">IF(TRANSPOSE(Inputs!D$10:D$19)=0,"",TRANSPOSE(Inputs!D$10:D$19))</f>
        <v>Series A</v>
      </c>
      <c r="G6" s="173" t="str">
        <v>Series B</v>
      </c>
      <c r="H6" s="173" t="str">
        <v>Series C</v>
      </c>
      <c r="I6" s="173" t="str">
        <v>Series D</v>
      </c>
      <c r="J6" s="173" t="str">
        <v>-</v>
      </c>
      <c r="K6" s="173" t="str">
        <v>-</v>
      </c>
      <c r="L6" s="173" t="str">
        <v>-</v>
      </c>
      <c r="M6" s="173" t="str">
        <v>-</v>
      </c>
      <c r="N6" s="173" t="str">
        <v>-</v>
      </c>
      <c r="O6" s="173" t="str">
        <v>-</v>
      </c>
      <c r="P6" s="321" t="s">
        <v>2</v>
      </c>
      <c r="Q6" s="600" t="s">
        <v>14</v>
      </c>
      <c r="R6" s="398" t="s">
        <v>68</v>
      </c>
      <c r="S6" s="289"/>
      <c r="T6" s="289"/>
      <c r="U6" s="289"/>
      <c r="V6" s="289"/>
      <c r="W6" s="329" t="s">
        <v>60</v>
      </c>
      <c r="X6" s="600" t="s">
        <v>14</v>
      </c>
      <c r="Y6" s="330" t="s">
        <v>2</v>
      </c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</row>
    <row r="7" spans="1:51" s="297" customFormat="1" ht="11.25" x14ac:dyDescent="0.2">
      <c r="A7" s="295"/>
      <c r="B7" s="296" t="s">
        <v>59</v>
      </c>
      <c r="C7" s="104">
        <f>Inputs!K22</f>
        <v>1E-8</v>
      </c>
      <c r="D7" s="105">
        <f>Inputs!K23</f>
        <v>9.9999999999999995E-8</v>
      </c>
      <c r="E7" s="296" t="s">
        <v>0</v>
      </c>
      <c r="F7" s="104">
        <f t="array" ref="F7:O7">IF(TRANSPOSE(Inputs!K$10:K$19)=0,0,TRANSPOSE(Inputs!K$10:K$19))</f>
        <v>1</v>
      </c>
      <c r="G7" s="104">
        <v>2</v>
      </c>
      <c r="H7" s="104">
        <v>2.5</v>
      </c>
      <c r="I7" s="105">
        <v>2</v>
      </c>
      <c r="J7" s="105">
        <v>0</v>
      </c>
      <c r="K7" s="105">
        <v>0</v>
      </c>
      <c r="L7" s="105">
        <v>0</v>
      </c>
      <c r="M7" s="105">
        <v>0</v>
      </c>
      <c r="N7" s="105">
        <v>0</v>
      </c>
      <c r="O7" s="105">
        <v>0</v>
      </c>
      <c r="P7" s="322" t="s">
        <v>17</v>
      </c>
      <c r="Q7" s="601" t="s">
        <v>13</v>
      </c>
      <c r="R7" s="404" t="s">
        <v>5</v>
      </c>
      <c r="S7" s="295"/>
      <c r="T7" s="295"/>
      <c r="U7" s="295"/>
      <c r="V7" s="295"/>
      <c r="W7" s="331" t="s">
        <v>4</v>
      </c>
      <c r="X7" s="601" t="s">
        <v>13</v>
      </c>
      <c r="Y7" s="332" t="s">
        <v>5</v>
      </c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</row>
    <row r="8" spans="1:51" s="291" customFormat="1" ht="12" thickBot="1" x14ac:dyDescent="0.25">
      <c r="A8" s="289"/>
      <c r="B8" s="106"/>
      <c r="C8" s="107" t="s">
        <v>12</v>
      </c>
      <c r="D8" s="106" t="s">
        <v>1</v>
      </c>
      <c r="E8" s="106" t="s">
        <v>26</v>
      </c>
      <c r="F8" s="108" t="str">
        <f t="shared" ref="F8:O8" si="0">IF(F7=0,"","Preferred")</f>
        <v>Preferred</v>
      </c>
      <c r="G8" s="108" t="str">
        <f t="shared" si="0"/>
        <v>Preferred</v>
      </c>
      <c r="H8" s="108" t="str">
        <f t="shared" si="0"/>
        <v>Preferred</v>
      </c>
      <c r="I8" s="108" t="str">
        <f t="shared" si="0"/>
        <v>Preferred</v>
      </c>
      <c r="J8" s="108" t="str">
        <f t="shared" si="0"/>
        <v/>
      </c>
      <c r="K8" s="108" t="str">
        <f t="shared" si="0"/>
        <v/>
      </c>
      <c r="L8" s="108" t="str">
        <f t="shared" si="0"/>
        <v/>
      </c>
      <c r="M8" s="108" t="str">
        <f t="shared" si="0"/>
        <v/>
      </c>
      <c r="N8" s="108" t="str">
        <f t="shared" si="0"/>
        <v/>
      </c>
      <c r="O8" s="108" t="str">
        <f t="shared" si="0"/>
        <v/>
      </c>
      <c r="P8" s="323" t="s">
        <v>6</v>
      </c>
      <c r="Q8" s="602" t="s">
        <v>15</v>
      </c>
      <c r="R8" s="411" t="s">
        <v>16</v>
      </c>
      <c r="S8" s="289"/>
      <c r="T8" s="289"/>
      <c r="U8" s="289"/>
      <c r="V8" s="289"/>
      <c r="W8" s="333" t="s">
        <v>12</v>
      </c>
      <c r="X8" s="602" t="s">
        <v>15</v>
      </c>
      <c r="Y8" s="334" t="s">
        <v>16</v>
      </c>
      <c r="Z8" s="289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  <c r="AL8" s="289"/>
    </row>
    <row r="9" spans="1:51" x14ac:dyDescent="0.2">
      <c r="B9" s="249" t="str">
        <f>IF(Inputs!E31=0,Inputs!D31,CONCATENATE(Inputs!D31," (",Inputs!E31,")"))</f>
        <v>HTGC</v>
      </c>
      <c r="C9" s="285">
        <f>'Pro Forma Cap Table'!C29</f>
        <v>0</v>
      </c>
      <c r="D9" s="285">
        <f>'Pro Forma Cap Table'!D29</f>
        <v>0</v>
      </c>
      <c r="E9" s="174">
        <f t="shared" ref="E9:E18" si="1">SUM(C9:D9)</f>
        <v>0</v>
      </c>
      <c r="F9" s="164">
        <f>'Pro Forma Cap Table'!F29</f>
        <v>1000000</v>
      </c>
      <c r="G9" s="165">
        <f>'Pro Forma Cap Table'!G29</f>
        <v>2000000</v>
      </c>
      <c r="H9" s="165">
        <f>'Pro Forma Cap Table'!H29</f>
        <v>0</v>
      </c>
      <c r="I9" s="165">
        <f>'Pro Forma Cap Table'!I29</f>
        <v>0</v>
      </c>
      <c r="J9" s="165">
        <f>'Pro Forma Cap Table'!J29</f>
        <v>0</v>
      </c>
      <c r="K9" s="165">
        <f>'Pro Forma Cap Table'!K29</f>
        <v>0</v>
      </c>
      <c r="L9" s="165">
        <f>'Pro Forma Cap Table'!L29</f>
        <v>0</v>
      </c>
      <c r="M9" s="165">
        <f>'Pro Forma Cap Table'!M29</f>
        <v>0</v>
      </c>
      <c r="N9" s="165">
        <f>'Pro Forma Cap Table'!N29</f>
        <v>0</v>
      </c>
      <c r="O9" s="166">
        <f>'Pro Forma Cap Table'!O29</f>
        <v>0</v>
      </c>
      <c r="P9" s="174">
        <f>'Pro Forma Cap Table'!T10</f>
        <v>3000000</v>
      </c>
      <c r="Q9" s="615">
        <f>'Pro Forma Cap Table'!Q10</f>
        <v>2000000</v>
      </c>
      <c r="R9" s="318">
        <f>'Pro Forma Cap Table'!S10</f>
        <v>6.4020486555697823E-2</v>
      </c>
      <c r="T9" s="42"/>
      <c r="U9" s="26"/>
      <c r="V9" s="26"/>
      <c r="W9" s="335">
        <f t="shared" ref="W9:W18" si="2">SUM(AN9:AW9)</f>
        <v>2000000</v>
      </c>
      <c r="X9" s="603">
        <f t="shared" ref="X9:X18" si="3">W9+AM9</f>
        <v>2000000</v>
      </c>
      <c r="Y9" s="336">
        <f t="shared" ref="Y9:Y18" si="4">X9/X$27</f>
        <v>6.4020486555697809E-2</v>
      </c>
      <c r="AJ9" s="23" t="str">
        <f>IF(Inputs!E31=0,Inputs!D31,CONCATENATE(Inputs!D31," (",Inputs!E31,")"))</f>
        <v>HTGC</v>
      </c>
      <c r="AK9" s="137">
        <v>0</v>
      </c>
      <c r="AL9" s="138">
        <v>0</v>
      </c>
      <c r="AM9" s="135">
        <f t="shared" ref="AM9:AM17" si="5">SUM(AK9:AL9)</f>
        <v>0</v>
      </c>
      <c r="AN9" s="129">
        <f>IF(F$7="",0,Inputs!F31)</f>
        <v>1000000</v>
      </c>
      <c r="AO9" s="130">
        <f>IF(G$7="",0,Inputs!G31)</f>
        <v>1000000</v>
      </c>
      <c r="AP9" s="130">
        <f>IF(H$7="",0,Inputs!H31)</f>
        <v>0</v>
      </c>
      <c r="AQ9" s="130">
        <f>IF(I$7="",0,Inputs!I31)</f>
        <v>0</v>
      </c>
      <c r="AR9" s="130">
        <f>IF(J$7="",0,Inputs!J31)</f>
        <v>0</v>
      </c>
      <c r="AS9" s="130">
        <f>IF(K$7="",0,Inputs!K31)</f>
        <v>0</v>
      </c>
      <c r="AT9" s="130">
        <f>IF(L$7="",0,Inputs!L31)</f>
        <v>0</v>
      </c>
      <c r="AU9" s="130">
        <f>IF(M$7="",0,Inputs!M31)</f>
        <v>0</v>
      </c>
      <c r="AV9" s="130">
        <f>IF(N$7="",0,Inputs!N31)</f>
        <v>0</v>
      </c>
      <c r="AW9" s="131">
        <f>IF(O$7="",0,Inputs!O31)</f>
        <v>0</v>
      </c>
      <c r="AX9" s="324">
        <f t="shared" ref="AX9:AX17" si="6">$F$7*AN9+$G$7*AO9+$H$7*AP9+$I$7*AQ9+$J$7*AR9+$K$7*AS9+$L$7*AT9+$M$7*AU9+$N$7*AV9+$O$7*AW9</f>
        <v>3000000</v>
      </c>
      <c r="AY9" s="313">
        <f t="shared" ref="AY9:AY18" si="7">(AN9*$AA$61+AO9*$AB$61+AP9*$AC$61+AQ9*$AD$61+AR9*$AE$61+AS9*$AF$61+AT9*$AG$61+AU9*$AH$61+AV9*$AI$61+AW9*$AJ$61+AM9)/($R$31+$X$21)</f>
        <v>6.4020486555697823E-2</v>
      </c>
    </row>
    <row r="10" spans="1:51" x14ac:dyDescent="0.2">
      <c r="B10" s="23" t="str">
        <f>IF(Inputs!E32=0,Inputs!D32,CONCATENATE(Inputs!D32," (",Inputs!E32,")"))</f>
        <v>Inv B</v>
      </c>
      <c r="C10" s="286">
        <f>'Pro Forma Cap Table'!C30</f>
        <v>0</v>
      </c>
      <c r="D10" s="286">
        <f>'Pro Forma Cap Table'!D30</f>
        <v>0</v>
      </c>
      <c r="E10" s="175">
        <f t="shared" si="1"/>
        <v>0</v>
      </c>
      <c r="F10" s="167">
        <f>'Pro Forma Cap Table'!F30</f>
        <v>1000000</v>
      </c>
      <c r="G10" s="168">
        <f>'Pro Forma Cap Table'!G30</f>
        <v>2000000</v>
      </c>
      <c r="H10" s="168">
        <f>'Pro Forma Cap Table'!H30</f>
        <v>0</v>
      </c>
      <c r="I10" s="168">
        <f>'Pro Forma Cap Table'!I30</f>
        <v>0</v>
      </c>
      <c r="J10" s="168">
        <f>'Pro Forma Cap Table'!J30</f>
        <v>0</v>
      </c>
      <c r="K10" s="168">
        <f>'Pro Forma Cap Table'!K30</f>
        <v>0</v>
      </c>
      <c r="L10" s="168">
        <f>'Pro Forma Cap Table'!L30</f>
        <v>0</v>
      </c>
      <c r="M10" s="168">
        <f>'Pro Forma Cap Table'!M30</f>
        <v>0</v>
      </c>
      <c r="N10" s="168">
        <f>'Pro Forma Cap Table'!N30</f>
        <v>0</v>
      </c>
      <c r="O10" s="169">
        <f>'Pro Forma Cap Table'!O30</f>
        <v>0</v>
      </c>
      <c r="P10" s="175">
        <f>'Pro Forma Cap Table'!T11</f>
        <v>3000000</v>
      </c>
      <c r="Q10" s="616">
        <f>'Pro Forma Cap Table'!Q11</f>
        <v>2000000</v>
      </c>
      <c r="R10" s="314">
        <f>'Pro Forma Cap Table'!S11</f>
        <v>6.4020486555697823E-2</v>
      </c>
      <c r="T10" s="42"/>
      <c r="U10" s="26"/>
      <c r="V10" s="26"/>
      <c r="W10" s="337">
        <f t="shared" si="2"/>
        <v>2000000</v>
      </c>
      <c r="X10" s="604">
        <f t="shared" si="3"/>
        <v>2000000</v>
      </c>
      <c r="Y10" s="338">
        <f t="shared" si="4"/>
        <v>6.4020486555697809E-2</v>
      </c>
      <c r="AJ10" s="23" t="str">
        <f>IF(Inputs!E32=0,Inputs!D32,CONCATENATE(Inputs!D32," (",Inputs!E32,")"))</f>
        <v>Inv B</v>
      </c>
      <c r="AK10" s="139">
        <v>0</v>
      </c>
      <c r="AL10" s="140">
        <v>0</v>
      </c>
      <c r="AM10" s="136">
        <f t="shared" si="5"/>
        <v>0</v>
      </c>
      <c r="AN10" s="132">
        <f>IF(F$7="",0,Inputs!F32)</f>
        <v>1000000</v>
      </c>
      <c r="AO10" s="133">
        <f>IF(G$7="",0,Inputs!G32)</f>
        <v>1000000</v>
      </c>
      <c r="AP10" s="133">
        <f>IF(H$7="",0,Inputs!H32)</f>
        <v>0</v>
      </c>
      <c r="AQ10" s="133">
        <f>IF(I$7="",0,Inputs!I32)</f>
        <v>0</v>
      </c>
      <c r="AR10" s="133">
        <f>IF(J$7="",0,Inputs!J32)</f>
        <v>0</v>
      </c>
      <c r="AS10" s="133">
        <f>IF(K$7="",0,Inputs!K32)</f>
        <v>0</v>
      </c>
      <c r="AT10" s="133">
        <f>IF(L$7="",0,Inputs!L32)</f>
        <v>0</v>
      </c>
      <c r="AU10" s="133">
        <f>IF(M$7="",0,Inputs!M32)</f>
        <v>0</v>
      </c>
      <c r="AV10" s="133">
        <f>IF(N$7="",0,Inputs!N32)</f>
        <v>0</v>
      </c>
      <c r="AW10" s="134">
        <f>IF(O$7="",0,Inputs!O32)</f>
        <v>0</v>
      </c>
      <c r="AX10" s="324">
        <f t="shared" si="6"/>
        <v>3000000</v>
      </c>
      <c r="AY10" s="314">
        <f t="shared" si="7"/>
        <v>6.4020486555697823E-2</v>
      </c>
    </row>
    <row r="11" spans="1:51" x14ac:dyDescent="0.2">
      <c r="B11" s="23" t="str">
        <f>IF(Inputs!E33=0,Inputs!D33,CONCATENATE(Inputs!D33," (",Inputs!E33,")"))</f>
        <v>Inv C</v>
      </c>
      <c r="C11" s="286">
        <f>'Pro Forma Cap Table'!C31</f>
        <v>0</v>
      </c>
      <c r="D11" s="286">
        <f>'Pro Forma Cap Table'!D31</f>
        <v>0</v>
      </c>
      <c r="E11" s="175">
        <f t="shared" si="1"/>
        <v>0</v>
      </c>
      <c r="F11" s="167">
        <f>'Pro Forma Cap Table'!F31</f>
        <v>1000000</v>
      </c>
      <c r="G11" s="168">
        <f>'Pro Forma Cap Table'!G31</f>
        <v>2000000</v>
      </c>
      <c r="H11" s="168">
        <f>'Pro Forma Cap Table'!H31</f>
        <v>2500000</v>
      </c>
      <c r="I11" s="168">
        <f>'Pro Forma Cap Table'!I31</f>
        <v>0</v>
      </c>
      <c r="J11" s="168">
        <f>'Pro Forma Cap Table'!J31</f>
        <v>0</v>
      </c>
      <c r="K11" s="168">
        <f>'Pro Forma Cap Table'!K31</f>
        <v>0</v>
      </c>
      <c r="L11" s="168">
        <f>'Pro Forma Cap Table'!L31</f>
        <v>0</v>
      </c>
      <c r="M11" s="168">
        <f>'Pro Forma Cap Table'!M31</f>
        <v>0</v>
      </c>
      <c r="N11" s="168">
        <f>'Pro Forma Cap Table'!N31</f>
        <v>0</v>
      </c>
      <c r="O11" s="169">
        <f>'Pro Forma Cap Table'!O31</f>
        <v>0</v>
      </c>
      <c r="P11" s="175">
        <f>'Pro Forma Cap Table'!T12</f>
        <v>5500000</v>
      </c>
      <c r="Q11" s="616">
        <f>'Pro Forma Cap Table'!Q12</f>
        <v>3000000</v>
      </c>
      <c r="R11" s="314">
        <f>'Pro Forma Cap Table'!S12</f>
        <v>9.6030729833546741E-2</v>
      </c>
      <c r="T11" s="43"/>
      <c r="U11" s="26"/>
      <c r="V11" s="26"/>
      <c r="W11" s="337">
        <f t="shared" si="2"/>
        <v>3000000</v>
      </c>
      <c r="X11" s="604">
        <f t="shared" si="3"/>
        <v>3000000</v>
      </c>
      <c r="Y11" s="338">
        <f t="shared" si="4"/>
        <v>9.6030729833546713E-2</v>
      </c>
      <c r="AJ11" s="23" t="str">
        <f>IF(Inputs!E33=0,Inputs!D33,CONCATENATE(Inputs!D33," (",Inputs!E33,")"))</f>
        <v>Inv C</v>
      </c>
      <c r="AK11" s="139">
        <v>0</v>
      </c>
      <c r="AL11" s="140">
        <v>0</v>
      </c>
      <c r="AM11" s="136">
        <f t="shared" si="5"/>
        <v>0</v>
      </c>
      <c r="AN11" s="132">
        <f>IF(F$7="",0,Inputs!F33)</f>
        <v>1000000</v>
      </c>
      <c r="AO11" s="133">
        <f>IF(G$7="",0,Inputs!G33)</f>
        <v>1000000</v>
      </c>
      <c r="AP11" s="133">
        <f>IF(H$7="",0,Inputs!H33)</f>
        <v>1000000</v>
      </c>
      <c r="AQ11" s="133">
        <f>IF(I$7="",0,Inputs!I33)</f>
        <v>0</v>
      </c>
      <c r="AR11" s="133">
        <f>IF(J$7="",0,Inputs!J33)</f>
        <v>0</v>
      </c>
      <c r="AS11" s="133">
        <f>IF(K$7="",0,Inputs!K33)</f>
        <v>0</v>
      </c>
      <c r="AT11" s="133">
        <f>IF(L$7="",0,Inputs!L33)</f>
        <v>0</v>
      </c>
      <c r="AU11" s="133">
        <f>IF(M$7="",0,Inputs!M33)</f>
        <v>0</v>
      </c>
      <c r="AV11" s="133">
        <f>IF(N$7="",0,Inputs!N33)</f>
        <v>0</v>
      </c>
      <c r="AW11" s="134">
        <f>IF(O$7="",0,Inputs!O33)</f>
        <v>0</v>
      </c>
      <c r="AX11" s="324">
        <f t="shared" si="6"/>
        <v>5500000</v>
      </c>
      <c r="AY11" s="314">
        <f t="shared" si="7"/>
        <v>9.6030729833546741E-2</v>
      </c>
    </row>
    <row r="12" spans="1:51" x14ac:dyDescent="0.2">
      <c r="B12" s="23" t="str">
        <f>IF(Inputs!E34=0,Inputs!D34,CONCATENATE(Inputs!D34," (",Inputs!E34,")"))</f>
        <v>Inv D</v>
      </c>
      <c r="C12" s="286">
        <f>'Pro Forma Cap Table'!C32</f>
        <v>0</v>
      </c>
      <c r="D12" s="286">
        <f>'Pro Forma Cap Table'!D32</f>
        <v>0</v>
      </c>
      <c r="E12" s="175">
        <f t="shared" si="1"/>
        <v>0</v>
      </c>
      <c r="F12" s="167">
        <f>'Pro Forma Cap Table'!F32</f>
        <v>1000000</v>
      </c>
      <c r="G12" s="168">
        <f>'Pro Forma Cap Table'!G32</f>
        <v>2000000</v>
      </c>
      <c r="H12" s="168">
        <f>'Pro Forma Cap Table'!H32</f>
        <v>2500000</v>
      </c>
      <c r="I12" s="168">
        <f>'Pro Forma Cap Table'!I32</f>
        <v>0</v>
      </c>
      <c r="J12" s="168">
        <f>'Pro Forma Cap Table'!J32</f>
        <v>0</v>
      </c>
      <c r="K12" s="168">
        <f>'Pro Forma Cap Table'!K32</f>
        <v>0</v>
      </c>
      <c r="L12" s="168">
        <f>'Pro Forma Cap Table'!L32</f>
        <v>0</v>
      </c>
      <c r="M12" s="168">
        <f>'Pro Forma Cap Table'!M32</f>
        <v>0</v>
      </c>
      <c r="N12" s="168">
        <f>'Pro Forma Cap Table'!N32</f>
        <v>0</v>
      </c>
      <c r="O12" s="169">
        <f>'Pro Forma Cap Table'!O32</f>
        <v>0</v>
      </c>
      <c r="P12" s="175">
        <f>'Pro Forma Cap Table'!T13</f>
        <v>5500000</v>
      </c>
      <c r="Q12" s="616">
        <f>'Pro Forma Cap Table'!Q13</f>
        <v>3000000</v>
      </c>
      <c r="R12" s="314">
        <f>'Pro Forma Cap Table'!S13</f>
        <v>9.6030729833546741E-2</v>
      </c>
      <c r="T12" s="42"/>
      <c r="U12" s="26"/>
      <c r="V12" s="26"/>
      <c r="W12" s="337">
        <f t="shared" si="2"/>
        <v>3000000</v>
      </c>
      <c r="X12" s="604">
        <f t="shared" si="3"/>
        <v>3000000</v>
      </c>
      <c r="Y12" s="338">
        <f t="shared" si="4"/>
        <v>9.6030729833546713E-2</v>
      </c>
      <c r="AJ12" s="23" t="str">
        <f>IF(Inputs!E34=0,Inputs!D34,CONCATENATE(Inputs!D34," (",Inputs!E34,")"))</f>
        <v>Inv D</v>
      </c>
      <c r="AK12" s="139">
        <v>0</v>
      </c>
      <c r="AL12" s="140">
        <v>0</v>
      </c>
      <c r="AM12" s="136">
        <f t="shared" si="5"/>
        <v>0</v>
      </c>
      <c r="AN12" s="132">
        <f>IF(F$7="",0,Inputs!F34)</f>
        <v>1000000</v>
      </c>
      <c r="AO12" s="133">
        <f>IF(G$7="",0,Inputs!G34)</f>
        <v>1000000</v>
      </c>
      <c r="AP12" s="133">
        <f>IF(H$7="",0,Inputs!H34)</f>
        <v>1000000</v>
      </c>
      <c r="AQ12" s="133">
        <f>IF(I$7="",0,Inputs!I34)</f>
        <v>0</v>
      </c>
      <c r="AR12" s="133">
        <f>IF(J$7="",0,Inputs!J34)</f>
        <v>0</v>
      </c>
      <c r="AS12" s="133">
        <f>IF(K$7="",0,Inputs!K34)</f>
        <v>0</v>
      </c>
      <c r="AT12" s="133">
        <f>IF(L$7="",0,Inputs!L34)</f>
        <v>0</v>
      </c>
      <c r="AU12" s="133">
        <f>IF(M$7="",0,Inputs!M34)</f>
        <v>0</v>
      </c>
      <c r="AV12" s="133">
        <f>IF(N$7="",0,Inputs!N34)</f>
        <v>0</v>
      </c>
      <c r="AW12" s="134">
        <f>IF(O$7="",0,Inputs!O34)</f>
        <v>0</v>
      </c>
      <c r="AX12" s="324">
        <f t="shared" si="6"/>
        <v>5500000</v>
      </c>
      <c r="AY12" s="314">
        <f t="shared" si="7"/>
        <v>9.6030729833546741E-2</v>
      </c>
    </row>
    <row r="13" spans="1:51" x14ac:dyDescent="0.2">
      <c r="B13" s="23" t="str">
        <f>IF(Inputs!E35=0,Inputs!D35,CONCATENATE(Inputs!D35," (",Inputs!E35,")"))</f>
        <v>Inv E</v>
      </c>
      <c r="C13" s="286">
        <f>'Pro Forma Cap Table'!C33</f>
        <v>0</v>
      </c>
      <c r="D13" s="286">
        <f>'Pro Forma Cap Table'!D33</f>
        <v>0</v>
      </c>
      <c r="E13" s="175">
        <f t="shared" si="1"/>
        <v>0</v>
      </c>
      <c r="F13" s="167">
        <f>'Pro Forma Cap Table'!F33</f>
        <v>1000000</v>
      </c>
      <c r="G13" s="168">
        <f>'Pro Forma Cap Table'!G33</f>
        <v>2000000</v>
      </c>
      <c r="H13" s="168">
        <f>'Pro Forma Cap Table'!H33</f>
        <v>2500000</v>
      </c>
      <c r="I13" s="168">
        <f>'Pro Forma Cap Table'!I33</f>
        <v>0</v>
      </c>
      <c r="J13" s="168">
        <f>'Pro Forma Cap Table'!J33</f>
        <v>0</v>
      </c>
      <c r="K13" s="168">
        <f>'Pro Forma Cap Table'!K33</f>
        <v>0</v>
      </c>
      <c r="L13" s="168">
        <f>'Pro Forma Cap Table'!L33</f>
        <v>0</v>
      </c>
      <c r="M13" s="168">
        <f>'Pro Forma Cap Table'!M33</f>
        <v>0</v>
      </c>
      <c r="N13" s="168">
        <f>'Pro Forma Cap Table'!N33</f>
        <v>0</v>
      </c>
      <c r="O13" s="169">
        <f>'Pro Forma Cap Table'!O33</f>
        <v>0</v>
      </c>
      <c r="P13" s="175">
        <f>'Pro Forma Cap Table'!T14</f>
        <v>5500000</v>
      </c>
      <c r="Q13" s="616">
        <f>'Pro Forma Cap Table'!Q14</f>
        <v>3000000</v>
      </c>
      <c r="R13" s="314">
        <f>'Pro Forma Cap Table'!S14</f>
        <v>9.6030729833546741E-2</v>
      </c>
      <c r="T13" s="42"/>
      <c r="U13" s="26"/>
      <c r="V13" s="26"/>
      <c r="W13" s="337">
        <f t="shared" si="2"/>
        <v>3000000</v>
      </c>
      <c r="X13" s="604">
        <f t="shared" si="3"/>
        <v>3000000</v>
      </c>
      <c r="Y13" s="338">
        <f t="shared" si="4"/>
        <v>9.6030729833546713E-2</v>
      </c>
      <c r="AJ13" s="23" t="str">
        <f>IF(Inputs!E35=0,Inputs!D35,CONCATENATE(Inputs!D35," (",Inputs!E35,")"))</f>
        <v>Inv E</v>
      </c>
      <c r="AK13" s="139">
        <v>0</v>
      </c>
      <c r="AL13" s="140">
        <v>0</v>
      </c>
      <c r="AM13" s="136">
        <f t="shared" si="5"/>
        <v>0</v>
      </c>
      <c r="AN13" s="132">
        <f>IF(F$7="",0,Inputs!F35)</f>
        <v>1000000</v>
      </c>
      <c r="AO13" s="133">
        <f>IF(G$7="",0,Inputs!G35)</f>
        <v>1000000</v>
      </c>
      <c r="AP13" s="133">
        <f>IF(H$7="",0,Inputs!H35)</f>
        <v>1000000</v>
      </c>
      <c r="AQ13" s="133">
        <f>IF(I$7="",0,Inputs!I35)</f>
        <v>0</v>
      </c>
      <c r="AR13" s="133">
        <f>IF(J$7="",0,Inputs!J35)</f>
        <v>0</v>
      </c>
      <c r="AS13" s="133">
        <f>IF(K$7="",0,Inputs!K35)</f>
        <v>0</v>
      </c>
      <c r="AT13" s="133">
        <f>IF(L$7="",0,Inputs!L35)</f>
        <v>0</v>
      </c>
      <c r="AU13" s="133">
        <f>IF(M$7="",0,Inputs!M35)</f>
        <v>0</v>
      </c>
      <c r="AV13" s="133">
        <f>IF(N$7="",0,Inputs!N35)</f>
        <v>0</v>
      </c>
      <c r="AW13" s="134">
        <f>IF(O$7="",0,Inputs!O35)</f>
        <v>0</v>
      </c>
      <c r="AX13" s="324">
        <f t="shared" si="6"/>
        <v>5500000</v>
      </c>
      <c r="AY13" s="314">
        <f t="shared" si="7"/>
        <v>9.6030729833546741E-2</v>
      </c>
    </row>
    <row r="14" spans="1:51" x14ac:dyDescent="0.2">
      <c r="B14" s="23" t="str">
        <f>IF(Inputs!E36=0,Inputs!D36,CONCATENATE(Inputs!D36," (",Inputs!E36,")"))</f>
        <v>Inv F</v>
      </c>
      <c r="C14" s="286">
        <f>'Pro Forma Cap Table'!C34</f>
        <v>0</v>
      </c>
      <c r="D14" s="286">
        <f>'Pro Forma Cap Table'!D34</f>
        <v>0</v>
      </c>
      <c r="E14" s="175">
        <f t="shared" si="1"/>
        <v>0</v>
      </c>
      <c r="F14" s="167">
        <f>'Pro Forma Cap Table'!F34</f>
        <v>0</v>
      </c>
      <c r="G14" s="168">
        <f>'Pro Forma Cap Table'!G34</f>
        <v>0</v>
      </c>
      <c r="H14" s="168">
        <f>'Pro Forma Cap Table'!H34</f>
        <v>2500000</v>
      </c>
      <c r="I14" s="168">
        <f>'Pro Forma Cap Table'!I34</f>
        <v>6666666.666666667</v>
      </c>
      <c r="J14" s="168">
        <f>'Pro Forma Cap Table'!J34</f>
        <v>0</v>
      </c>
      <c r="K14" s="168">
        <f>'Pro Forma Cap Table'!K34</f>
        <v>0</v>
      </c>
      <c r="L14" s="168">
        <f>'Pro Forma Cap Table'!L34</f>
        <v>0</v>
      </c>
      <c r="M14" s="168">
        <f>'Pro Forma Cap Table'!M34</f>
        <v>0</v>
      </c>
      <c r="N14" s="168">
        <f>'Pro Forma Cap Table'!N34</f>
        <v>0</v>
      </c>
      <c r="O14" s="169">
        <f>'Pro Forma Cap Table'!O34</f>
        <v>0</v>
      </c>
      <c r="P14" s="175">
        <f>'Pro Forma Cap Table'!T15</f>
        <v>9166666.6666666679</v>
      </c>
      <c r="Q14" s="616">
        <f>'Pro Forma Cap Table'!Q15</f>
        <v>4333333.333333334</v>
      </c>
      <c r="R14" s="314">
        <f>'Pro Forma Cap Table'!S15</f>
        <v>0.13871105420401197</v>
      </c>
      <c r="T14" s="42"/>
      <c r="U14" s="26"/>
      <c r="V14" s="26"/>
      <c r="W14" s="337">
        <f t="shared" si="2"/>
        <v>4333333.333333334</v>
      </c>
      <c r="X14" s="604">
        <f t="shared" si="3"/>
        <v>4333333.333333334</v>
      </c>
      <c r="Y14" s="338">
        <f t="shared" si="4"/>
        <v>0.13871105420401195</v>
      </c>
      <c r="AJ14" s="23" t="str">
        <f>IF(Inputs!E36=0,Inputs!D36,CONCATENATE(Inputs!D36," (",Inputs!E36,")"))</f>
        <v>Inv F</v>
      </c>
      <c r="AK14" s="139">
        <v>0</v>
      </c>
      <c r="AL14" s="140">
        <v>0</v>
      </c>
      <c r="AM14" s="136">
        <f t="shared" si="5"/>
        <v>0</v>
      </c>
      <c r="AN14" s="132">
        <f>IF(F$7="",0,Inputs!F36)</f>
        <v>0</v>
      </c>
      <c r="AO14" s="133">
        <f>IF(G$7="",0,Inputs!G36)</f>
        <v>0</v>
      </c>
      <c r="AP14" s="133">
        <f>IF(H$7="",0,Inputs!H36)</f>
        <v>1000000</v>
      </c>
      <c r="AQ14" s="133">
        <f>IF(I$7="",0,Inputs!I36)</f>
        <v>3333333.3333333335</v>
      </c>
      <c r="AR14" s="133">
        <f>IF(J$7="",0,Inputs!J36)</f>
        <v>0</v>
      </c>
      <c r="AS14" s="133">
        <f>IF(K$7="",0,Inputs!K36)</f>
        <v>0</v>
      </c>
      <c r="AT14" s="133">
        <f>IF(L$7="",0,Inputs!L36)</f>
        <v>0</v>
      </c>
      <c r="AU14" s="133">
        <f>IF(M$7="",0,Inputs!M36)</f>
        <v>0</v>
      </c>
      <c r="AV14" s="133">
        <f>IF(N$7="",0,Inputs!N36)</f>
        <v>0</v>
      </c>
      <c r="AW14" s="134">
        <f>IF(O$7="",0,Inputs!O36)</f>
        <v>0</v>
      </c>
      <c r="AX14" s="324">
        <f t="shared" si="6"/>
        <v>9166666.6666666679</v>
      </c>
      <c r="AY14" s="314">
        <f t="shared" si="7"/>
        <v>0.13871105420401197</v>
      </c>
    </row>
    <row r="15" spans="1:51" x14ac:dyDescent="0.2">
      <c r="B15" s="23" t="str">
        <f>IF(Inputs!E37=0,Inputs!D37,CONCATENATE(Inputs!D37," (",Inputs!E37,")"))</f>
        <v>Inv G</v>
      </c>
      <c r="C15" s="286">
        <f>'Pro Forma Cap Table'!C35</f>
        <v>0</v>
      </c>
      <c r="D15" s="286">
        <f>'Pro Forma Cap Table'!D35</f>
        <v>0</v>
      </c>
      <c r="E15" s="175">
        <f t="shared" si="1"/>
        <v>0</v>
      </c>
      <c r="F15" s="167">
        <f>'Pro Forma Cap Table'!F35</f>
        <v>0</v>
      </c>
      <c r="G15" s="168">
        <f>'Pro Forma Cap Table'!G35</f>
        <v>0</v>
      </c>
      <c r="H15" s="168">
        <f>'Pro Forma Cap Table'!H35</f>
        <v>2500000</v>
      </c>
      <c r="I15" s="168">
        <f>'Pro Forma Cap Table'!I35</f>
        <v>6666666.666666667</v>
      </c>
      <c r="J15" s="168">
        <f>'Pro Forma Cap Table'!J35</f>
        <v>0</v>
      </c>
      <c r="K15" s="168">
        <f>'Pro Forma Cap Table'!K35</f>
        <v>0</v>
      </c>
      <c r="L15" s="168">
        <f>'Pro Forma Cap Table'!L35</f>
        <v>0</v>
      </c>
      <c r="M15" s="168">
        <f>'Pro Forma Cap Table'!M35</f>
        <v>0</v>
      </c>
      <c r="N15" s="168">
        <f>'Pro Forma Cap Table'!N35</f>
        <v>0</v>
      </c>
      <c r="O15" s="169">
        <f>'Pro Forma Cap Table'!O35</f>
        <v>0</v>
      </c>
      <c r="P15" s="175">
        <f>'Pro Forma Cap Table'!T16</f>
        <v>9166666.6666666679</v>
      </c>
      <c r="Q15" s="616">
        <f>'Pro Forma Cap Table'!Q16</f>
        <v>4333333.333333334</v>
      </c>
      <c r="R15" s="314">
        <f>'Pro Forma Cap Table'!S16</f>
        <v>0.13871105420401197</v>
      </c>
      <c r="T15" s="42"/>
      <c r="U15" s="26"/>
      <c r="V15" s="26"/>
      <c r="W15" s="337">
        <f t="shared" si="2"/>
        <v>4333333.333333334</v>
      </c>
      <c r="X15" s="604">
        <f t="shared" si="3"/>
        <v>4333333.333333334</v>
      </c>
      <c r="Y15" s="338">
        <f t="shared" si="4"/>
        <v>0.13871105420401195</v>
      </c>
      <c r="AJ15" s="23" t="str">
        <f>IF(Inputs!E37=0,Inputs!D37,CONCATENATE(Inputs!D37," (",Inputs!E37,")"))</f>
        <v>Inv G</v>
      </c>
      <c r="AK15" s="139">
        <v>0</v>
      </c>
      <c r="AL15" s="140">
        <v>0</v>
      </c>
      <c r="AM15" s="136">
        <f t="shared" si="5"/>
        <v>0</v>
      </c>
      <c r="AN15" s="132">
        <f>IF(F$7="",0,Inputs!F37)</f>
        <v>0</v>
      </c>
      <c r="AO15" s="133">
        <f>IF(G$7="",0,Inputs!G37)</f>
        <v>0</v>
      </c>
      <c r="AP15" s="133">
        <f>IF(H$7="",0,Inputs!H37)</f>
        <v>1000000</v>
      </c>
      <c r="AQ15" s="133">
        <f>IF(I$7="",0,Inputs!I37)</f>
        <v>3333333.3333333335</v>
      </c>
      <c r="AR15" s="133">
        <f>IF(J$7="",0,Inputs!J37)</f>
        <v>0</v>
      </c>
      <c r="AS15" s="133">
        <f>IF(K$7="",0,Inputs!K37)</f>
        <v>0</v>
      </c>
      <c r="AT15" s="133">
        <f>IF(L$7="",0,Inputs!L37)</f>
        <v>0</v>
      </c>
      <c r="AU15" s="133">
        <f>IF(M$7="",0,Inputs!M37)</f>
        <v>0</v>
      </c>
      <c r="AV15" s="133">
        <f>IF(N$7="",0,Inputs!N37)</f>
        <v>0</v>
      </c>
      <c r="AW15" s="134">
        <f>IF(O$7="",0,Inputs!O37)</f>
        <v>0</v>
      </c>
      <c r="AX15" s="324">
        <f t="shared" si="6"/>
        <v>9166666.6666666679</v>
      </c>
      <c r="AY15" s="314">
        <f t="shared" si="7"/>
        <v>0.13871105420401197</v>
      </c>
    </row>
    <row r="16" spans="1:51" x14ac:dyDescent="0.2">
      <c r="B16" s="23" t="str">
        <f>IF(Inputs!E38=0,Inputs!D38,CONCATENATE(Inputs!D38," (",Inputs!E38,")"))</f>
        <v>Inv H</v>
      </c>
      <c r="C16" s="286">
        <f>'Pro Forma Cap Table'!C36</f>
        <v>0</v>
      </c>
      <c r="D16" s="286">
        <f>'Pro Forma Cap Table'!D36</f>
        <v>0</v>
      </c>
      <c r="E16" s="175">
        <f t="shared" si="1"/>
        <v>0</v>
      </c>
      <c r="F16" s="167">
        <f>'Pro Forma Cap Table'!F36</f>
        <v>0</v>
      </c>
      <c r="G16" s="168">
        <f>'Pro Forma Cap Table'!G36</f>
        <v>0</v>
      </c>
      <c r="H16" s="168">
        <f>'Pro Forma Cap Table'!H36</f>
        <v>2500000</v>
      </c>
      <c r="I16" s="168">
        <f>'Pro Forma Cap Table'!I36</f>
        <v>6666666.666666667</v>
      </c>
      <c r="J16" s="168">
        <f>'Pro Forma Cap Table'!J36</f>
        <v>0</v>
      </c>
      <c r="K16" s="168">
        <f>'Pro Forma Cap Table'!K36</f>
        <v>0</v>
      </c>
      <c r="L16" s="168">
        <f>'Pro Forma Cap Table'!L36</f>
        <v>0</v>
      </c>
      <c r="M16" s="168">
        <f>'Pro Forma Cap Table'!M36</f>
        <v>0</v>
      </c>
      <c r="N16" s="168">
        <f>'Pro Forma Cap Table'!N36</f>
        <v>0</v>
      </c>
      <c r="O16" s="169">
        <f>'Pro Forma Cap Table'!O36</f>
        <v>0</v>
      </c>
      <c r="P16" s="175">
        <f>'Pro Forma Cap Table'!T17</f>
        <v>9166666.6666666679</v>
      </c>
      <c r="Q16" s="616">
        <f>'Pro Forma Cap Table'!Q17</f>
        <v>4333333.333333334</v>
      </c>
      <c r="R16" s="314">
        <f>'Pro Forma Cap Table'!S17</f>
        <v>0.13871105420401197</v>
      </c>
      <c r="T16" s="26"/>
      <c r="U16" s="26"/>
      <c r="V16" s="26"/>
      <c r="W16" s="337">
        <f t="shared" si="2"/>
        <v>4333333.333333334</v>
      </c>
      <c r="X16" s="604">
        <f t="shared" si="3"/>
        <v>4333333.333333334</v>
      </c>
      <c r="Y16" s="338">
        <f t="shared" si="4"/>
        <v>0.13871105420401195</v>
      </c>
      <c r="AJ16" s="23" t="str">
        <f>IF(Inputs!E38=0,Inputs!D38,CONCATENATE(Inputs!D38," (",Inputs!E38,")"))</f>
        <v>Inv H</v>
      </c>
      <c r="AK16" s="139">
        <v>0</v>
      </c>
      <c r="AL16" s="140">
        <v>0</v>
      </c>
      <c r="AM16" s="136">
        <f t="shared" si="5"/>
        <v>0</v>
      </c>
      <c r="AN16" s="132">
        <f>IF(F$7="",0,Inputs!F38)</f>
        <v>0</v>
      </c>
      <c r="AO16" s="133">
        <f>IF(G$7="",0,Inputs!G38)</f>
        <v>0</v>
      </c>
      <c r="AP16" s="133">
        <f>IF(H$7="",0,Inputs!H38)</f>
        <v>1000000</v>
      </c>
      <c r="AQ16" s="133">
        <f>IF(I$7="",0,Inputs!I38)</f>
        <v>3333333.3333333335</v>
      </c>
      <c r="AR16" s="133">
        <f>IF(J$7="",0,Inputs!J38)</f>
        <v>0</v>
      </c>
      <c r="AS16" s="133">
        <f>IF(K$7="",0,Inputs!K38)</f>
        <v>0</v>
      </c>
      <c r="AT16" s="133">
        <f>IF(L$7="",0,Inputs!L38)</f>
        <v>0</v>
      </c>
      <c r="AU16" s="133">
        <f>IF(M$7="",0,Inputs!M38)</f>
        <v>0</v>
      </c>
      <c r="AV16" s="133">
        <f>IF(N$7="",0,Inputs!N38)</f>
        <v>0</v>
      </c>
      <c r="AW16" s="134">
        <f>IF(O$7="",0,Inputs!O38)</f>
        <v>0</v>
      </c>
      <c r="AX16" s="324">
        <f t="shared" si="6"/>
        <v>9166666.6666666679</v>
      </c>
      <c r="AY16" s="314">
        <f t="shared" si="7"/>
        <v>0.13871105420401197</v>
      </c>
    </row>
    <row r="17" spans="2:51" x14ac:dyDescent="0.2">
      <c r="B17" s="23" t="str">
        <f>Inputs!D39</f>
        <v>Other Investors</v>
      </c>
      <c r="C17" s="287">
        <f>'Pro Forma Cap Table'!C37</f>
        <v>0</v>
      </c>
      <c r="D17" s="287">
        <f>'Pro Forma Cap Table'!D37</f>
        <v>0</v>
      </c>
      <c r="E17" s="288">
        <f t="shared" si="1"/>
        <v>0</v>
      </c>
      <c r="F17" s="170">
        <f>'Pro Forma Cap Table'!F37</f>
        <v>0</v>
      </c>
      <c r="G17" s="171">
        <f>'Pro Forma Cap Table'!G37</f>
        <v>0</v>
      </c>
      <c r="H17" s="171">
        <f>'Pro Forma Cap Table'!H37</f>
        <v>0</v>
      </c>
      <c r="I17" s="171">
        <f>'Pro Forma Cap Table'!I37</f>
        <v>0</v>
      </c>
      <c r="J17" s="171">
        <f>'Pro Forma Cap Table'!J37</f>
        <v>0</v>
      </c>
      <c r="K17" s="171">
        <f>'Pro Forma Cap Table'!K37</f>
        <v>0</v>
      </c>
      <c r="L17" s="171">
        <f>'Pro Forma Cap Table'!L37</f>
        <v>0</v>
      </c>
      <c r="M17" s="171">
        <f>'Pro Forma Cap Table'!M37</f>
        <v>0</v>
      </c>
      <c r="N17" s="171">
        <f>'Pro Forma Cap Table'!N37</f>
        <v>0</v>
      </c>
      <c r="O17" s="172">
        <f>'Pro Forma Cap Table'!O37</f>
        <v>0</v>
      </c>
      <c r="P17" s="288">
        <f>'Pro Forma Cap Table'!T18</f>
        <v>0</v>
      </c>
      <c r="Q17" s="617">
        <f>'Pro Forma Cap Table'!Q18</f>
        <v>0</v>
      </c>
      <c r="R17" s="315">
        <f>'Pro Forma Cap Table'!S18</f>
        <v>0</v>
      </c>
      <c r="T17" s="26"/>
      <c r="U17" s="26"/>
      <c r="V17" s="26"/>
      <c r="W17" s="339">
        <f t="shared" si="2"/>
        <v>0</v>
      </c>
      <c r="X17" s="605">
        <f t="shared" si="3"/>
        <v>0</v>
      </c>
      <c r="Y17" s="340">
        <f t="shared" si="4"/>
        <v>0</v>
      </c>
      <c r="AJ17" s="23" t="str">
        <f>Inputs!D39</f>
        <v>Other Investors</v>
      </c>
      <c r="AK17" s="146">
        <v>0</v>
      </c>
      <c r="AL17" s="147">
        <v>0</v>
      </c>
      <c r="AM17" s="148">
        <f t="shared" si="5"/>
        <v>0</v>
      </c>
      <c r="AN17" s="149">
        <f>IF(F$7="",0,Inputs!F39)</f>
        <v>0</v>
      </c>
      <c r="AO17" s="150">
        <f>IF(G$7="",0,Inputs!G39)</f>
        <v>0</v>
      </c>
      <c r="AP17" s="150">
        <f>IF(H$7="",0,Inputs!H39)</f>
        <v>0</v>
      </c>
      <c r="AQ17" s="150">
        <f>IF(I$7="",0,Inputs!I39)</f>
        <v>0</v>
      </c>
      <c r="AR17" s="150">
        <f>IF(J$7="",0,Inputs!J39)</f>
        <v>0</v>
      </c>
      <c r="AS17" s="150">
        <f>IF(K$7="",0,Inputs!K39)</f>
        <v>0</v>
      </c>
      <c r="AT17" s="150">
        <f>IF(L$7="",0,Inputs!L39)</f>
        <v>0</v>
      </c>
      <c r="AU17" s="150">
        <f>IF(M$7="",0,Inputs!M39)</f>
        <v>0</v>
      </c>
      <c r="AV17" s="150">
        <f>IF(N$7="",0,Inputs!N39)</f>
        <v>0</v>
      </c>
      <c r="AW17" s="151">
        <f>IF(O$7="",0,Inputs!O39)</f>
        <v>0</v>
      </c>
      <c r="AX17" s="325">
        <f t="shared" si="6"/>
        <v>0</v>
      </c>
      <c r="AY17" s="315">
        <f t="shared" si="7"/>
        <v>0</v>
      </c>
    </row>
    <row r="18" spans="2:51" ht="13.5" thickBot="1" x14ac:dyDescent="0.25">
      <c r="B18" s="152" t="s">
        <v>54</v>
      </c>
      <c r="C18" s="582">
        <f>'Pro Forma Cap Table'!C38</f>
        <v>0</v>
      </c>
      <c r="D18" s="583">
        <f>'Pro Forma Cap Table'!D38</f>
        <v>0</v>
      </c>
      <c r="E18" s="581">
        <f t="shared" si="1"/>
        <v>0</v>
      </c>
      <c r="F18" s="578">
        <f>'Pro Forma Cap Table'!F38</f>
        <v>10000</v>
      </c>
      <c r="G18" s="579">
        <f>'Pro Forma Cap Table'!G38</f>
        <v>10000</v>
      </c>
      <c r="H18" s="579">
        <f>'Pro Forma Cap Table'!H38</f>
        <v>10000</v>
      </c>
      <c r="I18" s="579">
        <f>'Pro Forma Cap Table'!I38</f>
        <v>10000</v>
      </c>
      <c r="J18" s="579">
        <f>'Pro Forma Cap Table'!J38</f>
        <v>0</v>
      </c>
      <c r="K18" s="579">
        <f>'Pro Forma Cap Table'!K38</f>
        <v>0</v>
      </c>
      <c r="L18" s="579">
        <f>'Pro Forma Cap Table'!L38</f>
        <v>0</v>
      </c>
      <c r="M18" s="579">
        <f>'Pro Forma Cap Table'!M38</f>
        <v>0</v>
      </c>
      <c r="N18" s="579">
        <f>'Pro Forma Cap Table'!N38</f>
        <v>0</v>
      </c>
      <c r="O18" s="580">
        <f>'Pro Forma Cap Table'!O38</f>
        <v>0</v>
      </c>
      <c r="P18" s="581">
        <f>'Pro Forma Cap Table'!T19</f>
        <v>40000</v>
      </c>
      <c r="Q18" s="618">
        <f>'Pro Forma Cap Table'!Q19</f>
        <v>40000</v>
      </c>
      <c r="R18" s="315">
        <f>'Pro Forma Cap Table'!S19</f>
        <v>1.2804097311139564E-3</v>
      </c>
      <c r="T18" s="26"/>
      <c r="U18" s="26"/>
      <c r="V18" s="26"/>
      <c r="W18" s="341">
        <f t="shared" si="2"/>
        <v>40000</v>
      </c>
      <c r="X18" s="605">
        <f t="shared" si="3"/>
        <v>40000</v>
      </c>
      <c r="Y18" s="340">
        <f t="shared" si="4"/>
        <v>1.2804097311139562E-3</v>
      </c>
      <c r="AJ18" s="152" t="s">
        <v>54</v>
      </c>
      <c r="AK18" s="153"/>
      <c r="AL18" s="154"/>
      <c r="AM18" s="155"/>
      <c r="AN18" s="156">
        <f t="array" ref="AN18:AW18">IF(TRANSPOSE(Inputs!N$10:N$19)=0,0,TRANSPOSE(Inputs!N$10:N$19))</f>
        <v>10000</v>
      </c>
      <c r="AO18" s="157">
        <v>10000</v>
      </c>
      <c r="AP18" s="157">
        <v>10000</v>
      </c>
      <c r="AQ18" s="157">
        <v>10000</v>
      </c>
      <c r="AR18" s="157">
        <v>0</v>
      </c>
      <c r="AS18" s="157">
        <v>0</v>
      </c>
      <c r="AT18" s="157">
        <v>0</v>
      </c>
      <c r="AU18" s="157">
        <v>0</v>
      </c>
      <c r="AV18" s="157">
        <v>0</v>
      </c>
      <c r="AW18" s="158">
        <v>0</v>
      </c>
      <c r="AX18" s="325"/>
      <c r="AY18" s="315">
        <f t="shared" si="7"/>
        <v>1.2804097311139564E-3</v>
      </c>
    </row>
    <row r="19" spans="2:51" ht="13.5" thickBot="1" x14ac:dyDescent="0.25">
      <c r="B19" s="275" t="s">
        <v>35</v>
      </c>
      <c r="C19" s="585">
        <f>SUM(C9:C17)</f>
        <v>0</v>
      </c>
      <c r="D19" s="277">
        <f>SUM(D9:D17)</f>
        <v>0</v>
      </c>
      <c r="E19" s="278">
        <f>SUM(E9:E17)</f>
        <v>0</v>
      </c>
      <c r="F19" s="519">
        <f t="shared" ref="F19" si="8">SUM(F9:F18)</f>
        <v>5010000</v>
      </c>
      <c r="G19" s="276">
        <f t="shared" ref="G19:O19" si="9">SUM(G9:G18)</f>
        <v>10010000</v>
      </c>
      <c r="H19" s="276">
        <f t="shared" si="9"/>
        <v>15010000</v>
      </c>
      <c r="I19" s="276">
        <f t="shared" si="9"/>
        <v>20010000</v>
      </c>
      <c r="J19" s="276">
        <f t="shared" si="9"/>
        <v>0</v>
      </c>
      <c r="K19" s="276">
        <f t="shared" si="9"/>
        <v>0</v>
      </c>
      <c r="L19" s="276">
        <f t="shared" si="9"/>
        <v>0</v>
      </c>
      <c r="M19" s="276">
        <f t="shared" si="9"/>
        <v>0</v>
      </c>
      <c r="N19" s="276">
        <f t="shared" si="9"/>
        <v>0</v>
      </c>
      <c r="O19" s="277">
        <f t="shared" si="9"/>
        <v>0</v>
      </c>
      <c r="P19" s="278">
        <f t="shared" ref="P19" si="10">SUM(P9:P18)</f>
        <v>50040000</v>
      </c>
      <c r="Q19" s="619">
        <f>'Pro Forma Cap Table'!Q20</f>
        <v>26040000.000000007</v>
      </c>
      <c r="R19" s="319">
        <f>SUM(R9:R18)</f>
        <v>0.83354673495518583</v>
      </c>
      <c r="U19" s="26"/>
      <c r="V19" s="26"/>
      <c r="W19" s="342">
        <f>SUM(W9:W18)</f>
        <v>26040000.000000007</v>
      </c>
      <c r="X19" s="606">
        <f>SUM(X9:X18)</f>
        <v>26040000.000000007</v>
      </c>
      <c r="Y19" s="343">
        <f>SUM(Y9:Y18)</f>
        <v>0.83354673495518561</v>
      </c>
      <c r="AJ19" s="5" t="s">
        <v>35</v>
      </c>
      <c r="AK19" s="141">
        <f t="shared" ref="AK19:AM19" si="11">SUM(AK9:AK17)</f>
        <v>0</v>
      </c>
      <c r="AL19" s="117">
        <f t="shared" si="11"/>
        <v>0</v>
      </c>
      <c r="AM19" s="6">
        <f t="shared" si="11"/>
        <v>0</v>
      </c>
      <c r="AN19" s="115">
        <f>SUM(AN9:AN18)</f>
        <v>5010000</v>
      </c>
      <c r="AO19" s="116">
        <f t="shared" ref="AO19:AW19" si="12">SUM(AO9:AO18)</f>
        <v>5010000</v>
      </c>
      <c r="AP19" s="116">
        <f t="shared" si="12"/>
        <v>6010000</v>
      </c>
      <c r="AQ19" s="116">
        <f t="shared" si="12"/>
        <v>10010000</v>
      </c>
      <c r="AR19" s="116">
        <f t="shared" si="12"/>
        <v>0</v>
      </c>
      <c r="AS19" s="116">
        <f t="shared" si="12"/>
        <v>0</v>
      </c>
      <c r="AT19" s="116">
        <f t="shared" si="12"/>
        <v>0</v>
      </c>
      <c r="AU19" s="116">
        <f t="shared" si="12"/>
        <v>0</v>
      </c>
      <c r="AV19" s="116">
        <f t="shared" si="12"/>
        <v>0</v>
      </c>
      <c r="AW19" s="117">
        <f t="shared" si="12"/>
        <v>0</v>
      </c>
      <c r="AX19" s="15">
        <f t="shared" ref="AX19" si="13">SUM(AX9:AX18)</f>
        <v>50000000</v>
      </c>
      <c r="AY19" s="316">
        <f>SUM(AY9:AY18)</f>
        <v>0.83354673495518583</v>
      </c>
    </row>
    <row r="20" spans="2:51" x14ac:dyDescent="0.2">
      <c r="B20" s="576" t="s">
        <v>36</v>
      </c>
      <c r="C20" s="586">
        <f>IF(C$7=0,0,Inputs!M22*C7)</f>
        <v>5.2000000000000005E-2</v>
      </c>
      <c r="D20" s="587">
        <f>IF(D$7=0,0,Inputs!M23*D7)</f>
        <v>0</v>
      </c>
      <c r="E20" s="584">
        <f>SUM(C20:D20)</f>
        <v>5.2000000000000005E-2</v>
      </c>
      <c r="F20" s="589">
        <f>'Pro Forma Cap Table'!F43</f>
        <v>0</v>
      </c>
      <c r="G20" s="590">
        <f>'Pro Forma Cap Table'!G43</f>
        <v>0</v>
      </c>
      <c r="H20" s="590">
        <f>'Pro Forma Cap Table'!H43</f>
        <v>0</v>
      </c>
      <c r="I20" s="590">
        <f>'Pro Forma Cap Table'!I43</f>
        <v>0</v>
      </c>
      <c r="J20" s="590">
        <f>'Pro Forma Cap Table'!J43</f>
        <v>0</v>
      </c>
      <c r="K20" s="590">
        <f>'Pro Forma Cap Table'!K43</f>
        <v>0</v>
      </c>
      <c r="L20" s="590">
        <f>'Pro Forma Cap Table'!L43</f>
        <v>0</v>
      </c>
      <c r="M20" s="590">
        <f>'Pro Forma Cap Table'!M43</f>
        <v>0</v>
      </c>
      <c r="N20" s="590">
        <f>'Pro Forma Cap Table'!N43</f>
        <v>0</v>
      </c>
      <c r="O20" s="587">
        <f>'Pro Forma Cap Table'!O43</f>
        <v>0</v>
      </c>
      <c r="P20" s="584">
        <f>'Pro Forma Cap Table'!T22</f>
        <v>0</v>
      </c>
      <c r="Q20" s="620">
        <f>'Pro Forma Cap Table'!Q22</f>
        <v>5200000</v>
      </c>
      <c r="R20" s="588">
        <f>'Pro Forma Cap Table'!S24</f>
        <v>0.16645326504481434</v>
      </c>
      <c r="S20"/>
      <c r="W20" s="344"/>
      <c r="X20" s="607"/>
      <c r="Y20" s="345"/>
      <c r="AJ20" s="1"/>
      <c r="AK20" s="7"/>
      <c r="AL20" s="8"/>
      <c r="AM20" s="4"/>
      <c r="AN20" s="198"/>
      <c r="AO20" s="7"/>
      <c r="AP20" s="7"/>
      <c r="AQ20" s="7"/>
      <c r="AR20" s="7"/>
      <c r="AS20" s="7"/>
      <c r="AT20" s="7"/>
      <c r="AU20" s="7"/>
      <c r="AV20" s="7"/>
      <c r="AW20" s="8"/>
      <c r="AX20" s="16"/>
      <c r="AY20" s="312"/>
    </row>
    <row r="21" spans="2:51" ht="13.5" thickBot="1" x14ac:dyDescent="0.25">
      <c r="B21" s="2"/>
      <c r="C21" s="591"/>
      <c r="D21" s="592"/>
      <c r="E21" s="252"/>
      <c r="F21" s="593"/>
      <c r="G21" s="594"/>
      <c r="H21" s="594"/>
      <c r="I21" s="594"/>
      <c r="J21" s="594"/>
      <c r="K21" s="594"/>
      <c r="L21" s="594"/>
      <c r="M21" s="594"/>
      <c r="N21" s="594"/>
      <c r="O21" s="595"/>
      <c r="P21" s="252"/>
      <c r="Q21" s="614"/>
      <c r="R21" s="320"/>
      <c r="S21"/>
      <c r="W21" s="344">
        <f>SUM(AN21:AW21)</f>
        <v>0</v>
      </c>
      <c r="X21" s="607">
        <f>W21+AM21</f>
        <v>5200000</v>
      </c>
      <c r="Y21" s="345">
        <f>X21/X$27</f>
        <v>0.16645326504481431</v>
      </c>
      <c r="AJ21" s="23" t="str">
        <f>Inputs!D40</f>
        <v>Management</v>
      </c>
      <c r="AK21" s="159">
        <f>IF(C$7=0,0,Inputs!M22)</f>
        <v>5200000</v>
      </c>
      <c r="AL21" s="160">
        <f>IF(D$7=0,0,Inputs!M23)</f>
        <v>0</v>
      </c>
      <c r="AM21" s="13">
        <f>SUM(AK21:AL21)</f>
        <v>5200000</v>
      </c>
      <c r="AN21" s="199">
        <f>IF(F$7=0,0,Inputs!F40/F$7)</f>
        <v>0</v>
      </c>
      <c r="AO21" s="199">
        <f>IF(G$7=0,0,Inputs!G40/G$7)</f>
        <v>0</v>
      </c>
      <c r="AP21" s="199">
        <f>IF(H$7=0,0,Inputs!H40/H$7)</f>
        <v>0</v>
      </c>
      <c r="AQ21" s="199">
        <f>IF(I$7=0,0,Inputs!I40/I$7)</f>
        <v>0</v>
      </c>
      <c r="AR21" s="199">
        <f>IF(J$7=0,0,Inputs!J40/J$7)</f>
        <v>0</v>
      </c>
      <c r="AS21" s="199">
        <f>IF(K$7=0,0,Inputs!K40/K$7)</f>
        <v>0</v>
      </c>
      <c r="AT21" s="199">
        <f>IF(L$7=0,0,Inputs!L40/L$7)</f>
        <v>0</v>
      </c>
      <c r="AU21" s="199">
        <f>IF(M$7=0,0,Inputs!M40/M$7)</f>
        <v>0</v>
      </c>
      <c r="AV21" s="199">
        <f>IF(N$7=0,0,Inputs!N40/N$7)</f>
        <v>0</v>
      </c>
      <c r="AW21" s="160">
        <f>IF(O$7=0,0,Inputs!O40/O$7)</f>
        <v>0</v>
      </c>
      <c r="AX21" s="16">
        <f t="shared" ref="AX21" si="14">$F$7*AN21+$G$7*AO21+$H$7*AP21+$I$7*AQ21+$J$7*AR21+$K$7*AS21+$L$7*AT21+$M$7*AU21+$N$7*AV21+$O$7*AW21</f>
        <v>0</v>
      </c>
      <c r="AY21" s="312">
        <f>X21/($R$31+$X$21)</f>
        <v>0.16645326504481434</v>
      </c>
    </row>
    <row r="22" spans="2:51" ht="13.5" thickBot="1" x14ac:dyDescent="0.25">
      <c r="B22" s="577" t="s">
        <v>2</v>
      </c>
      <c r="C22" s="596">
        <f>C19+C20</f>
        <v>5.2000000000000005E-2</v>
      </c>
      <c r="D22" s="597">
        <f>D19+D20</f>
        <v>0</v>
      </c>
      <c r="E22" s="235">
        <f>E19+E20</f>
        <v>5.2000000000000005E-2</v>
      </c>
      <c r="F22" s="598">
        <f>IF(F$7=0,0,'Pro Forma Cap Table'!F45)</f>
        <v>5000000</v>
      </c>
      <c r="G22" s="599">
        <f>IF(G$7=0,0,'Pro Forma Cap Table'!G45)</f>
        <v>10000000</v>
      </c>
      <c r="H22" s="599">
        <f>IF(H$7=0,0,'Pro Forma Cap Table'!H45)</f>
        <v>15000000</v>
      </c>
      <c r="I22" s="599">
        <f>IF(I$7=0,0,'Pro Forma Cap Table'!I45)</f>
        <v>20000000</v>
      </c>
      <c r="J22" s="599">
        <f>IF(J$7=0,0,'Pro Forma Cap Table'!J45)</f>
        <v>0</v>
      </c>
      <c r="K22" s="599">
        <f>IF(K$7=0,0,'Pro Forma Cap Table'!K45)</f>
        <v>0</v>
      </c>
      <c r="L22" s="599">
        <f>IF(L$7=0,0,'Pro Forma Cap Table'!L45)</f>
        <v>0</v>
      </c>
      <c r="M22" s="599">
        <f>IF(M$7=0,0,'Pro Forma Cap Table'!M45)</f>
        <v>0</v>
      </c>
      <c r="N22" s="599">
        <f>IF(N$7=0,0,'Pro Forma Cap Table'!N45)</f>
        <v>0</v>
      </c>
      <c r="O22" s="597">
        <f>IF(O$7=0,0,'Pro Forma Cap Table'!O45)</f>
        <v>0</v>
      </c>
      <c r="P22" s="235">
        <f>'Pro Forma Cap Table'!T45</f>
        <v>50040000</v>
      </c>
      <c r="Q22" s="621">
        <f>Q19+Q20</f>
        <v>31240000.000000007</v>
      </c>
      <c r="R22" s="317">
        <f>R19+R20</f>
        <v>1.0000000000000002</v>
      </c>
      <c r="S22"/>
      <c r="W22" s="344"/>
      <c r="X22" s="607"/>
      <c r="Y22" s="345"/>
      <c r="AJ22" s="2"/>
      <c r="AK22" s="3"/>
      <c r="AL22" s="161"/>
      <c r="AM22" s="4"/>
      <c r="AN22" s="200"/>
      <c r="AO22" s="3"/>
      <c r="AP22" s="3"/>
      <c r="AQ22" s="3"/>
      <c r="AR22" s="3"/>
      <c r="AS22" s="3"/>
      <c r="AT22" s="3"/>
      <c r="AU22" s="3"/>
      <c r="AV22" s="3"/>
      <c r="AW22" s="161"/>
      <c r="AX22" s="16"/>
      <c r="AY22" s="312"/>
    </row>
    <row r="23" spans="2:51" ht="13.5" hidden="1" thickBot="1" x14ac:dyDescent="0.25">
      <c r="S23"/>
      <c r="W23" s="341"/>
      <c r="X23" s="608"/>
      <c r="Y23" s="345"/>
      <c r="AJ23" s="2"/>
      <c r="AK23" s="162"/>
      <c r="AL23" s="163"/>
      <c r="AM23" s="4"/>
      <c r="AN23" s="201"/>
      <c r="AO23" s="162"/>
      <c r="AP23" s="162"/>
      <c r="AQ23" s="162"/>
      <c r="AR23" s="162"/>
      <c r="AS23" s="162"/>
      <c r="AT23" s="162"/>
      <c r="AU23" s="162"/>
      <c r="AV23" s="162"/>
      <c r="AW23" s="163"/>
      <c r="AX23" s="9"/>
      <c r="AY23" s="312"/>
    </row>
    <row r="24" spans="2:51" hidden="1" x14ac:dyDescent="0.2">
      <c r="S24"/>
      <c r="W24" s="342">
        <f>SUM(W21:W23)</f>
        <v>0</v>
      </c>
      <c r="X24" s="607">
        <f>SUM(X21:X23)</f>
        <v>5200000</v>
      </c>
      <c r="Y24" s="343">
        <f>SUM(Y21:Y23)</f>
        <v>0.16645326504481431</v>
      </c>
      <c r="AJ24" s="22" t="s">
        <v>36</v>
      </c>
      <c r="AK24" s="141">
        <f t="shared" ref="AK24:AX24" si="15">SUM(AK21:AK23)</f>
        <v>5200000</v>
      </c>
      <c r="AL24" s="117">
        <f t="shared" si="15"/>
        <v>0</v>
      </c>
      <c r="AM24" s="6">
        <f t="shared" si="15"/>
        <v>5200000</v>
      </c>
      <c r="AN24" s="115">
        <f t="shared" si="15"/>
        <v>0</v>
      </c>
      <c r="AO24" s="116">
        <f t="shared" si="15"/>
        <v>0</v>
      </c>
      <c r="AP24" s="116">
        <f t="shared" si="15"/>
        <v>0</v>
      </c>
      <c r="AQ24" s="116">
        <f t="shared" si="15"/>
        <v>0</v>
      </c>
      <c r="AR24" s="116">
        <f t="shared" si="15"/>
        <v>0</v>
      </c>
      <c r="AS24" s="116">
        <f t="shared" si="15"/>
        <v>0</v>
      </c>
      <c r="AT24" s="116">
        <f t="shared" si="15"/>
        <v>0</v>
      </c>
      <c r="AU24" s="116">
        <f t="shared" si="15"/>
        <v>0</v>
      </c>
      <c r="AV24" s="116">
        <f t="shared" si="15"/>
        <v>0</v>
      </c>
      <c r="AW24" s="117">
        <f t="shared" si="15"/>
        <v>0</v>
      </c>
      <c r="AX24" s="16">
        <f t="shared" si="15"/>
        <v>0</v>
      </c>
      <c r="AY24" s="316">
        <f t="shared" ref="AY24" si="16">SUM(AY21:AY23)</f>
        <v>0.16645326504481434</v>
      </c>
    </row>
    <row r="25" spans="2:51" hidden="1" x14ac:dyDescent="0.2">
      <c r="S25"/>
      <c r="W25" s="344"/>
      <c r="X25" s="607"/>
      <c r="Y25" s="345"/>
      <c r="AJ25" s="1"/>
      <c r="AK25" s="7"/>
      <c r="AL25" s="8"/>
      <c r="AM25" s="4"/>
      <c r="AN25" s="198"/>
      <c r="AO25" s="7"/>
      <c r="AP25" s="7"/>
      <c r="AQ25" s="7"/>
      <c r="AR25" s="7"/>
      <c r="AS25" s="7"/>
      <c r="AT25" s="7"/>
      <c r="AU25" s="7"/>
      <c r="AV25" s="7"/>
      <c r="AW25" s="8"/>
      <c r="AX25" s="16"/>
      <c r="AY25" s="312"/>
    </row>
    <row r="26" spans="2:51" ht="13.5" hidden="1" thickBot="1" x14ac:dyDescent="0.25">
      <c r="S26"/>
      <c r="W26" s="344"/>
      <c r="X26" s="607"/>
      <c r="Y26" s="345"/>
      <c r="AJ26" s="1"/>
      <c r="AK26" s="144"/>
      <c r="AL26" s="145"/>
      <c r="AM26" s="4"/>
      <c r="AN26" s="202"/>
      <c r="AO26" s="144"/>
      <c r="AP26" s="144"/>
      <c r="AQ26" s="144"/>
      <c r="AR26" s="144"/>
      <c r="AS26" s="144"/>
      <c r="AT26" s="144"/>
      <c r="AU26" s="144"/>
      <c r="AV26" s="144"/>
      <c r="AW26" s="145"/>
      <c r="AX26" s="16"/>
      <c r="AY26" s="312"/>
    </row>
    <row r="27" spans="2:51" ht="13.5" hidden="1" thickBot="1" x14ac:dyDescent="0.25">
      <c r="S27"/>
      <c r="W27" s="346">
        <f>W19+W24</f>
        <v>26040000.000000007</v>
      </c>
      <c r="X27" s="609">
        <f>X19+X24</f>
        <v>31240000.000000007</v>
      </c>
      <c r="Y27" s="347">
        <f>Y19+Y24</f>
        <v>0.99999999999999989</v>
      </c>
      <c r="AJ27" s="18" t="s">
        <v>8</v>
      </c>
      <c r="AK27" s="142">
        <f t="shared" ref="AK27:AW27" si="17">AK19+AK24</f>
        <v>5200000</v>
      </c>
      <c r="AL27" s="120">
        <f t="shared" si="17"/>
        <v>0</v>
      </c>
      <c r="AM27" s="19">
        <f t="shared" si="17"/>
        <v>5200000</v>
      </c>
      <c r="AN27" s="118">
        <f t="shared" si="17"/>
        <v>5010000</v>
      </c>
      <c r="AO27" s="119">
        <f t="shared" si="17"/>
        <v>5010000</v>
      </c>
      <c r="AP27" s="119">
        <f t="shared" si="17"/>
        <v>6010000</v>
      </c>
      <c r="AQ27" s="119">
        <f t="shared" si="17"/>
        <v>10010000</v>
      </c>
      <c r="AR27" s="119">
        <f t="shared" si="17"/>
        <v>0</v>
      </c>
      <c r="AS27" s="119">
        <f t="shared" si="17"/>
        <v>0</v>
      </c>
      <c r="AT27" s="119">
        <f t="shared" si="17"/>
        <v>0</v>
      </c>
      <c r="AU27" s="119">
        <f t="shared" si="17"/>
        <v>0</v>
      </c>
      <c r="AV27" s="119">
        <f t="shared" si="17"/>
        <v>0</v>
      </c>
      <c r="AW27" s="120">
        <f t="shared" si="17"/>
        <v>0</v>
      </c>
      <c r="AX27" s="326"/>
      <c r="AY27" s="317">
        <f>AY19+AY24</f>
        <v>1.0000000000000002</v>
      </c>
    </row>
    <row r="28" spans="2:51" ht="13.5" hidden="1" thickBot="1" x14ac:dyDescent="0.25">
      <c r="S28"/>
      <c r="W28" s="346">
        <f>SUM(AN28:AW28)</f>
        <v>50000000</v>
      </c>
      <c r="X28" s="609"/>
      <c r="Y28" s="347"/>
      <c r="AJ28" s="18" t="s">
        <v>9</v>
      </c>
      <c r="AK28" s="143">
        <f>AK27*C7</f>
        <v>5.2000000000000005E-2</v>
      </c>
      <c r="AL28" s="123">
        <f>AL27*D7</f>
        <v>0</v>
      </c>
      <c r="AM28" s="21">
        <f>SUM(AK28:AL28)</f>
        <v>5.2000000000000005E-2</v>
      </c>
      <c r="AN28" s="121">
        <f t="shared" ref="AN28:AW28" si="18">(AN27-AN18)*F7</f>
        <v>5000000</v>
      </c>
      <c r="AO28" s="122">
        <f t="shared" si="18"/>
        <v>10000000</v>
      </c>
      <c r="AP28" s="122">
        <f t="shared" si="18"/>
        <v>15000000</v>
      </c>
      <c r="AQ28" s="122">
        <f t="shared" si="18"/>
        <v>20000000</v>
      </c>
      <c r="AR28" s="122">
        <f t="shared" si="18"/>
        <v>0</v>
      </c>
      <c r="AS28" s="122">
        <f t="shared" si="18"/>
        <v>0</v>
      </c>
      <c r="AT28" s="122">
        <f t="shared" si="18"/>
        <v>0</v>
      </c>
      <c r="AU28" s="122">
        <f t="shared" si="18"/>
        <v>0</v>
      </c>
      <c r="AV28" s="122">
        <f t="shared" si="18"/>
        <v>0</v>
      </c>
      <c r="AW28" s="123">
        <f t="shared" si="18"/>
        <v>0</v>
      </c>
      <c r="AX28" s="21">
        <f>W28+AM28</f>
        <v>50000000.052000001</v>
      </c>
      <c r="AY28" s="317"/>
    </row>
    <row r="29" spans="2:51" hidden="1" x14ac:dyDescent="0.2">
      <c r="S29"/>
      <c r="W29" s="348"/>
      <c r="X29" s="610"/>
      <c r="Y29" s="349"/>
      <c r="AJ29" s="240"/>
      <c r="AK29" s="241"/>
      <c r="AL29" s="241"/>
      <c r="AM29" s="241"/>
      <c r="AN29" s="242"/>
      <c r="AO29" s="241"/>
      <c r="AP29" s="241"/>
      <c r="AQ29" s="241"/>
      <c r="AR29" s="241"/>
      <c r="AS29" s="241"/>
      <c r="AT29" s="241"/>
      <c r="AU29" s="241"/>
      <c r="AV29" s="241"/>
      <c r="AW29" s="241"/>
      <c r="AX29" s="327"/>
      <c r="AY29" s="243"/>
    </row>
    <row r="30" spans="2:51" ht="15.75" hidden="1" thickBot="1" x14ac:dyDescent="0.3">
      <c r="S30"/>
      <c r="W30" s="350"/>
      <c r="X30" s="611"/>
      <c r="Y30" s="350"/>
      <c r="AJ30" s="250"/>
      <c r="AK30" s="250"/>
      <c r="AL30"/>
      <c r="AX30" s="328"/>
    </row>
    <row r="31" spans="2:51" ht="13.5" hidden="1" thickBot="1" x14ac:dyDescent="0.25">
      <c r="B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48">
        <f>SUM(AA62:AJ62)</f>
        <v>26040000</v>
      </c>
      <c r="T31" s="42"/>
      <c r="U31" s="26"/>
      <c r="V31" s="26"/>
      <c r="W31" s="335">
        <f t="shared" ref="W31:W40" si="19">SUM(F9:O9)</f>
        <v>3000000</v>
      </c>
      <c r="X31" s="603">
        <f>'Pro Forma Cap Table'!Q10</f>
        <v>2000000</v>
      </c>
      <c r="Y31" s="336">
        <f t="shared" ref="Y31:Y40" si="20">X31/X$47</f>
        <v>7.6804915361219042E-2</v>
      </c>
    </row>
    <row r="32" spans="2:51" ht="13.5" thickBot="1" x14ac:dyDescent="0.25">
      <c r="B32" s="289"/>
      <c r="C32" s="291"/>
      <c r="D32" s="289"/>
      <c r="E32" s="271" t="s">
        <v>66</v>
      </c>
      <c r="F32" s="272"/>
      <c r="G32" s="272"/>
      <c r="H32" s="268">
        <f>'Pro Forma Cap Table'!T46</f>
        <v>50000000</v>
      </c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T32" s="42"/>
      <c r="U32" s="26"/>
      <c r="V32" s="26"/>
      <c r="W32" s="337">
        <f t="shared" si="19"/>
        <v>3000000</v>
      </c>
      <c r="X32" s="604">
        <f>'Pro Forma Cap Table'!Q11</f>
        <v>2000000</v>
      </c>
      <c r="Y32" s="338">
        <f t="shared" si="20"/>
        <v>7.6804915361219042E-2</v>
      </c>
    </row>
    <row r="33" spans="1:38" x14ac:dyDescent="0.2">
      <c r="B33" s="289"/>
      <c r="C33" s="291"/>
      <c r="D33" s="289"/>
      <c r="E33" s="271" t="str">
        <f>'Pro Forma Cap Table'!Q47</f>
        <v>Series D</v>
      </c>
      <c r="F33" s="546" t="s">
        <v>70</v>
      </c>
      <c r="G33" s="267"/>
      <c r="H33" s="268">
        <f>'Pro Forma Cap Table'!T47</f>
        <v>62480000.000000015</v>
      </c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T33" s="43"/>
      <c r="U33" s="26"/>
      <c r="V33" s="26"/>
      <c r="W33" s="337">
        <f t="shared" si="19"/>
        <v>5500000</v>
      </c>
      <c r="X33" s="604">
        <f>'Pro Forma Cap Table'!Q12</f>
        <v>3000000</v>
      </c>
      <c r="Y33" s="338">
        <f t="shared" si="20"/>
        <v>0.11520737304182856</v>
      </c>
    </row>
    <row r="34" spans="1:38" ht="13.5" thickBot="1" x14ac:dyDescent="0.25">
      <c r="B34" s="289"/>
      <c r="C34" s="291"/>
      <c r="D34" s="289"/>
      <c r="E34" s="273" t="s">
        <v>32</v>
      </c>
      <c r="F34" s="274">
        <f>'Pro Forma Cap Table'!R48</f>
        <v>2</v>
      </c>
      <c r="G34" s="269" t="s">
        <v>34</v>
      </c>
      <c r="H34" s="270"/>
      <c r="I34" s="289"/>
      <c r="J34" s="310"/>
      <c r="K34" s="289"/>
      <c r="L34" s="289"/>
      <c r="M34" s="289"/>
      <c r="N34" s="289"/>
      <c r="O34" s="289"/>
      <c r="P34" s="289"/>
      <c r="Q34" s="289"/>
      <c r="R34" s="289"/>
      <c r="T34" s="42"/>
      <c r="U34" s="26"/>
      <c r="V34" s="26"/>
      <c r="W34" s="337">
        <f t="shared" si="19"/>
        <v>5500000</v>
      </c>
      <c r="X34" s="604">
        <f>'Pro Forma Cap Table'!Q13</f>
        <v>3000000</v>
      </c>
      <c r="Y34" s="338">
        <f t="shared" si="20"/>
        <v>0.11520737304182856</v>
      </c>
    </row>
    <row r="35" spans="1:38" ht="13.5" thickBot="1" x14ac:dyDescent="0.25">
      <c r="B35" s="26"/>
      <c r="C35" s="26"/>
      <c r="D35" s="26"/>
      <c r="E35" s="125" t="s">
        <v>46</v>
      </c>
      <c r="F35" s="126"/>
      <c r="G35" s="126"/>
      <c r="H35" s="127"/>
      <c r="I35" s="26"/>
      <c r="J35" s="26"/>
      <c r="K35" s="26"/>
      <c r="L35" s="26"/>
      <c r="M35" s="26"/>
      <c r="N35" s="26"/>
      <c r="O35" s="26"/>
      <c r="P35" s="26"/>
      <c r="Q35" s="26"/>
      <c r="R35" s="26"/>
      <c r="T35" s="42"/>
      <c r="U35" s="26"/>
      <c r="V35" s="26"/>
      <c r="W35" s="337">
        <f t="shared" si="19"/>
        <v>5500000</v>
      </c>
      <c r="X35" s="604">
        <f>'Pro Forma Cap Table'!Q14</f>
        <v>3000000</v>
      </c>
      <c r="Y35" s="338">
        <f t="shared" si="20"/>
        <v>0.11520737304182856</v>
      </c>
    </row>
    <row r="36" spans="1:38" x14ac:dyDescent="0.2">
      <c r="B36" s="26"/>
      <c r="C36" s="26"/>
      <c r="D36" s="26"/>
      <c r="E36" s="967" t="str">
        <f>IF(Inputs!E45="Text Here","HIDE ROW", CONCATENATE(Inputs!D45, Inputs!E45))</f>
        <v>*</v>
      </c>
      <c r="F36" s="968"/>
      <c r="G36" s="968"/>
      <c r="H36" s="969"/>
      <c r="I36" s="26"/>
      <c r="J36" s="26"/>
      <c r="K36" s="26"/>
      <c r="L36" s="26"/>
      <c r="M36" s="26"/>
      <c r="N36" s="26"/>
      <c r="O36" s="26"/>
      <c r="P36" s="26"/>
      <c r="Q36" s="26"/>
      <c r="R36" s="26"/>
      <c r="T36" s="42"/>
      <c r="U36" s="26"/>
      <c r="V36" s="26"/>
      <c r="W36" s="337">
        <f t="shared" si="19"/>
        <v>9166666.6666666679</v>
      </c>
      <c r="X36" s="604">
        <f>'Pro Forma Cap Table'!Q15</f>
        <v>4333333.333333334</v>
      </c>
      <c r="Y36" s="338">
        <f t="shared" si="20"/>
        <v>0.16641064994930793</v>
      </c>
    </row>
    <row r="37" spans="1:38" x14ac:dyDescent="0.2">
      <c r="B37" s="26"/>
      <c r="C37" s="26"/>
      <c r="D37" s="26"/>
      <c r="E37" s="970" t="str">
        <f>IF(Inputs!E46="Text Here","HIDE ROW", CONCATENATE(Inputs!D46, Inputs!E46))</f>
        <v>**</v>
      </c>
      <c r="F37" s="971"/>
      <c r="G37" s="971"/>
      <c r="H37" s="972"/>
      <c r="I37" s="26"/>
      <c r="J37" s="26"/>
      <c r="K37" s="26"/>
      <c r="L37" s="26"/>
      <c r="M37" s="26"/>
      <c r="N37" s="26"/>
      <c r="O37" s="26"/>
      <c r="P37" s="26"/>
      <c r="Q37" s="26"/>
      <c r="R37" s="26"/>
      <c r="T37" s="42"/>
      <c r="U37" s="26"/>
      <c r="V37" s="26"/>
      <c r="W37" s="337">
        <f t="shared" si="19"/>
        <v>9166666.6666666679</v>
      </c>
      <c r="X37" s="604">
        <f>'Pro Forma Cap Table'!Q16</f>
        <v>4333333.333333334</v>
      </c>
      <c r="Y37" s="338">
        <f t="shared" si="20"/>
        <v>0.16641064994930793</v>
      </c>
    </row>
    <row r="38" spans="1:38" x14ac:dyDescent="0.2">
      <c r="B38" s="26"/>
      <c r="C38" s="26"/>
      <c r="D38" s="26"/>
      <c r="E38" s="970" t="str">
        <f>IF(Inputs!E47="Text Here","HIDE ROW", CONCATENATE(Inputs!D47," ",Inputs!E47))</f>
        <v xml:space="preserve">*** </v>
      </c>
      <c r="F38" s="971"/>
      <c r="G38" s="971"/>
      <c r="H38" s="972"/>
      <c r="I38" s="26"/>
      <c r="J38" s="26"/>
      <c r="K38" s="26"/>
      <c r="L38" s="26"/>
      <c r="M38" s="26"/>
      <c r="N38" s="26"/>
      <c r="O38" s="26"/>
      <c r="P38" s="26"/>
      <c r="Q38" s="26"/>
      <c r="R38" s="26"/>
      <c r="T38" s="26"/>
      <c r="U38" s="26"/>
      <c r="V38" s="26"/>
      <c r="W38" s="337">
        <f t="shared" si="19"/>
        <v>9166666.6666666679</v>
      </c>
      <c r="X38" s="604">
        <f>'Pro Forma Cap Table'!Q17</f>
        <v>4333333.333333334</v>
      </c>
      <c r="Y38" s="338">
        <f t="shared" si="20"/>
        <v>0.16641064994930793</v>
      </c>
    </row>
    <row r="39" spans="1:38" ht="13.5" thickBot="1" x14ac:dyDescent="0.25">
      <c r="B39" s="26"/>
      <c r="C39" s="26"/>
      <c r="D39" s="26"/>
      <c r="E39" s="959" t="str">
        <f>IF(Inputs!E48="Text Here","HIDE ROW", CONCATENATE(Inputs!D48," ",Inputs!E48))</f>
        <v xml:space="preserve">**** </v>
      </c>
      <c r="F39" s="960"/>
      <c r="G39" s="960"/>
      <c r="H39" s="961"/>
      <c r="I39" s="26"/>
      <c r="J39" s="26"/>
      <c r="K39" s="26"/>
      <c r="L39" s="26"/>
      <c r="M39" s="26"/>
      <c r="N39" s="26"/>
      <c r="O39" s="26"/>
      <c r="P39" s="26"/>
      <c r="Q39" s="26"/>
      <c r="R39" s="26"/>
      <c r="T39" s="26"/>
      <c r="U39" s="26"/>
      <c r="V39" s="26"/>
      <c r="W39" s="339">
        <f t="shared" si="19"/>
        <v>0</v>
      </c>
      <c r="X39" s="605">
        <f>'Pro Forma Cap Table'!Q18</f>
        <v>0</v>
      </c>
      <c r="Y39" s="340">
        <f t="shared" si="20"/>
        <v>0</v>
      </c>
    </row>
    <row r="40" spans="1:38" ht="13.5" thickBot="1" x14ac:dyDescent="0.25">
      <c r="B40" s="26"/>
      <c r="C40" s="26"/>
      <c r="P40" s="26"/>
      <c r="Q40" s="26"/>
      <c r="R40" s="26"/>
      <c r="T40" s="26"/>
      <c r="U40" s="26"/>
      <c r="V40" s="26"/>
      <c r="W40" s="341">
        <f t="shared" si="19"/>
        <v>40000</v>
      </c>
      <c r="X40" s="605">
        <f>'Pro Forma Cap Table'!Q19</f>
        <v>40000</v>
      </c>
      <c r="Y40" s="340">
        <f t="shared" si="20"/>
        <v>1.5360983072243808E-3</v>
      </c>
    </row>
    <row r="41" spans="1:38" ht="13.5" thickBot="1" x14ac:dyDescent="0.25">
      <c r="P41" s="26"/>
      <c r="Q41" s="26"/>
      <c r="R41" s="26"/>
      <c r="U41" s="26"/>
      <c r="V41" s="26"/>
      <c r="W41" s="351">
        <f>SUM(W31:W40)</f>
        <v>50040000</v>
      </c>
      <c r="X41" s="612">
        <f>SUM(X31:X40)</f>
        <v>26040000.000000007</v>
      </c>
      <c r="Y41" s="352">
        <f t="shared" ref="Y41" si="21">SUM(Y31:Y40)</f>
        <v>0.99999999800307182</v>
      </c>
    </row>
    <row r="42" spans="1:38" ht="12" customHeight="1" thickBot="1" x14ac:dyDescent="0.25">
      <c r="A42"/>
      <c r="S42"/>
      <c r="W42" s="353"/>
      <c r="X42" s="613"/>
      <c r="Y42" s="353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x14ac:dyDescent="0.2">
      <c r="S43"/>
      <c r="W43" s="342">
        <f>SUM(F20:O20)</f>
        <v>0</v>
      </c>
      <c r="X43" s="606">
        <f>W43+E20</f>
        <v>5.2000000000000005E-2</v>
      </c>
      <c r="Y43" s="343">
        <f>X43/X$27</f>
        <v>1.6645326504481431E-9</v>
      </c>
    </row>
    <row r="44" spans="1:38" ht="13.5" thickBot="1" x14ac:dyDescent="0.25">
      <c r="S44"/>
      <c r="W44" s="344"/>
      <c r="X44" s="607"/>
      <c r="Y44" s="345"/>
    </row>
    <row r="45" spans="1:38" x14ac:dyDescent="0.2">
      <c r="S45"/>
      <c r="W45" s="342">
        <f>SUM(W43:W44)</f>
        <v>0</v>
      </c>
      <c r="X45" s="606">
        <f>SUM(X43:X44)</f>
        <v>5.2000000000000005E-2</v>
      </c>
      <c r="Y45" s="343">
        <f>SUM(Y43:Y44)</f>
        <v>1.6645326504481431E-9</v>
      </c>
    </row>
    <row r="46" spans="1:38" ht="13.5" thickBot="1" x14ac:dyDescent="0.25">
      <c r="S46"/>
      <c r="W46" s="341"/>
      <c r="X46" s="608"/>
      <c r="Y46" s="354"/>
    </row>
    <row r="47" spans="1:38" ht="13.5" thickBot="1" x14ac:dyDescent="0.25">
      <c r="W47" s="346">
        <f>W27</f>
        <v>26040000.000000007</v>
      </c>
      <c r="X47" s="609">
        <f>X41+X45</f>
        <v>26040000.052000009</v>
      </c>
      <c r="Y47" s="347">
        <f>Y41+Y45</f>
        <v>0.99999999966760444</v>
      </c>
    </row>
    <row r="48" spans="1:38" x14ac:dyDescent="0.2">
      <c r="X48"/>
    </row>
    <row r="49" spans="2:39" x14ac:dyDescent="0.2">
      <c r="S49"/>
      <c r="X49"/>
      <c r="Y49"/>
      <c r="AM49" s="26"/>
    </row>
    <row r="50" spans="2:39" s="26" customFormat="1" x14ac:dyDescent="0.2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2:39" s="26" customFormat="1" x14ac:dyDescent="0.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2:39" s="26" customFormat="1" x14ac:dyDescent="0.2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2:39" s="26" customFormat="1" x14ac:dyDescent="0.2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2:39" s="26" customFormat="1" ht="13.5" thickBot="1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2:39" s="26" customFormat="1" ht="13.5" thickBo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W55" s="18" t="s">
        <v>9</v>
      </c>
      <c r="X55" s="143">
        <f>C22*C7</f>
        <v>5.2000000000000007E-10</v>
      </c>
      <c r="Y55" s="123">
        <f>D22*D7</f>
        <v>0</v>
      </c>
      <c r="Z55" s="21">
        <f>SUM(X55:Y55)</f>
        <v>5.2000000000000007E-10</v>
      </c>
      <c r="AA55" s="212">
        <f t="shared" ref="AA55:AJ55" si="22">IF(F7=0,"n/a",F$22*F$7)</f>
        <v>5000000</v>
      </c>
      <c r="AB55" s="122">
        <f t="shared" si="22"/>
        <v>20000000</v>
      </c>
      <c r="AC55" s="122">
        <f t="shared" si="22"/>
        <v>37500000</v>
      </c>
      <c r="AD55" s="122">
        <f t="shared" si="22"/>
        <v>40000000</v>
      </c>
      <c r="AE55" s="122" t="str">
        <f t="shared" si="22"/>
        <v>n/a</v>
      </c>
      <c r="AF55" s="122" t="str">
        <f t="shared" si="22"/>
        <v>n/a</v>
      </c>
      <c r="AG55" s="122" t="str">
        <f t="shared" si="22"/>
        <v>n/a</v>
      </c>
      <c r="AH55" s="122" t="str">
        <f t="shared" si="22"/>
        <v>n/a</v>
      </c>
      <c r="AI55" s="122" t="str">
        <f t="shared" si="22"/>
        <v>n/a</v>
      </c>
      <c r="AJ55" s="123" t="str">
        <f t="shared" si="22"/>
        <v>n/a</v>
      </c>
      <c r="AK55" s="251" t="e">
        <f>P19+#REF!</f>
        <v>#REF!</v>
      </c>
      <c r="AL55" s="20"/>
    </row>
    <row r="56" spans="2:39" s="26" customFormat="1" ht="6" customHeight="1" thickBot="1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W56"/>
      <c r="X56" s="47"/>
      <c r="Y56" s="203" t="s">
        <v>43</v>
      </c>
      <c r="Z56" s="241"/>
      <c r="AA56" s="121" t="str">
        <f t="array" ref="AA56:AJ56">IF(TRANSPOSE(Inputs!F$10:F$19)=0,"N/A",TRANSPOSE(Inputs!F$10:F$19))</f>
        <v>N/A</v>
      </c>
      <c r="AB56" s="124" t="str">
        <v>N/A</v>
      </c>
      <c r="AC56" s="124" t="str">
        <v>N/A</v>
      </c>
      <c r="AD56" s="124" t="str">
        <v>N/A</v>
      </c>
      <c r="AE56" s="124" t="str">
        <v>N/A</v>
      </c>
      <c r="AF56" s="124" t="str">
        <v>N/A</v>
      </c>
      <c r="AG56" s="124" t="str">
        <v>N/A</v>
      </c>
      <c r="AH56" s="124" t="str">
        <v>N/A</v>
      </c>
      <c r="AI56" s="124" t="str">
        <v>N/A</v>
      </c>
      <c r="AJ56" s="128" t="str">
        <v>N/A</v>
      </c>
      <c r="AK56"/>
      <c r="AL56"/>
    </row>
    <row r="57" spans="2:39" s="289" customFormat="1" x14ac:dyDescent="0.2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W57" s="26"/>
      <c r="X57" s="47"/>
      <c r="Y57" s="204" t="s">
        <v>44</v>
      </c>
      <c r="Z57" s="311"/>
      <c r="AA57" s="298">
        <f t="array" ref="AA57:AJ57">IF(TRANSPOSE(Inputs!G$10:G$19)=0,0,TRANSPOSE(Inputs!G$10:G$19))</f>
        <v>1</v>
      </c>
      <c r="AB57" s="299">
        <v>1</v>
      </c>
      <c r="AC57" s="299">
        <v>1</v>
      </c>
      <c r="AD57" s="299">
        <v>1</v>
      </c>
      <c r="AE57" s="300">
        <v>1</v>
      </c>
      <c r="AF57" s="300">
        <v>1</v>
      </c>
      <c r="AG57" s="300">
        <v>1</v>
      </c>
      <c r="AH57" s="300">
        <v>1</v>
      </c>
      <c r="AI57" s="300">
        <v>1</v>
      </c>
      <c r="AJ57" s="301">
        <v>1</v>
      </c>
      <c r="AK57" s="26"/>
      <c r="AL57" s="26"/>
    </row>
    <row r="58" spans="2:39" s="289" customFormat="1" x14ac:dyDescent="0.2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W58" s="26"/>
      <c r="X58" s="47"/>
      <c r="Y58" s="206" t="s">
        <v>45</v>
      </c>
      <c r="Z58" s="311"/>
      <c r="AA58" s="302">
        <f t="array" ref="AA58:AJ58">IF(TRANSPOSE(Inputs!H$10:H$19)=0,0,TRANSPOSE(Inputs!H$10:H$19))</f>
        <v>2</v>
      </c>
      <c r="AB58" s="303">
        <v>2</v>
      </c>
      <c r="AC58" s="303">
        <v>2</v>
      </c>
      <c r="AD58" s="303">
        <v>2</v>
      </c>
      <c r="AE58" s="304">
        <v>2</v>
      </c>
      <c r="AF58" s="304">
        <v>2</v>
      </c>
      <c r="AG58" s="304">
        <v>2</v>
      </c>
      <c r="AH58" s="304">
        <v>2</v>
      </c>
      <c r="AI58" s="304">
        <v>2</v>
      </c>
      <c r="AJ58" s="305">
        <v>2</v>
      </c>
      <c r="AK58" s="26"/>
      <c r="AL58" s="26"/>
    </row>
    <row r="59" spans="2:39" s="289" customFormat="1" x14ac:dyDescent="0.2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W59" s="26"/>
      <c r="X59" s="47"/>
      <c r="Y59" s="206" t="s">
        <v>53</v>
      </c>
      <c r="Z59" s="311"/>
      <c r="AA59" s="181" t="str">
        <f>IF(AA57="","",IF(AA58&lt;=AA57,"No","Yes"))</f>
        <v>Yes</v>
      </c>
      <c r="AB59" s="182" t="str">
        <f t="shared" ref="AB59:AJ59" si="23">IF(AB57="","",IF(AB58&lt;=AB57,"No","Yes"))</f>
        <v>Yes</v>
      </c>
      <c r="AC59" s="182" t="str">
        <f t="shared" si="23"/>
        <v>Yes</v>
      </c>
      <c r="AD59" s="182" t="str">
        <f t="shared" si="23"/>
        <v>Yes</v>
      </c>
      <c r="AE59" s="183" t="str">
        <f t="shared" si="23"/>
        <v>Yes</v>
      </c>
      <c r="AF59" s="183" t="str">
        <f t="shared" si="23"/>
        <v>Yes</v>
      </c>
      <c r="AG59" s="183" t="str">
        <f t="shared" si="23"/>
        <v>Yes</v>
      </c>
      <c r="AH59" s="183" t="str">
        <f t="shared" si="23"/>
        <v>Yes</v>
      </c>
      <c r="AI59" s="183" t="str">
        <f t="shared" si="23"/>
        <v>Yes</v>
      </c>
      <c r="AJ59" s="184" t="str">
        <f t="shared" si="23"/>
        <v>Yes</v>
      </c>
      <c r="AK59" s="26"/>
      <c r="AL59" s="26"/>
    </row>
    <row r="60" spans="2:39" s="26" customFormat="1" x14ac:dyDescent="0.2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X60" s="47"/>
      <c r="Y60" s="206" t="s">
        <v>51</v>
      </c>
      <c r="Z60" s="311"/>
      <c r="AA60" s="236">
        <f t="array" ref="AA60:AJ60">IF(TRANSPOSE(Inputs!I$10:I$19)=0,"",TRANSPOSE(Inputs!I$10:I$19))</f>
        <v>10</v>
      </c>
      <c r="AB60" s="237">
        <v>10</v>
      </c>
      <c r="AC60" s="237">
        <v>2</v>
      </c>
      <c r="AD60" s="237">
        <v>1</v>
      </c>
      <c r="AE60" s="238">
        <v>10</v>
      </c>
      <c r="AF60" s="238">
        <v>10</v>
      </c>
      <c r="AG60" s="238">
        <v>10</v>
      </c>
      <c r="AH60" s="238">
        <v>10</v>
      </c>
      <c r="AI60" s="238">
        <v>10</v>
      </c>
      <c r="AJ60" s="239">
        <v>10</v>
      </c>
    </row>
    <row r="61" spans="2:39" s="26" customFormat="1" ht="13.5" thickBot="1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Y61" s="208" t="s">
        <v>58</v>
      </c>
      <c r="Z61" s="311"/>
      <c r="AA61" s="306">
        <f t="array" ref="AA61:AJ61">IF(TRANSPOSE(Inputs!J$10:J$19)=0,0,TRANSPOSE(Inputs!J$10:J$19))</f>
        <v>1</v>
      </c>
      <c r="AB61" s="307">
        <v>1</v>
      </c>
      <c r="AC61" s="307">
        <v>1</v>
      </c>
      <c r="AD61" s="307">
        <v>1</v>
      </c>
      <c r="AE61" s="308">
        <v>1</v>
      </c>
      <c r="AF61" s="308">
        <v>1</v>
      </c>
      <c r="AG61" s="308">
        <v>1</v>
      </c>
      <c r="AH61" s="308">
        <v>1</v>
      </c>
      <c r="AI61" s="308">
        <v>1</v>
      </c>
      <c r="AJ61" s="309">
        <v>1</v>
      </c>
    </row>
    <row r="62" spans="2:39" s="26" customFormat="1" ht="13.5" thickBot="1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Y62" s="208" t="s">
        <v>56</v>
      </c>
      <c r="Z62" s="311"/>
      <c r="AA62" s="244">
        <f t="shared" ref="AA62:AJ62" si="24">IFERROR(AA61*AN27,"")</f>
        <v>5010000</v>
      </c>
      <c r="AB62" s="245">
        <f t="shared" si="24"/>
        <v>5010000</v>
      </c>
      <c r="AC62" s="245">
        <f t="shared" si="24"/>
        <v>6010000</v>
      </c>
      <c r="AD62" s="245">
        <f t="shared" si="24"/>
        <v>10010000</v>
      </c>
      <c r="AE62" s="246">
        <f t="shared" si="24"/>
        <v>0</v>
      </c>
      <c r="AF62" s="246">
        <f t="shared" si="24"/>
        <v>0</v>
      </c>
      <c r="AG62" s="246">
        <f t="shared" si="24"/>
        <v>0</v>
      </c>
      <c r="AH62" s="246">
        <f t="shared" si="24"/>
        <v>0</v>
      </c>
      <c r="AI62" s="246">
        <f t="shared" si="24"/>
        <v>0</v>
      </c>
      <c r="AJ62" s="247">
        <f t="shared" si="24"/>
        <v>0</v>
      </c>
    </row>
    <row r="63" spans="2:39" s="26" customFormat="1" x14ac:dyDescent="0.2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2:39" s="26" customFormat="1" x14ac:dyDescent="0.2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2:18" s="26" customFormat="1" x14ac:dyDescent="0.2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</sheetData>
  <sheetProtection formatCells="0" formatColumns="0" formatRows="0"/>
  <mergeCells count="7">
    <mergeCell ref="E38:H38"/>
    <mergeCell ref="E39:H39"/>
    <mergeCell ref="B1:S1"/>
    <mergeCell ref="B2:S2"/>
    <mergeCell ref="B3:S3"/>
    <mergeCell ref="E36:H36"/>
    <mergeCell ref="E37:H37"/>
  </mergeCells>
  <printOptions horizontalCentered="1"/>
  <pageMargins left="0.7" right="0.7" top="0.75" bottom="0.75" header="0.3" footer="0.3"/>
  <pageSetup scale="70" orientation="landscape" r:id="rId1"/>
  <headerFooter>
    <oddFooter>&amp;CCONFIDENTIAL - HTGC</oddFooter>
  </headerFooter>
  <colBreaks count="1" manualBreakCount="1">
    <brk id="18" max="1048575" man="1"/>
  </colBreaks>
  <ignoredErrors>
    <ignoredError sqref="F5:H8 B9:B19 B21 F21:H21 F23:H31 I8:O8 G33 F32:G32 I21:O21 I19:O19 F19 G19:H19 F9:O18 F20:O20 H32:H33" unlockedFormula="1"/>
    <ignoredError sqref="Q19 E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Inputs</vt:lpstr>
      <vt:lpstr>Pro Forma Cap Table</vt:lpstr>
      <vt:lpstr>$-Pro Forma Cap Table</vt:lpstr>
      <vt:lpstr>Waterfall</vt:lpstr>
      <vt:lpstr>Summary</vt:lpstr>
      <vt:lpstr>Inputs!Print_Area</vt:lpstr>
      <vt:lpstr>'Pro Forma Cap Table'!Print_Area</vt:lpstr>
      <vt:lpstr>Summary!Print_Area</vt:lpstr>
    </vt:vector>
  </TitlesOfParts>
  <Company>Pearl Street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sborg</dc:creator>
  <cp:lastModifiedBy>John Carrington</cp:lastModifiedBy>
  <cp:lastPrinted>2009-02-13T23:39:38Z</cp:lastPrinted>
  <dcterms:created xsi:type="dcterms:W3CDTF">2002-11-05T02:06:12Z</dcterms:created>
  <dcterms:modified xsi:type="dcterms:W3CDTF">2025-12-15T23:26:08Z</dcterms:modified>
</cp:coreProperties>
</file>